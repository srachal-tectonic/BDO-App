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ectonicfinancial-my.sharepoint.com/personal/mtorres_tectonicfinancial_com/Documents/T Bank Related Files/T Bank - BDO App/"/>
    </mc:Choice>
  </mc:AlternateContent>
  <xr:revisionPtr revIDLastSave="196" documentId="13_ncr:1_{3BB620A4-CB3F-4484-9FE1-D44FE7AC2323}" xr6:coauthVersionLast="47" xr6:coauthVersionMax="47" xr10:uidLastSave="{9D61F543-0819-4F3C-9F1D-C299361FF988}"/>
  <bookViews>
    <workbookView xWindow="17030" yWindow="-18590" windowWidth="28800" windowHeight="15410" activeTab="8" xr2:uid="{00000000-000D-0000-FFFF-FFFF00000000}"/>
  </bookViews>
  <sheets>
    <sheet name="BDO Prequal" sheetId="1" r:id="rId1"/>
    <sheet name="Guarantors" sheetId="11" r:id="rId2"/>
    <sheet name="Affiliates" sheetId="10" r:id="rId3"/>
    <sheet name="Scores" sheetId="2" r:id="rId4"/>
    <sheet name="Charts" sheetId="3" r:id="rId5"/>
    <sheet name="Lists" sheetId="5" r:id="rId6"/>
    <sheet name="Calculations" sheetId="9" r:id="rId7"/>
    <sheet name="Summary" sheetId="8" r:id="rId8"/>
    <sheet name="Financial Spreads" sheetId="7" r:id="rId9"/>
    <sheet name="504-Hybrid" sheetId="4" r:id="rId10"/>
  </sheets>
  <definedNames>
    <definedName name="Beg_Bal" localSheetId="3">#REF!</definedName>
    <definedName name="Beg_Bal">#REF!</definedName>
    <definedName name="Cum_Int">#REF!</definedName>
    <definedName name="Data">#REF!</definedName>
    <definedName name="DisbursementType" localSheetId="3">#REF!</definedName>
    <definedName name="DisbursementType">#REF!</definedName>
    <definedName name="End_Bal" localSheetId="3">#REF!</definedName>
    <definedName name="End_Bal">#REF!</definedName>
    <definedName name="EXPENSES" localSheetId="3">#REF!</definedName>
    <definedName name="EXPENSES">#REF!</definedName>
    <definedName name="Extra_Pay" localSheetId="3">#REF!</definedName>
    <definedName name="Extra_Pay">#REF!</definedName>
    <definedName name="Full_Print" localSheetId="3">#REF!</definedName>
    <definedName name="Full_Print">#REF!</definedName>
    <definedName name="Header_Row" localSheetId="3">ROW(#REF!)</definedName>
    <definedName name="Header_Row">ROW(#REF!)</definedName>
    <definedName name="Int" localSheetId="3">#REF!</definedName>
    <definedName name="Int">#REF!</definedName>
    <definedName name="Interest_Rate" localSheetId="3">#REF!</definedName>
    <definedName name="Interest_Rate">#REF!</definedName>
    <definedName name="Last_Row" localSheetId="4">IF('504-Hybrid'!Values_Entered,Header_Row+'504-Hybrid'!Number_of_Payments,Header_Row)</definedName>
    <definedName name="Last_Row" localSheetId="3">IF(Scores!Values_Entered,Scores!Header_Row+Scores!Number_of_Payments,Scores!Header_Row)</definedName>
    <definedName name="Last_Row">IF(Values_Entered,Header_Row+Number_of_Payments,Header_Row)</definedName>
    <definedName name="Loan_Amount" localSheetId="3">#REF!</definedName>
    <definedName name="Loan_Amount">#REF!</definedName>
    <definedName name="Loan_Start" localSheetId="3">#REF!</definedName>
    <definedName name="Loan_Start">#REF!</definedName>
    <definedName name="Loan_Years" localSheetId="3">#REF!</definedName>
    <definedName name="Loan_Years">#REF!</definedName>
    <definedName name="MajorExpensesList" localSheetId="3">#REF!</definedName>
    <definedName name="MajorExpensesList">#REF!</definedName>
    <definedName name="Num_Pmt_Per_Year" localSheetId="3">#REF!</definedName>
    <definedName name="Num_Pmt_Per_Year">#REF!</definedName>
    <definedName name="Number_of_Payments" localSheetId="4">MATCH(0.01,End_Bal,-1)+1</definedName>
    <definedName name="Number_of_Payments" localSheetId="3">MATCH(0.01,Scores!End_Bal,-1)+1</definedName>
    <definedName name="Number_of_Payments">MATCH(0.01,End_Bal,-1)+1</definedName>
    <definedName name="Pay_Date">#REF!</definedName>
    <definedName name="Pay_Num" localSheetId="3">#REF!</definedName>
    <definedName name="Pay_Num">#REF!</definedName>
    <definedName name="Payment_Date" localSheetId="3">DATE(YEAR(Scores!Loan_Start),MONTH(Scores!Loan_Start)+Payment_Number,DAY(Scores!Loan_Start))</definedName>
    <definedName name="Payment_Date">DATE(YEAR(Loan_Start),MONTH(Loan_Start)+Payment_Number,DAY(Loan_Start))</definedName>
    <definedName name="Periodic_rate" localSheetId="4">Annual_interest_rate/Payments_per_year</definedName>
    <definedName name="Periodic_rate" localSheetId="3">Annual_interest_rate/Payments_per_year</definedName>
    <definedName name="Periodic_rate">Annual_interest_rate/Payments_per_year</definedName>
    <definedName name="Princ" localSheetId="3">#REF!</definedName>
    <definedName name="Princ">#REF!</definedName>
    <definedName name="_xlnm.Print_Area" localSheetId="3">Scores!$A$1:$I$11</definedName>
    <definedName name="Print_Area_Reset" localSheetId="4">OFFSET(Full_Print,0,0,[0]!Last_Row)</definedName>
    <definedName name="Print_Area_Reset" localSheetId="3">OFFSET(Scores!Full_Print,0,0,Scores!Last_Row)</definedName>
    <definedName name="Print_Area_Reset">OFFSET(Full_Print,0,0,Last_Row)</definedName>
    <definedName name="Sched_Pay" localSheetId="3">#REF!</definedName>
    <definedName name="Sched_Pay">#REF!</definedName>
    <definedName name="Scheduled_Extra_Payments" localSheetId="3">#REF!</definedName>
    <definedName name="Scheduled_Extra_Payments">#REF!</definedName>
    <definedName name="Scheduled_Interest_Rate">#REF!</definedName>
    <definedName name="Scheduled_Monthly_Payment" localSheetId="3">#REF!</definedName>
    <definedName name="Scheduled_Monthly_Payment">#REF!</definedName>
    <definedName name="Total_Interest">#REF!</definedName>
    <definedName name="Total_Pay" localSheetId="3">#REF!</definedName>
    <definedName name="Total_Pay">#REF!</definedName>
    <definedName name="Total_Payment" localSheetId="4">Scheduled_Payment+Extra_Payment</definedName>
    <definedName name="Total_Payment" localSheetId="3">Scheduled_Payment+Extra_Payment</definedName>
    <definedName name="Total_Payment">Scheduled_Payment+Extra_Payment</definedName>
    <definedName name="Total_payments" localSheetId="4">Payments_per_year*Term_in_years</definedName>
    <definedName name="Total_payments" localSheetId="3">Payments_per_year*Term_in_years</definedName>
    <definedName name="Total_payments">Payments_per_year*Term_in_years</definedName>
    <definedName name="Values_Entered" localSheetId="4">IF(Loan_Amount*Interest_Rate*Loan_Years*Loan_Start&gt;0,1,0)</definedName>
    <definedName name="Values_Entered" localSheetId="3">"#N/A"</definedName>
    <definedName name="Values_Entered">IF(Loan_Amount*Interest_Rate*Loan_Years*Loan_Start&gt;0,1,0)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9" i="1" l="1"/>
  <c r="C52" i="1" l="1"/>
  <c r="H93" i="1" l="1"/>
  <c r="Q146" i="1" s="1"/>
  <c r="T6" i="11"/>
  <c r="V6" i="11" s="1"/>
  <c r="T7" i="11"/>
  <c r="V7" i="11" s="1"/>
  <c r="T8" i="11"/>
  <c r="V8" i="11" s="1"/>
  <c r="T9" i="11"/>
  <c r="V9" i="11" s="1"/>
  <c r="T10" i="11"/>
  <c r="V10" i="11" s="1"/>
  <c r="T11" i="11"/>
  <c r="V11" i="11" s="1"/>
  <c r="T12" i="11"/>
  <c r="V12" i="11" s="1"/>
  <c r="T13" i="11"/>
  <c r="V13" i="11" s="1"/>
  <c r="T14" i="11"/>
  <c r="V14" i="11" s="1"/>
  <c r="T15" i="11"/>
  <c r="V15" i="11" s="1"/>
  <c r="N143" i="3"/>
  <c r="N142" i="3"/>
  <c r="N141" i="3"/>
  <c r="N140" i="3"/>
  <c r="N139" i="3"/>
  <c r="N138" i="3"/>
  <c r="N137" i="3"/>
  <c r="N136" i="3"/>
  <c r="N135" i="3"/>
  <c r="AC16" i="11"/>
  <c r="H91" i="1"/>
  <c r="H90" i="1"/>
  <c r="H89" i="1"/>
  <c r="H88" i="1"/>
  <c r="H87" i="1"/>
  <c r="H86" i="1"/>
  <c r="H85" i="1"/>
  <c r="H84" i="1"/>
  <c r="H83" i="1"/>
  <c r="H82" i="1"/>
  <c r="H81" i="1"/>
  <c r="H80" i="1"/>
  <c r="H79" i="1"/>
  <c r="B14" i="2"/>
  <c r="E14" i="2"/>
  <c r="F14" i="2"/>
  <c r="G14" i="2"/>
  <c r="H14" i="2"/>
  <c r="B15" i="2"/>
  <c r="E15" i="2"/>
  <c r="F15" i="2"/>
  <c r="G15" i="2"/>
  <c r="H15" i="2"/>
  <c r="B16" i="2"/>
  <c r="E16" i="2"/>
  <c r="F16" i="2"/>
  <c r="G16" i="2"/>
  <c r="H16" i="2"/>
  <c r="B17" i="2"/>
  <c r="E17" i="2"/>
  <c r="F17" i="2"/>
  <c r="G17" i="2"/>
  <c r="H17" i="2"/>
  <c r="B18" i="2"/>
  <c r="E18" i="2"/>
  <c r="F18" i="2"/>
  <c r="G18" i="2"/>
  <c r="H18" i="2"/>
  <c r="B19" i="2"/>
  <c r="E19" i="2"/>
  <c r="F19" i="2"/>
  <c r="G19" i="2"/>
  <c r="H19" i="2"/>
  <c r="B20" i="2"/>
  <c r="E20" i="2"/>
  <c r="F20" i="2"/>
  <c r="G20" i="2"/>
  <c r="H20" i="2"/>
  <c r="B21" i="2"/>
  <c r="E21" i="2"/>
  <c r="F21" i="2"/>
  <c r="G21" i="2"/>
  <c r="H21" i="2"/>
  <c r="B22" i="2"/>
  <c r="E22" i="2"/>
  <c r="F22" i="2"/>
  <c r="G22" i="2"/>
  <c r="H22" i="2"/>
  <c r="B23" i="2"/>
  <c r="E23" i="2"/>
  <c r="F23" i="2"/>
  <c r="G23" i="2"/>
  <c r="H23" i="2"/>
  <c r="N134" i="3"/>
  <c r="N101" i="3"/>
  <c r="N112" i="3"/>
  <c r="N113" i="3"/>
  <c r="N114" i="3"/>
  <c r="N115" i="3"/>
  <c r="N116" i="3"/>
  <c r="N117" i="3"/>
  <c r="N118" i="3"/>
  <c r="N119" i="3"/>
  <c r="N120" i="3"/>
  <c r="N121" i="3"/>
  <c r="N122" i="3"/>
  <c r="N123" i="3"/>
  <c r="N124" i="3"/>
  <c r="M134" i="3"/>
  <c r="O134" i="3"/>
  <c r="P134" i="3"/>
  <c r="M135" i="3"/>
  <c r="O135" i="3"/>
  <c r="P135" i="3"/>
  <c r="M136" i="3"/>
  <c r="O136" i="3"/>
  <c r="P136" i="3"/>
  <c r="M137" i="3"/>
  <c r="O137" i="3"/>
  <c r="P137" i="3"/>
  <c r="M138" i="3"/>
  <c r="O138" i="3"/>
  <c r="P138" i="3"/>
  <c r="M139" i="3"/>
  <c r="O139" i="3"/>
  <c r="P139" i="3"/>
  <c r="M140" i="3"/>
  <c r="O140" i="3"/>
  <c r="P140" i="3"/>
  <c r="M141" i="3"/>
  <c r="O141" i="3"/>
  <c r="P141" i="3"/>
  <c r="M142" i="3"/>
  <c r="O142" i="3"/>
  <c r="P142" i="3"/>
  <c r="M143" i="3"/>
  <c r="O143" i="3"/>
  <c r="P143" i="3"/>
  <c r="J48" i="9"/>
  <c r="I48" i="9"/>
  <c r="H48" i="9"/>
  <c r="G48" i="9"/>
  <c r="F48" i="9"/>
  <c r="E48" i="9"/>
  <c r="J47" i="9"/>
  <c r="I47" i="9"/>
  <c r="H47" i="9"/>
  <c r="G47" i="9"/>
  <c r="F47" i="9"/>
  <c r="E47" i="9"/>
  <c r="C47" i="9"/>
  <c r="B49" i="1"/>
  <c r="B50" i="1"/>
  <c r="O47" i="3"/>
  <c r="AG7" i="1"/>
  <c r="AG8" i="1"/>
  <c r="AG9" i="1"/>
  <c r="M58" i="3"/>
  <c r="M57" i="3"/>
  <c r="N41" i="3"/>
  <c r="C41" i="3" s="1"/>
  <c r="O41" i="3"/>
  <c r="D41" i="3" s="1"/>
  <c r="P41" i="3"/>
  <c r="E41" i="3" s="1"/>
  <c r="M42" i="3"/>
  <c r="N42" i="3"/>
  <c r="O42" i="3"/>
  <c r="M43" i="3"/>
  <c r="O43" i="3"/>
  <c r="M44" i="3"/>
  <c r="N44" i="3"/>
  <c r="O44" i="3"/>
  <c r="M45" i="3"/>
  <c r="N45" i="3"/>
  <c r="O45" i="3"/>
  <c r="M46" i="3"/>
  <c r="N46" i="3"/>
  <c r="O46" i="3"/>
  <c r="M47" i="3"/>
  <c r="N47" i="3"/>
  <c r="M48" i="3"/>
  <c r="N48" i="3"/>
  <c r="O48" i="3"/>
  <c r="M49" i="3"/>
  <c r="N49" i="3"/>
  <c r="O49" i="3"/>
  <c r="M50" i="3"/>
  <c r="N50" i="3"/>
  <c r="O50" i="3"/>
  <c r="M51" i="3"/>
  <c r="N51" i="3"/>
  <c r="O51" i="3"/>
  <c r="M52" i="3"/>
  <c r="N52" i="3"/>
  <c r="O52" i="3"/>
  <c r="M53" i="3"/>
  <c r="N53" i="3"/>
  <c r="O53" i="3"/>
  <c r="M54" i="3"/>
  <c r="O54" i="3"/>
  <c r="M55" i="3"/>
  <c r="N55" i="3"/>
  <c r="O55" i="3"/>
  <c r="M56" i="3"/>
  <c r="O56" i="3"/>
  <c r="N43" i="3"/>
  <c r="J146" i="1" l="1"/>
  <c r="D146" i="1"/>
  <c r="H146" i="1"/>
  <c r="O146" i="1"/>
  <c r="F146" i="1"/>
  <c r="V16" i="11"/>
  <c r="AG10" i="1"/>
  <c r="D47" i="9"/>
  <c r="K47" i="9" s="1"/>
  <c r="C49" i="1" s="1"/>
  <c r="E49" i="1" s="1"/>
  <c r="N17" i="3" l="1"/>
  <c r="AH55" i="1"/>
  <c r="AI32" i="1"/>
  <c r="AH32" i="1"/>
  <c r="AJ13" i="1"/>
  <c r="AK36" i="1"/>
  <c r="AI13" i="1"/>
  <c r="AK59" i="1"/>
  <c r="AG13" i="1"/>
  <c r="AF31" i="1"/>
  <c r="AF30" i="1"/>
  <c r="AF29" i="1"/>
  <c r="AF28" i="1"/>
  <c r="AF27" i="1"/>
  <c r="AF26" i="1"/>
  <c r="AF25" i="1"/>
  <c r="AF24" i="1"/>
  <c r="AF23" i="1"/>
  <c r="AF22" i="1"/>
  <c r="AF21" i="1"/>
  <c r="AF20" i="1"/>
  <c r="AF19" i="1"/>
  <c r="AF18" i="1"/>
  <c r="AF17" i="1"/>
  <c r="AF16" i="1"/>
  <c r="AF15" i="1"/>
  <c r="AL59" i="1"/>
  <c r="AJ36" i="1"/>
  <c r="AJ59" i="1"/>
  <c r="AI36" i="1"/>
  <c r="AI59" i="1"/>
  <c r="AG36" i="1"/>
  <c r="AH78" i="1"/>
  <c r="AF54" i="1"/>
  <c r="AF53" i="1"/>
  <c r="AF52" i="1"/>
  <c r="AF51" i="1"/>
  <c r="AF50" i="1"/>
  <c r="AF49" i="1"/>
  <c r="AF48" i="1"/>
  <c r="AF47" i="1"/>
  <c r="AF46" i="1"/>
  <c r="AF45" i="1"/>
  <c r="AF44" i="1"/>
  <c r="AF43" i="1"/>
  <c r="AF42" i="1"/>
  <c r="AF41" i="1"/>
  <c r="AF40" i="1"/>
  <c r="AF39" i="1"/>
  <c r="AF38" i="1"/>
  <c r="AF61" i="1"/>
  <c r="AG59" i="1"/>
  <c r="AF77" i="1"/>
  <c r="AF76" i="1"/>
  <c r="AF75" i="1"/>
  <c r="AF74" i="1"/>
  <c r="AF73" i="1"/>
  <c r="AF72" i="1"/>
  <c r="AF71" i="1"/>
  <c r="AF70" i="1"/>
  <c r="AF69" i="1"/>
  <c r="AF68" i="1"/>
  <c r="AF67" i="1"/>
  <c r="AF66" i="1"/>
  <c r="AF65" i="1"/>
  <c r="AF64" i="1"/>
  <c r="AF63" i="1"/>
  <c r="AF62" i="1"/>
  <c r="B56" i="7"/>
  <c r="F55" i="7"/>
  <c r="E55" i="7"/>
  <c r="D55" i="7"/>
  <c r="C55" i="7"/>
  <c r="B55" i="7"/>
  <c r="F54" i="7"/>
  <c r="E54" i="7"/>
  <c r="D54" i="7"/>
  <c r="C54" i="7"/>
  <c r="F53" i="7"/>
  <c r="E53" i="7"/>
  <c r="D53" i="7"/>
  <c r="C53" i="7"/>
  <c r="F44" i="7"/>
  <c r="E44" i="7"/>
  <c r="D44" i="7"/>
  <c r="C44" i="7"/>
  <c r="F43" i="7"/>
  <c r="E43" i="7"/>
  <c r="D43" i="7"/>
  <c r="C43" i="7"/>
  <c r="F41" i="7"/>
  <c r="E41" i="7"/>
  <c r="D41" i="7"/>
  <c r="C41" i="7"/>
  <c r="F40" i="7"/>
  <c r="E40" i="7"/>
  <c r="D40" i="7"/>
  <c r="C40" i="7"/>
  <c r="F39" i="7"/>
  <c r="E39" i="7"/>
  <c r="D39" i="7"/>
  <c r="C39" i="7"/>
  <c r="C38" i="7"/>
  <c r="B12" i="7"/>
  <c r="B11" i="7"/>
  <c r="B10" i="7"/>
  <c r="B9" i="7"/>
  <c r="B8" i="7"/>
  <c r="B7" i="7"/>
  <c r="B6" i="7"/>
  <c r="B5" i="7"/>
  <c r="B4" i="7"/>
  <c r="B34" i="7"/>
  <c r="B33" i="7"/>
  <c r="B113" i="8"/>
  <c r="B112" i="8"/>
  <c r="B111" i="8"/>
  <c r="B110" i="8"/>
  <c r="B109" i="8"/>
  <c r="B108" i="8"/>
  <c r="B107" i="8"/>
  <c r="B106" i="8"/>
  <c r="B105" i="8"/>
  <c r="B104" i="8"/>
  <c r="B103" i="8"/>
  <c r="B102" i="8"/>
  <c r="B101" i="8"/>
  <c r="B99" i="8"/>
  <c r="C101" i="8"/>
  <c r="D101" i="8"/>
  <c r="E101" i="8"/>
  <c r="F101" i="8"/>
  <c r="G101" i="8"/>
  <c r="C102" i="8"/>
  <c r="D102" i="8"/>
  <c r="E102" i="8"/>
  <c r="F102" i="8"/>
  <c r="G102" i="8"/>
  <c r="C103" i="8"/>
  <c r="D103" i="8"/>
  <c r="E103" i="8"/>
  <c r="F103" i="8"/>
  <c r="G103" i="8"/>
  <c r="C104" i="8"/>
  <c r="D104" i="8"/>
  <c r="E104" i="8"/>
  <c r="F104" i="8"/>
  <c r="G104" i="8"/>
  <c r="C105" i="8"/>
  <c r="D105" i="8"/>
  <c r="E105" i="8"/>
  <c r="F105" i="8"/>
  <c r="G105" i="8"/>
  <c r="C106" i="8"/>
  <c r="D106" i="8"/>
  <c r="E106" i="8"/>
  <c r="F106" i="8"/>
  <c r="G106" i="8"/>
  <c r="C107" i="8"/>
  <c r="D107" i="8"/>
  <c r="E107" i="8"/>
  <c r="F107" i="8"/>
  <c r="G107" i="8"/>
  <c r="C108" i="8"/>
  <c r="D108" i="8"/>
  <c r="E108" i="8"/>
  <c r="F108" i="8"/>
  <c r="G108" i="8"/>
  <c r="C109" i="8"/>
  <c r="D109" i="8"/>
  <c r="E109" i="8"/>
  <c r="F109" i="8"/>
  <c r="G109" i="8"/>
  <c r="C110" i="8"/>
  <c r="D110" i="8"/>
  <c r="E110" i="8"/>
  <c r="F110" i="8"/>
  <c r="G110" i="8"/>
  <c r="C111" i="8"/>
  <c r="D111" i="8"/>
  <c r="E111" i="8"/>
  <c r="F111" i="8"/>
  <c r="G111" i="8"/>
  <c r="C112" i="8"/>
  <c r="D112" i="8"/>
  <c r="E112" i="8"/>
  <c r="F112" i="8"/>
  <c r="G112" i="8"/>
  <c r="C113" i="8"/>
  <c r="D113" i="8"/>
  <c r="E113" i="8"/>
  <c r="F113" i="8"/>
  <c r="G113" i="8"/>
  <c r="C84" i="8"/>
  <c r="C69" i="8"/>
  <c r="I68" i="8"/>
  <c r="H68" i="8"/>
  <c r="G68" i="8"/>
  <c r="F68" i="8"/>
  <c r="E68" i="8"/>
  <c r="D68" i="8"/>
  <c r="C68" i="8"/>
  <c r="I67" i="8"/>
  <c r="H67" i="8"/>
  <c r="G67" i="8"/>
  <c r="F67" i="8"/>
  <c r="E67" i="8"/>
  <c r="D67" i="8"/>
  <c r="C67" i="8"/>
  <c r="I66" i="8"/>
  <c r="H66" i="8"/>
  <c r="G66" i="8"/>
  <c r="F66" i="8"/>
  <c r="E66" i="8"/>
  <c r="D66" i="8"/>
  <c r="C66" i="8"/>
  <c r="I60" i="8"/>
  <c r="H60" i="8"/>
  <c r="G60" i="8"/>
  <c r="F60" i="8"/>
  <c r="E60" i="8"/>
  <c r="D60" i="8"/>
  <c r="I50" i="8"/>
  <c r="H50" i="8"/>
  <c r="G50" i="8"/>
  <c r="F50" i="8"/>
  <c r="E50" i="8"/>
  <c r="D50" i="8"/>
  <c r="I49" i="8"/>
  <c r="H49" i="8"/>
  <c r="G49" i="8"/>
  <c r="F49" i="8"/>
  <c r="E49" i="8"/>
  <c r="D49" i="8"/>
  <c r="I47" i="8"/>
  <c r="H47" i="8"/>
  <c r="G47" i="8"/>
  <c r="F47" i="8"/>
  <c r="E47" i="8"/>
  <c r="D47" i="8"/>
  <c r="I46" i="8"/>
  <c r="H46" i="8"/>
  <c r="G46" i="8"/>
  <c r="F46" i="8"/>
  <c r="E46" i="8"/>
  <c r="D46" i="8"/>
  <c r="I45" i="8"/>
  <c r="H45" i="8"/>
  <c r="G45" i="8"/>
  <c r="F45" i="8"/>
  <c r="E45" i="8"/>
  <c r="D45" i="8"/>
  <c r="I44" i="8"/>
  <c r="H44" i="8"/>
  <c r="D44" i="8"/>
  <c r="B42" i="8"/>
  <c r="B19" i="8"/>
  <c r="K19" i="8"/>
  <c r="K15" i="7" s="1"/>
  <c r="B20" i="8"/>
  <c r="B16" i="7" s="1"/>
  <c r="C20" i="8"/>
  <c r="C16" i="7" s="1"/>
  <c r="D20" i="8"/>
  <c r="D16" i="7" s="1"/>
  <c r="E20" i="8"/>
  <c r="E16" i="7" s="1"/>
  <c r="F20" i="8"/>
  <c r="F16" i="7" s="1"/>
  <c r="G20" i="8"/>
  <c r="G16" i="7" s="1"/>
  <c r="H20" i="8"/>
  <c r="H16" i="7" s="1"/>
  <c r="I20" i="8"/>
  <c r="I16" i="7" s="1"/>
  <c r="J20" i="8"/>
  <c r="J16" i="7" s="1"/>
  <c r="B21" i="8"/>
  <c r="B17" i="7" s="1"/>
  <c r="C21" i="8"/>
  <c r="C17" i="7" s="1"/>
  <c r="D21" i="8"/>
  <c r="D17" i="7" s="1"/>
  <c r="E21" i="8"/>
  <c r="E17" i="7" s="1"/>
  <c r="F21" i="8"/>
  <c r="F17" i="7" s="1"/>
  <c r="G21" i="8"/>
  <c r="G17" i="7" s="1"/>
  <c r="H21" i="8"/>
  <c r="H17" i="7" s="1"/>
  <c r="I21" i="8"/>
  <c r="I17" i="7" s="1"/>
  <c r="J21" i="8"/>
  <c r="J17" i="7" s="1"/>
  <c r="B22" i="8"/>
  <c r="B18" i="7" s="1"/>
  <c r="C22" i="8"/>
  <c r="C18" i="7" s="1"/>
  <c r="D22" i="8"/>
  <c r="D18" i="7" s="1"/>
  <c r="E22" i="8"/>
  <c r="E18" i="7" s="1"/>
  <c r="F22" i="8"/>
  <c r="F18" i="7" s="1"/>
  <c r="G22" i="8"/>
  <c r="G18" i="7" s="1"/>
  <c r="H22" i="8"/>
  <c r="H18" i="7" s="1"/>
  <c r="I22" i="8"/>
  <c r="I18" i="7" s="1"/>
  <c r="J22" i="8"/>
  <c r="J18" i="7" s="1"/>
  <c r="B23" i="8"/>
  <c r="B19" i="7" s="1"/>
  <c r="C23" i="8"/>
  <c r="C19" i="7" s="1"/>
  <c r="D23" i="8"/>
  <c r="D19" i="7" s="1"/>
  <c r="E23" i="8"/>
  <c r="E19" i="7" s="1"/>
  <c r="F23" i="8"/>
  <c r="F19" i="7" s="1"/>
  <c r="G23" i="8"/>
  <c r="G19" i="7" s="1"/>
  <c r="H23" i="8"/>
  <c r="H19" i="7" s="1"/>
  <c r="I23" i="8"/>
  <c r="I19" i="7" s="1"/>
  <c r="J23" i="8"/>
  <c r="J19" i="7" s="1"/>
  <c r="B24" i="8"/>
  <c r="B20" i="7" s="1"/>
  <c r="C24" i="8"/>
  <c r="C20" i="7" s="1"/>
  <c r="D24" i="8"/>
  <c r="D20" i="7" s="1"/>
  <c r="E24" i="8"/>
  <c r="E20" i="7" s="1"/>
  <c r="F24" i="8"/>
  <c r="F20" i="7" s="1"/>
  <c r="G24" i="8"/>
  <c r="G20" i="7" s="1"/>
  <c r="H24" i="8"/>
  <c r="H20" i="7" s="1"/>
  <c r="I24" i="8"/>
  <c r="I20" i="7" s="1"/>
  <c r="J24" i="8"/>
  <c r="J20" i="7" s="1"/>
  <c r="B25" i="8"/>
  <c r="B21" i="7" s="1"/>
  <c r="C25" i="8"/>
  <c r="C21" i="7" s="1"/>
  <c r="D25" i="8"/>
  <c r="D21" i="7" s="1"/>
  <c r="E25" i="8"/>
  <c r="E21" i="7" s="1"/>
  <c r="F25" i="8"/>
  <c r="F21" i="7" s="1"/>
  <c r="G25" i="8"/>
  <c r="G21" i="7" s="1"/>
  <c r="H25" i="8"/>
  <c r="H21" i="7" s="1"/>
  <c r="I25" i="8"/>
  <c r="I21" i="7" s="1"/>
  <c r="J25" i="8"/>
  <c r="J21" i="7" s="1"/>
  <c r="B26" i="8"/>
  <c r="B22" i="7" s="1"/>
  <c r="C26" i="8"/>
  <c r="C22" i="7" s="1"/>
  <c r="D26" i="8"/>
  <c r="D22" i="7" s="1"/>
  <c r="E26" i="8"/>
  <c r="E22" i="7" s="1"/>
  <c r="F26" i="8"/>
  <c r="F22" i="7" s="1"/>
  <c r="G26" i="8"/>
  <c r="G22" i="7" s="1"/>
  <c r="H26" i="8"/>
  <c r="H22" i="7" s="1"/>
  <c r="I26" i="8"/>
  <c r="I22" i="7" s="1"/>
  <c r="J26" i="8"/>
  <c r="J22" i="7" s="1"/>
  <c r="B27" i="8"/>
  <c r="B23" i="7" s="1"/>
  <c r="C27" i="8"/>
  <c r="C23" i="7" s="1"/>
  <c r="D27" i="8"/>
  <c r="D23" i="7" s="1"/>
  <c r="E27" i="8"/>
  <c r="E23" i="7" s="1"/>
  <c r="F27" i="8"/>
  <c r="F23" i="7" s="1"/>
  <c r="G27" i="8"/>
  <c r="G23" i="7" s="1"/>
  <c r="H27" i="8"/>
  <c r="H23" i="7" s="1"/>
  <c r="I27" i="8"/>
  <c r="I23" i="7" s="1"/>
  <c r="J27" i="8"/>
  <c r="J23" i="7" s="1"/>
  <c r="B28" i="8"/>
  <c r="B24" i="7" s="1"/>
  <c r="C28" i="8"/>
  <c r="C24" i="7" s="1"/>
  <c r="D28" i="8"/>
  <c r="D24" i="7" s="1"/>
  <c r="E28" i="8"/>
  <c r="E24" i="7" s="1"/>
  <c r="F28" i="8"/>
  <c r="F24" i="7" s="1"/>
  <c r="G28" i="8"/>
  <c r="G24" i="7" s="1"/>
  <c r="H28" i="8"/>
  <c r="H24" i="7" s="1"/>
  <c r="I28" i="8"/>
  <c r="I24" i="7" s="1"/>
  <c r="J28" i="8"/>
  <c r="J24" i="7" s="1"/>
  <c r="B29" i="8"/>
  <c r="B25" i="7" s="1"/>
  <c r="C29" i="8"/>
  <c r="C25" i="7" s="1"/>
  <c r="D29" i="8"/>
  <c r="D25" i="7" s="1"/>
  <c r="E29" i="8"/>
  <c r="E25" i="7" s="1"/>
  <c r="F29" i="8"/>
  <c r="F25" i="7" s="1"/>
  <c r="G29" i="8"/>
  <c r="G25" i="7" s="1"/>
  <c r="H29" i="8"/>
  <c r="H25" i="7" s="1"/>
  <c r="I29" i="8"/>
  <c r="I25" i="7" s="1"/>
  <c r="J29" i="8"/>
  <c r="J25" i="7" s="1"/>
  <c r="B30" i="8"/>
  <c r="B26" i="7" s="1"/>
  <c r="C30" i="8"/>
  <c r="C26" i="7" s="1"/>
  <c r="D30" i="8"/>
  <c r="D26" i="7" s="1"/>
  <c r="E30" i="8"/>
  <c r="E26" i="7" s="1"/>
  <c r="F30" i="8"/>
  <c r="F26" i="7" s="1"/>
  <c r="G30" i="8"/>
  <c r="G26" i="7" s="1"/>
  <c r="H30" i="8"/>
  <c r="H26" i="7" s="1"/>
  <c r="I30" i="8"/>
  <c r="I26" i="7" s="1"/>
  <c r="J30" i="8"/>
  <c r="J26" i="7" s="1"/>
  <c r="B31" i="8"/>
  <c r="B27" i="7" s="1"/>
  <c r="C31" i="8"/>
  <c r="C27" i="7" s="1"/>
  <c r="B32" i="8"/>
  <c r="B28" i="7" s="1"/>
  <c r="C32" i="8"/>
  <c r="C28" i="7" s="1"/>
  <c r="B33" i="8"/>
  <c r="B29" i="7" s="1"/>
  <c r="C33" i="8"/>
  <c r="C29" i="7" s="1"/>
  <c r="D33" i="8"/>
  <c r="D29" i="7" s="1"/>
  <c r="E33" i="8"/>
  <c r="E29" i="7" s="1"/>
  <c r="F33" i="8"/>
  <c r="F29" i="7" s="1"/>
  <c r="G33" i="8"/>
  <c r="G29" i="7" s="1"/>
  <c r="H33" i="8"/>
  <c r="H29" i="7" s="1"/>
  <c r="I33" i="8"/>
  <c r="I29" i="7" s="1"/>
  <c r="J33" i="8"/>
  <c r="J29" i="7" s="1"/>
  <c r="B34" i="8"/>
  <c r="B30" i="7" s="1"/>
  <c r="C34" i="8"/>
  <c r="C30" i="7" s="1"/>
  <c r="D34" i="8"/>
  <c r="D30" i="7" s="1"/>
  <c r="E34" i="8"/>
  <c r="E30" i="7" s="1"/>
  <c r="F34" i="8"/>
  <c r="F30" i="7" s="1"/>
  <c r="G34" i="8"/>
  <c r="G30" i="7" s="1"/>
  <c r="H34" i="8"/>
  <c r="H30" i="7" s="1"/>
  <c r="I34" i="8"/>
  <c r="I30" i="7" s="1"/>
  <c r="J34" i="8"/>
  <c r="J30" i="7" s="1"/>
  <c r="B35" i="8"/>
  <c r="B31" i="7" s="1"/>
  <c r="C35" i="8"/>
  <c r="C31" i="7" s="1"/>
  <c r="B36" i="8"/>
  <c r="B32" i="7" s="1"/>
  <c r="C36" i="8"/>
  <c r="C32" i="7" s="1"/>
  <c r="J36" i="8"/>
  <c r="J32" i="7" s="1"/>
  <c r="J15" i="8"/>
  <c r="J12" i="7" s="1"/>
  <c r="I15" i="8"/>
  <c r="I12" i="7" s="1"/>
  <c r="H15" i="8"/>
  <c r="H12" i="7" s="1"/>
  <c r="C15" i="8"/>
  <c r="C12" i="7" s="1"/>
  <c r="J14" i="8"/>
  <c r="J11" i="7" s="1"/>
  <c r="I14" i="8"/>
  <c r="I11" i="7" s="1"/>
  <c r="H14" i="8"/>
  <c r="H11" i="7" s="1"/>
  <c r="G14" i="8"/>
  <c r="G11" i="7" s="1"/>
  <c r="F14" i="8"/>
  <c r="F11" i="7" s="1"/>
  <c r="E14" i="8"/>
  <c r="E11" i="7" s="1"/>
  <c r="D14" i="8"/>
  <c r="D11" i="7" s="1"/>
  <c r="C14" i="8"/>
  <c r="C11" i="7" s="1"/>
  <c r="J13" i="8"/>
  <c r="J10" i="7" s="1"/>
  <c r="I13" i="8"/>
  <c r="I10" i="7" s="1"/>
  <c r="H13" i="8"/>
  <c r="H10" i="7" s="1"/>
  <c r="G13" i="8"/>
  <c r="G10" i="7" s="1"/>
  <c r="F13" i="8"/>
  <c r="F10" i="7" s="1"/>
  <c r="E13" i="8"/>
  <c r="E10" i="7" s="1"/>
  <c r="D13" i="8"/>
  <c r="D10" i="7" s="1"/>
  <c r="C13" i="8"/>
  <c r="C10" i="7" s="1"/>
  <c r="J12" i="8"/>
  <c r="J9" i="7" s="1"/>
  <c r="I12" i="8"/>
  <c r="I9" i="7" s="1"/>
  <c r="H12" i="8"/>
  <c r="H9" i="7" s="1"/>
  <c r="C12" i="8"/>
  <c r="C9" i="7" s="1"/>
  <c r="J11" i="8"/>
  <c r="J8" i="7" s="1"/>
  <c r="I11" i="8"/>
  <c r="I8" i="7" s="1"/>
  <c r="H11" i="8"/>
  <c r="H8" i="7" s="1"/>
  <c r="G11" i="8"/>
  <c r="G8" i="7" s="1"/>
  <c r="F11" i="8"/>
  <c r="F8" i="7" s="1"/>
  <c r="E11" i="8"/>
  <c r="E8" i="7" s="1"/>
  <c r="D11" i="8"/>
  <c r="D8" i="7" s="1"/>
  <c r="C11" i="8"/>
  <c r="C8" i="7" s="1"/>
  <c r="J10" i="8"/>
  <c r="J7" i="7" s="1"/>
  <c r="I10" i="8"/>
  <c r="I7" i="7" s="1"/>
  <c r="H10" i="8"/>
  <c r="H7" i="7" s="1"/>
  <c r="G10" i="8"/>
  <c r="G7" i="7" s="1"/>
  <c r="F10" i="8"/>
  <c r="F7" i="7" s="1"/>
  <c r="E10" i="8"/>
  <c r="E7" i="7" s="1"/>
  <c r="D10" i="8"/>
  <c r="D7" i="7" s="1"/>
  <c r="C10" i="8"/>
  <c r="C7" i="7" s="1"/>
  <c r="J7" i="8"/>
  <c r="J8" i="8" s="1"/>
  <c r="J5" i="7" s="1"/>
  <c r="I7" i="8"/>
  <c r="I8" i="8" s="1"/>
  <c r="I5" i="7" s="1"/>
  <c r="H7" i="8"/>
  <c r="H8" i="8" s="1"/>
  <c r="H5" i="7" s="1"/>
  <c r="G7" i="8"/>
  <c r="G8" i="8" s="1"/>
  <c r="G5" i="7" s="1"/>
  <c r="F7" i="8"/>
  <c r="F8" i="8" s="1"/>
  <c r="F5" i="7" s="1"/>
  <c r="E7" i="8"/>
  <c r="E8" i="8" s="1"/>
  <c r="E5" i="7" s="1"/>
  <c r="D7" i="8"/>
  <c r="D8" i="8" s="1"/>
  <c r="D5" i="7" s="1"/>
  <c r="C7" i="8"/>
  <c r="C8" i="8" s="1"/>
  <c r="C5" i="7" s="1"/>
  <c r="J6" i="8"/>
  <c r="J3" i="7" s="1"/>
  <c r="I6" i="8"/>
  <c r="I3" i="7" s="1"/>
  <c r="H6" i="8"/>
  <c r="H3" i="7" s="1"/>
  <c r="G6" i="8"/>
  <c r="G3" i="7" s="1"/>
  <c r="F6" i="8"/>
  <c r="F3" i="7" s="1"/>
  <c r="E6" i="8"/>
  <c r="E3" i="7" s="1"/>
  <c r="D6" i="8"/>
  <c r="D3" i="7" s="1"/>
  <c r="C6" i="8"/>
  <c r="C3" i="7" s="1"/>
  <c r="B78" i="3"/>
  <c r="B77" i="3"/>
  <c r="C76" i="3"/>
  <c r="B76" i="3"/>
  <c r="C75" i="3"/>
  <c r="B75" i="3"/>
  <c r="C74" i="3"/>
  <c r="B74" i="3"/>
  <c r="B73" i="3"/>
  <c r="C72" i="3"/>
  <c r="B72" i="3"/>
  <c r="O18" i="3"/>
  <c r="O17" i="3"/>
  <c r="M20" i="3"/>
  <c r="K34" i="8"/>
  <c r="K30" i="7" s="1"/>
  <c r="B149" i="3"/>
  <c r="C151" i="3"/>
  <c r="B153" i="3"/>
  <c r="C153" i="3"/>
  <c r="D153" i="3"/>
  <c r="E153" i="3"/>
  <c r="F153" i="3"/>
  <c r="G153" i="3"/>
  <c r="H153" i="3"/>
  <c r="B154" i="3"/>
  <c r="C154" i="3"/>
  <c r="D154" i="3"/>
  <c r="E154" i="3"/>
  <c r="F154" i="3"/>
  <c r="G154" i="3"/>
  <c r="H154" i="3"/>
  <c r="B155" i="3"/>
  <c r="B156" i="3"/>
  <c r="B157" i="3"/>
  <c r="B158" i="3"/>
  <c r="B159" i="3"/>
  <c r="B160" i="3"/>
  <c r="C160" i="3"/>
  <c r="D160" i="3"/>
  <c r="E160" i="3"/>
  <c r="F160" i="3"/>
  <c r="G160" i="3"/>
  <c r="H160" i="3"/>
  <c r="B161" i="3"/>
  <c r="B164" i="3"/>
  <c r="B165" i="3"/>
  <c r="B166" i="3"/>
  <c r="B167" i="3"/>
  <c r="C167" i="3"/>
  <c r="D167" i="3"/>
  <c r="E167" i="3"/>
  <c r="F167" i="3"/>
  <c r="B168" i="3"/>
  <c r="C168" i="3"/>
  <c r="D168" i="3"/>
  <c r="E168" i="3"/>
  <c r="F168" i="3"/>
  <c r="G168" i="3"/>
  <c r="H168" i="3"/>
  <c r="B169" i="3"/>
  <c r="C169" i="3"/>
  <c r="D169" i="3"/>
  <c r="E169" i="3"/>
  <c r="F169" i="3"/>
  <c r="G169" i="3"/>
  <c r="H169" i="3"/>
  <c r="B170" i="3"/>
  <c r="C170" i="3"/>
  <c r="D170" i="3"/>
  <c r="E170" i="3"/>
  <c r="F170" i="3"/>
  <c r="G170" i="3"/>
  <c r="H170" i="3"/>
  <c r="B171" i="3"/>
  <c r="B173" i="3"/>
  <c r="B175" i="3"/>
  <c r="B183" i="3"/>
  <c r="B185" i="3"/>
  <c r="G92" i="3"/>
  <c r="D92" i="3"/>
  <c r="B92" i="3"/>
  <c r="G91" i="3"/>
  <c r="D91" i="3"/>
  <c r="B91" i="3"/>
  <c r="G90" i="3"/>
  <c r="D90" i="3"/>
  <c r="B90" i="3"/>
  <c r="G89" i="3"/>
  <c r="D89" i="3"/>
  <c r="B89" i="3"/>
  <c r="G88" i="3"/>
  <c r="D88" i="3"/>
  <c r="B88" i="3"/>
  <c r="G87" i="3"/>
  <c r="D87" i="3"/>
  <c r="B87" i="3"/>
  <c r="G86" i="3"/>
  <c r="D86" i="3"/>
  <c r="B86" i="3"/>
  <c r="G85" i="3"/>
  <c r="D85" i="3"/>
  <c r="B85" i="3"/>
  <c r="G84" i="3"/>
  <c r="D84" i="3"/>
  <c r="B84" i="3"/>
  <c r="D64" i="3"/>
  <c r="D65" i="3"/>
  <c r="C29" i="3"/>
  <c r="D29" i="3"/>
  <c r="E29" i="3"/>
  <c r="F29" i="3"/>
  <c r="G29" i="3"/>
  <c r="H29" i="3"/>
  <c r="I29" i="3"/>
  <c r="B31" i="3"/>
  <c r="C31" i="3"/>
  <c r="D31" i="3"/>
  <c r="E31" i="3"/>
  <c r="F31" i="3"/>
  <c r="G31" i="3"/>
  <c r="H31" i="3"/>
  <c r="I31" i="3"/>
  <c r="B32" i="3"/>
  <c r="C32" i="3"/>
  <c r="D32" i="3"/>
  <c r="E32" i="3"/>
  <c r="F32" i="3"/>
  <c r="G32" i="3"/>
  <c r="H32" i="3"/>
  <c r="I32" i="3"/>
  <c r="B33" i="3"/>
  <c r="B35" i="3"/>
  <c r="C35" i="3"/>
  <c r="D35" i="3"/>
  <c r="E35" i="3"/>
  <c r="F35" i="3"/>
  <c r="G35" i="3"/>
  <c r="H35" i="3"/>
  <c r="I35" i="3"/>
  <c r="B36" i="3"/>
  <c r="V22" i="3"/>
  <c r="O22" i="3"/>
  <c r="M22" i="3"/>
  <c r="O21" i="3"/>
  <c r="M21" i="3"/>
  <c r="V20" i="3"/>
  <c r="U20" i="3"/>
  <c r="T20" i="3"/>
  <c r="S20" i="3"/>
  <c r="R20" i="3"/>
  <c r="Q20" i="3"/>
  <c r="P20" i="3"/>
  <c r="O20" i="3"/>
  <c r="V19" i="3"/>
  <c r="U19" i="3"/>
  <c r="T19" i="3"/>
  <c r="S19" i="3"/>
  <c r="R19" i="3"/>
  <c r="Q19" i="3"/>
  <c r="P19" i="3"/>
  <c r="O19" i="3"/>
  <c r="M19" i="3"/>
  <c r="M18" i="3"/>
  <c r="M17" i="3"/>
  <c r="V16" i="3"/>
  <c r="U16" i="3"/>
  <c r="T16" i="3"/>
  <c r="S16" i="3"/>
  <c r="R16" i="3"/>
  <c r="Q16" i="3"/>
  <c r="P16" i="3"/>
  <c r="O16" i="3"/>
  <c r="M16" i="3"/>
  <c r="V15" i="3"/>
  <c r="U15" i="3"/>
  <c r="T15" i="3"/>
  <c r="S15" i="3"/>
  <c r="R15" i="3"/>
  <c r="Q15" i="3"/>
  <c r="P15" i="3"/>
  <c r="O15" i="3"/>
  <c r="M15" i="3"/>
  <c r="V14" i="3"/>
  <c r="U14" i="3"/>
  <c r="T14" i="3"/>
  <c r="S14" i="3"/>
  <c r="R14" i="3"/>
  <c r="Q14" i="3"/>
  <c r="P14" i="3"/>
  <c r="O14" i="3"/>
  <c r="M14" i="3"/>
  <c r="V13" i="3"/>
  <c r="U13" i="3"/>
  <c r="T13" i="3"/>
  <c r="S13" i="3"/>
  <c r="R13" i="3"/>
  <c r="Q13" i="3"/>
  <c r="P13" i="3"/>
  <c r="O13" i="3"/>
  <c r="M13" i="3"/>
  <c r="V12" i="3"/>
  <c r="U12" i="3"/>
  <c r="T12" i="3"/>
  <c r="S12" i="3"/>
  <c r="R12" i="3"/>
  <c r="Q12" i="3"/>
  <c r="P12" i="3"/>
  <c r="O12" i="3"/>
  <c r="M12" i="3"/>
  <c r="V11" i="3"/>
  <c r="U11" i="3"/>
  <c r="T11" i="3"/>
  <c r="S11" i="3"/>
  <c r="R11" i="3"/>
  <c r="Q11" i="3"/>
  <c r="P11" i="3"/>
  <c r="O11" i="3"/>
  <c r="M11" i="3"/>
  <c r="V10" i="3"/>
  <c r="U10" i="3"/>
  <c r="T10" i="3"/>
  <c r="S10" i="3"/>
  <c r="R10" i="3"/>
  <c r="Q10" i="3"/>
  <c r="P10" i="3"/>
  <c r="O10" i="3"/>
  <c r="M10" i="3"/>
  <c r="V9" i="3"/>
  <c r="U9" i="3"/>
  <c r="T9" i="3"/>
  <c r="S9" i="3"/>
  <c r="R9" i="3"/>
  <c r="Q9" i="3"/>
  <c r="P9" i="3"/>
  <c r="O9" i="3"/>
  <c r="M9" i="3"/>
  <c r="V8" i="3"/>
  <c r="U8" i="3"/>
  <c r="T8" i="3"/>
  <c r="S8" i="3"/>
  <c r="R8" i="3"/>
  <c r="Q8" i="3"/>
  <c r="P8" i="3"/>
  <c r="O8" i="3"/>
  <c r="M8" i="3"/>
  <c r="V7" i="3"/>
  <c r="U7" i="3"/>
  <c r="T7" i="3"/>
  <c r="S7" i="3"/>
  <c r="R7" i="3"/>
  <c r="Q7" i="3"/>
  <c r="P7" i="3"/>
  <c r="O7" i="3"/>
  <c r="M7" i="3"/>
  <c r="V6" i="3"/>
  <c r="U6" i="3"/>
  <c r="T6" i="3"/>
  <c r="S6" i="3"/>
  <c r="R6" i="3"/>
  <c r="Q6" i="3"/>
  <c r="P6" i="3"/>
  <c r="O6" i="3"/>
  <c r="M6" i="3"/>
  <c r="N5" i="3"/>
  <c r="C5" i="3" s="1"/>
  <c r="M101" i="3"/>
  <c r="M124" i="3"/>
  <c r="M125" i="3"/>
  <c r="M126" i="3"/>
  <c r="M127" i="3"/>
  <c r="I91" i="1"/>
  <c r="I113" i="8" s="1"/>
  <c r="I90" i="1"/>
  <c r="I112" i="8" s="1"/>
  <c r="I89" i="1"/>
  <c r="I111" i="8" s="1"/>
  <c r="I88" i="1"/>
  <c r="I110" i="8" s="1"/>
  <c r="I87" i="1"/>
  <c r="I109" i="8" s="1"/>
  <c r="I86" i="1"/>
  <c r="I108" i="8" s="1"/>
  <c r="I85" i="1"/>
  <c r="I107" i="8" s="1"/>
  <c r="I84" i="1"/>
  <c r="I106" i="8" s="1"/>
  <c r="I83" i="1"/>
  <c r="I105" i="8" s="1"/>
  <c r="I82" i="1"/>
  <c r="I104" i="8" s="1"/>
  <c r="I81" i="1"/>
  <c r="I103" i="8" s="1"/>
  <c r="I80" i="1"/>
  <c r="I102" i="8" s="1"/>
  <c r="I79" i="1"/>
  <c r="I101" i="8" s="1"/>
  <c r="C92" i="1"/>
  <c r="C114" i="8" s="1"/>
  <c r="D92" i="1"/>
  <c r="D114" i="8" s="1"/>
  <c r="E73" i="1"/>
  <c r="M123" i="3" s="1"/>
  <c r="C175" i="1"/>
  <c r="E72" i="1"/>
  <c r="M122" i="3" s="1"/>
  <c r="C174" i="1"/>
  <c r="E71" i="1"/>
  <c r="M121" i="3" s="1"/>
  <c r="C173" i="1"/>
  <c r="E70" i="1"/>
  <c r="M120" i="3" s="1"/>
  <c r="C172" i="1"/>
  <c r="E69" i="1"/>
  <c r="M119" i="3" s="1"/>
  <c r="C171" i="1"/>
  <c r="E68" i="1"/>
  <c r="M118" i="3" s="1"/>
  <c r="C170" i="1"/>
  <c r="E67" i="1"/>
  <c r="M117" i="3" s="1"/>
  <c r="C169" i="1"/>
  <c r="E66" i="1"/>
  <c r="M116" i="3" s="1"/>
  <c r="C168" i="1"/>
  <c r="E65" i="1"/>
  <c r="M115" i="3" s="1"/>
  <c r="C167" i="1"/>
  <c r="E64" i="1"/>
  <c r="M114" i="3" s="1"/>
  <c r="C166" i="1"/>
  <c r="E63" i="1"/>
  <c r="M113" i="3" s="1"/>
  <c r="C165" i="1"/>
  <c r="E62" i="1"/>
  <c r="M112" i="3" s="1"/>
  <c r="C164" i="1"/>
  <c r="B58" i="1" l="1"/>
  <c r="AG75" i="1"/>
  <c r="G4" i="7"/>
  <c r="H4" i="7"/>
  <c r="H109" i="8"/>
  <c r="H106" i="8"/>
  <c r="H112" i="8"/>
  <c r="H103" i="8"/>
  <c r="I4" i="7"/>
  <c r="J4" i="7"/>
  <c r="C4" i="7"/>
  <c r="D4" i="7"/>
  <c r="E4" i="7"/>
  <c r="F4" i="7"/>
  <c r="H113" i="8"/>
  <c r="H110" i="8"/>
  <c r="H107" i="8"/>
  <c r="H104" i="8"/>
  <c r="H101" i="8"/>
  <c r="H111" i="8"/>
  <c r="H108" i="8"/>
  <c r="H105" i="8"/>
  <c r="H102" i="8"/>
  <c r="H92" i="1"/>
  <c r="H114" i="8" s="1"/>
  <c r="N7" i="11"/>
  <c r="AD7" i="11" s="1"/>
  <c r="Q135" i="3" s="1"/>
  <c r="C153" i="1"/>
  <c r="B66" i="7" s="1"/>
  <c r="AB18" i="11"/>
  <c r="S16" i="11"/>
  <c r="R16" i="11"/>
  <c r="Q16" i="11"/>
  <c r="P16" i="11"/>
  <c r="M16" i="11"/>
  <c r="L16" i="11"/>
  <c r="K16" i="11"/>
  <c r="H16" i="11"/>
  <c r="P144" i="3" s="1"/>
  <c r="F16" i="11"/>
  <c r="O144" i="3" s="1"/>
  <c r="N15" i="11"/>
  <c r="N14" i="11"/>
  <c r="N13" i="11"/>
  <c r="N12" i="11"/>
  <c r="N11" i="11"/>
  <c r="N10" i="11"/>
  <c r="N9" i="11"/>
  <c r="N8" i="11"/>
  <c r="N6" i="11"/>
  <c r="AA5" i="11"/>
  <c r="C186" i="1"/>
  <c r="C185" i="1"/>
  <c r="C184" i="1"/>
  <c r="C183" i="1"/>
  <c r="C182" i="1"/>
  <c r="C181" i="1"/>
  <c r="C180" i="1"/>
  <c r="C179" i="1"/>
  <c r="C178" i="1"/>
  <c r="C177" i="1"/>
  <c r="B72" i="1"/>
  <c r="B71" i="1"/>
  <c r="B70" i="1"/>
  <c r="B69" i="1"/>
  <c r="B68" i="1"/>
  <c r="B67" i="1"/>
  <c r="B66" i="1"/>
  <c r="B65" i="1"/>
  <c r="B64" i="1"/>
  <c r="B63" i="1"/>
  <c r="C72" i="1"/>
  <c r="N111" i="3" s="1"/>
  <c r="C71" i="1"/>
  <c r="N110" i="3" s="1"/>
  <c r="C67" i="1"/>
  <c r="N106" i="3" s="1"/>
  <c r="C63" i="1"/>
  <c r="N102" i="3" s="1"/>
  <c r="W6" i="11" l="1"/>
  <c r="AA6" i="11"/>
  <c r="Z6" i="11"/>
  <c r="C16" i="2"/>
  <c r="W8" i="11"/>
  <c r="X8" i="11" s="1"/>
  <c r="AA8" i="11"/>
  <c r="H179" i="1" s="1"/>
  <c r="Z8" i="11"/>
  <c r="C17" i="2"/>
  <c r="W9" i="11"/>
  <c r="X9" i="11" s="1"/>
  <c r="AA9" i="11"/>
  <c r="Z9" i="11"/>
  <c r="C18" i="2"/>
  <c r="W10" i="11"/>
  <c r="X10" i="11" s="1"/>
  <c r="AA10" i="11"/>
  <c r="Z10" i="11"/>
  <c r="C19" i="2"/>
  <c r="AA11" i="11"/>
  <c r="AB11" i="11" s="1"/>
  <c r="W11" i="11"/>
  <c r="X11" i="11" s="1"/>
  <c r="Z11" i="11"/>
  <c r="C20" i="2"/>
  <c r="W12" i="11"/>
  <c r="X12" i="11" s="1"/>
  <c r="AA12" i="11"/>
  <c r="Z12" i="11"/>
  <c r="C21" i="2"/>
  <c r="W13" i="11"/>
  <c r="X13" i="11" s="1"/>
  <c r="Z13" i="11"/>
  <c r="AA13" i="11"/>
  <c r="R141" i="3" s="1"/>
  <c r="C22" i="2"/>
  <c r="W14" i="11"/>
  <c r="X14" i="11" s="1"/>
  <c r="Z14" i="11"/>
  <c r="AA14" i="11"/>
  <c r="C23" i="2"/>
  <c r="W15" i="11"/>
  <c r="X15" i="11" s="1"/>
  <c r="AA15" i="11"/>
  <c r="Z15" i="11"/>
  <c r="C15" i="2"/>
  <c r="W7" i="11"/>
  <c r="X7" i="11" s="1"/>
  <c r="AA7" i="11"/>
  <c r="Z7" i="11"/>
  <c r="AD10" i="11"/>
  <c r="Q138" i="3" s="1"/>
  <c r="AD14" i="11"/>
  <c r="Q142" i="3" s="1"/>
  <c r="AD8" i="11"/>
  <c r="Q136" i="3" s="1"/>
  <c r="AD9" i="11"/>
  <c r="Q137" i="3" s="1"/>
  <c r="AD15" i="11"/>
  <c r="Q143" i="3" s="1"/>
  <c r="AD11" i="11"/>
  <c r="Q139" i="3" s="1"/>
  <c r="AD12" i="11"/>
  <c r="Q140" i="3" s="1"/>
  <c r="AD13" i="11"/>
  <c r="Q141" i="3" s="1"/>
  <c r="C14" i="2"/>
  <c r="AD6" i="11"/>
  <c r="Q134" i="3" s="1"/>
  <c r="C83" i="8"/>
  <c r="B182" i="3"/>
  <c r="M108" i="3"/>
  <c r="M102" i="3"/>
  <c r="M103" i="3"/>
  <c r="M110" i="3"/>
  <c r="M104" i="3"/>
  <c r="M105" i="3"/>
  <c r="M106" i="3"/>
  <c r="M107" i="3"/>
  <c r="M109" i="3"/>
  <c r="M111" i="3"/>
  <c r="H74" i="8"/>
  <c r="F59" i="7"/>
  <c r="E59" i="7"/>
  <c r="D59" i="7"/>
  <c r="C59" i="7"/>
  <c r="I74" i="8"/>
  <c r="J16" i="11"/>
  <c r="N16" i="11"/>
  <c r="T16" i="11"/>
  <c r="C70" i="1"/>
  <c r="N109" i="3" s="1"/>
  <c r="C68" i="1"/>
  <c r="N107" i="3" s="1"/>
  <c r="C66" i="1"/>
  <c r="N105" i="3" s="1"/>
  <c r="C65" i="1"/>
  <c r="N104" i="3" s="1"/>
  <c r="C64" i="1"/>
  <c r="N103" i="3" s="1"/>
  <c r="C69" i="1"/>
  <c r="N108" i="3" s="1"/>
  <c r="W52" i="1"/>
  <c r="W51" i="1"/>
  <c r="W50" i="1"/>
  <c r="W49" i="1"/>
  <c r="W48" i="1"/>
  <c r="W47" i="1"/>
  <c r="W46" i="1"/>
  <c r="W45" i="1"/>
  <c r="W44" i="1"/>
  <c r="W43" i="1"/>
  <c r="W42" i="1"/>
  <c r="W41" i="1"/>
  <c r="W40" i="1"/>
  <c r="W39" i="1"/>
  <c r="C51" i="1"/>
  <c r="X52" i="1" s="1"/>
  <c r="C48" i="1"/>
  <c r="X49" i="1" s="1"/>
  <c r="C47" i="1"/>
  <c r="X48" i="1" s="1"/>
  <c r="C46" i="1"/>
  <c r="X47" i="1" s="1"/>
  <c r="C45" i="1"/>
  <c r="X46" i="1" s="1"/>
  <c r="C44" i="1"/>
  <c r="X45" i="1" s="1"/>
  <c r="C43" i="1"/>
  <c r="X44" i="1" s="1"/>
  <c r="C42" i="1"/>
  <c r="X43" i="1" s="1"/>
  <c r="C41" i="1"/>
  <c r="X42" i="1" s="1"/>
  <c r="C40" i="1"/>
  <c r="X41" i="1" s="1"/>
  <c r="C39" i="1"/>
  <c r="X40" i="1" s="1"/>
  <c r="C38" i="1"/>
  <c r="P45" i="1"/>
  <c r="X6" i="11" l="1"/>
  <c r="X16" i="11" s="1"/>
  <c r="W16" i="11"/>
  <c r="AB13" i="11"/>
  <c r="B127" i="3" a="1"/>
  <c r="B127" i="3" s="1"/>
  <c r="R139" i="3"/>
  <c r="B111" i="3" a="1"/>
  <c r="B111" i="3" s="1"/>
  <c r="C118" i="3" a="1"/>
  <c r="C118" i="3" s="1"/>
  <c r="B114" i="3" a="1"/>
  <c r="B114" i="3" s="1"/>
  <c r="B103" i="3" a="1"/>
  <c r="B103" i="3" s="1"/>
  <c r="B106" i="3" a="1"/>
  <c r="B106" i="3" s="1"/>
  <c r="C128" i="3" a="1"/>
  <c r="C128" i="3" s="1"/>
  <c r="C125" i="3" a="1"/>
  <c r="C125" i="3" s="1"/>
  <c r="B115" i="3" a="1"/>
  <c r="B115" i="3" s="1"/>
  <c r="J178" i="1"/>
  <c r="R135" i="3"/>
  <c r="B125" i="3" a="1"/>
  <c r="B125" i="3" s="1"/>
  <c r="C123" i="3" a="1"/>
  <c r="C123" i="3" s="1"/>
  <c r="C119" i="3" a="1"/>
  <c r="C119" i="3" s="1"/>
  <c r="B116" i="3" a="1"/>
  <c r="B116" i="3" s="1"/>
  <c r="B119" i="3" a="1"/>
  <c r="B119" i="3" s="1"/>
  <c r="B118" i="3" a="1"/>
  <c r="B118" i="3" s="1"/>
  <c r="B126" i="3" a="1"/>
  <c r="B126" i="3" s="1"/>
  <c r="C117" i="3" a="1"/>
  <c r="C117" i="3" s="1"/>
  <c r="B113" i="3" a="1"/>
  <c r="B113" i="3" s="1"/>
  <c r="B110" i="3" a="1"/>
  <c r="B110" i="3" s="1"/>
  <c r="B105" i="3" a="1"/>
  <c r="B105" i="3" s="1"/>
  <c r="B120" i="3" a="1"/>
  <c r="B120" i="3" s="1"/>
  <c r="C114" i="3" a="1"/>
  <c r="C114" i="3" s="1"/>
  <c r="C113" i="3" a="1"/>
  <c r="C113" i="3" s="1"/>
  <c r="AB12" i="11"/>
  <c r="R140" i="3"/>
  <c r="C121" i="3" a="1"/>
  <c r="C121" i="3" s="1"/>
  <c r="C122" i="3" a="1"/>
  <c r="C122" i="3" s="1"/>
  <c r="AB8" i="11"/>
  <c r="R136" i="3"/>
  <c r="AB6" i="11"/>
  <c r="R134" i="3"/>
  <c r="C127" i="3" a="1"/>
  <c r="C127" i="3" s="1"/>
  <c r="B124" i="3" a="1"/>
  <c r="B124" i="3" s="1"/>
  <c r="B122" i="3" a="1"/>
  <c r="B122" i="3" s="1"/>
  <c r="C116" i="3" a="1"/>
  <c r="C116" i="3" s="1"/>
  <c r="B107" i="3" a="1"/>
  <c r="B107" i="3" s="1"/>
  <c r="AB14" i="11"/>
  <c r="R142" i="3"/>
  <c r="C120" i="3" a="1"/>
  <c r="C120" i="3" s="1"/>
  <c r="B121" i="3" a="1"/>
  <c r="B121" i="3" s="1"/>
  <c r="B102" i="3" a="1"/>
  <c r="B102" i="3" s="1"/>
  <c r="C115" i="3" a="1"/>
  <c r="C115" i="3" s="1"/>
  <c r="B128" i="3" a="1"/>
  <c r="B128" i="3" s="1"/>
  <c r="C126" i="3" a="1"/>
  <c r="C126" i="3" s="1"/>
  <c r="AB15" i="11"/>
  <c r="R143" i="3"/>
  <c r="B112" i="3" a="1"/>
  <c r="B112" i="3" s="1"/>
  <c r="B109" i="3" a="1"/>
  <c r="B109" i="3" s="1"/>
  <c r="C124" i="3" a="1"/>
  <c r="C124" i="3" s="1"/>
  <c r="B101" i="3" a="1"/>
  <c r="B101" i="3" s="1"/>
  <c r="AB9" i="11"/>
  <c r="R137" i="3"/>
  <c r="B104" i="3" a="1"/>
  <c r="B104" i="3" s="1"/>
  <c r="B108" i="3" a="1"/>
  <c r="B108" i="3" s="1"/>
  <c r="B123" i="3" a="1"/>
  <c r="B123" i="3" s="1"/>
  <c r="B117" i="3" a="1"/>
  <c r="B117" i="3" s="1"/>
  <c r="AB10" i="11"/>
  <c r="R138" i="3"/>
  <c r="X39" i="1"/>
  <c r="AG61" i="1"/>
  <c r="K27" i="8"/>
  <c r="K23" i="7" s="1"/>
  <c r="AG68" i="1"/>
  <c r="K28" i="8"/>
  <c r="K24" i="7" s="1"/>
  <c r="AG69" i="1"/>
  <c r="K29" i="8"/>
  <c r="K25" i="7" s="1"/>
  <c r="AG70" i="1"/>
  <c r="K30" i="8"/>
  <c r="K26" i="7" s="1"/>
  <c r="AG71" i="1"/>
  <c r="K33" i="8"/>
  <c r="K29" i="7" s="1"/>
  <c r="AG74" i="1"/>
  <c r="K24" i="8"/>
  <c r="K20" i="7" s="1"/>
  <c r="AG65" i="1"/>
  <c r="K25" i="8"/>
  <c r="K21" i="7" s="1"/>
  <c r="AG66" i="1"/>
  <c r="K22" i="8"/>
  <c r="K18" i="7" s="1"/>
  <c r="AG63" i="1"/>
  <c r="K26" i="8"/>
  <c r="K22" i="7" s="1"/>
  <c r="AG67" i="1"/>
  <c r="K20" i="8"/>
  <c r="K16" i="7" s="1"/>
  <c r="I31" i="8"/>
  <c r="I27" i="7" s="1"/>
  <c r="K21" i="8"/>
  <c r="K17" i="7" s="1"/>
  <c r="AG62" i="1"/>
  <c r="K23" i="8"/>
  <c r="K19" i="7" s="1"/>
  <c r="AG64" i="1"/>
  <c r="E74" i="8"/>
  <c r="F175" i="3"/>
  <c r="D74" i="8"/>
  <c r="G74" i="8"/>
  <c r="F74" i="8"/>
  <c r="E175" i="3"/>
  <c r="D175" i="3"/>
  <c r="G175" i="3"/>
  <c r="H175" i="3"/>
  <c r="C175" i="3"/>
  <c r="N10" i="3"/>
  <c r="N11" i="3"/>
  <c r="N16" i="3"/>
  <c r="N19" i="3"/>
  <c r="N12" i="3"/>
  <c r="N14" i="3"/>
  <c r="N15" i="3"/>
  <c r="N6" i="3"/>
  <c r="N13" i="3"/>
  <c r="U17" i="3"/>
  <c r="N7" i="3"/>
  <c r="N8" i="3"/>
  <c r="N9" i="3"/>
  <c r="I66" i="1"/>
  <c r="N127" i="3" s="1"/>
  <c r="I62" i="1"/>
  <c r="N125" i="3" s="1"/>
  <c r="C103" i="3" s="1" a="1"/>
  <c r="C103" i="3" s="1"/>
  <c r="F179" i="1"/>
  <c r="H178" i="1"/>
  <c r="D179" i="1"/>
  <c r="J179" i="1"/>
  <c r="AA16" i="11"/>
  <c r="R144" i="3" s="1"/>
  <c r="F178" i="1"/>
  <c r="AB7" i="11"/>
  <c r="D178" i="1"/>
  <c r="J185" i="1"/>
  <c r="H185" i="1"/>
  <c r="F185" i="1"/>
  <c r="D185" i="1"/>
  <c r="H182" i="1"/>
  <c r="J182" i="1"/>
  <c r="F182" i="1"/>
  <c r="D182" i="1"/>
  <c r="D184" i="1"/>
  <c r="F184" i="1"/>
  <c r="J184" i="1"/>
  <c r="H184" i="1"/>
  <c r="D181" i="1"/>
  <c r="F181" i="1"/>
  <c r="J181" i="1"/>
  <c r="H181" i="1"/>
  <c r="J186" i="1"/>
  <c r="H186" i="1"/>
  <c r="F186" i="1"/>
  <c r="D186" i="1"/>
  <c r="J180" i="1"/>
  <c r="F180" i="1"/>
  <c r="D180" i="1"/>
  <c r="H180" i="1"/>
  <c r="J183" i="1"/>
  <c r="F183" i="1"/>
  <c r="D183" i="1"/>
  <c r="H183" i="1"/>
  <c r="H177" i="1"/>
  <c r="J177" i="1"/>
  <c r="D177" i="1"/>
  <c r="F177" i="1"/>
  <c r="C101" i="3" l="1" a="1"/>
  <c r="C101" i="3" s="1"/>
  <c r="C136" i="3" a="1"/>
  <c r="C136" i="3" s="1"/>
  <c r="G139" i="3" a="1"/>
  <c r="G139" i="3" s="1"/>
  <c r="E138" i="3" a="1"/>
  <c r="E138" i="3" s="1"/>
  <c r="E134" i="3" a="1"/>
  <c r="E134" i="3" s="1"/>
  <c r="F139" i="3" a="1"/>
  <c r="F139" i="3" s="1"/>
  <c r="D144" i="3" a="1"/>
  <c r="D144" i="3" s="1"/>
  <c r="B137" i="3" a="1"/>
  <c r="B137" i="3" s="1"/>
  <c r="F136" i="3" a="1"/>
  <c r="F136" i="3" s="1"/>
  <c r="B141" i="3" a="1"/>
  <c r="B141" i="3" s="1"/>
  <c r="D141" i="3" a="1"/>
  <c r="D141" i="3" s="1"/>
  <c r="E144" i="3" a="1"/>
  <c r="E144" i="3" s="1"/>
  <c r="D140" i="3" a="1"/>
  <c r="D140" i="3" s="1"/>
  <c r="B144" i="3" a="1"/>
  <c r="B144" i="3" s="1"/>
  <c r="D136" i="3" a="1"/>
  <c r="D136" i="3" s="1"/>
  <c r="E142" i="3" a="1"/>
  <c r="E142" i="3" s="1"/>
  <c r="G143" i="3" a="1"/>
  <c r="G143" i="3" s="1"/>
  <c r="C143" i="3" a="1"/>
  <c r="C143" i="3" s="1"/>
  <c r="D139" i="3" a="1"/>
  <c r="D139" i="3" s="1"/>
  <c r="F143" i="3" a="1"/>
  <c r="F143" i="3" s="1"/>
  <c r="C137" i="3" a="1"/>
  <c r="C137" i="3" s="1"/>
  <c r="G142" i="3" a="1"/>
  <c r="G142" i="3" s="1"/>
  <c r="F140" i="3" a="1"/>
  <c r="F140" i="3" s="1"/>
  <c r="E139" i="3" a="1"/>
  <c r="E139" i="3" s="1"/>
  <c r="E143" i="3" a="1"/>
  <c r="E143" i="3" s="1"/>
  <c r="F142" i="3" a="1"/>
  <c r="F142" i="3" s="1"/>
  <c r="B139" i="3" a="1"/>
  <c r="B139" i="3" s="1"/>
  <c r="B143" i="3" a="1"/>
  <c r="B143" i="3" s="1"/>
  <c r="G144" i="3" a="1"/>
  <c r="G144" i="3" s="1"/>
  <c r="E137" i="3" a="1"/>
  <c r="E137" i="3" s="1"/>
  <c r="D134" i="3" a="1"/>
  <c r="D134" i="3" s="1"/>
  <c r="D137" i="3" a="1"/>
  <c r="D137" i="3" s="1"/>
  <c r="G140" i="3" a="1"/>
  <c r="G140" i="3" s="1"/>
  <c r="G141" i="3" a="1"/>
  <c r="G141" i="3" s="1"/>
  <c r="C139" i="3" a="1"/>
  <c r="C139" i="3" s="1"/>
  <c r="C140" i="3" a="1"/>
  <c r="C140" i="3" s="1"/>
  <c r="F144" i="3" a="1"/>
  <c r="F144" i="3" s="1"/>
  <c r="E136" i="3" a="1"/>
  <c r="E136" i="3" s="1"/>
  <c r="G135" i="3" a="1"/>
  <c r="G135" i="3" s="1"/>
  <c r="C138" i="3" a="1"/>
  <c r="C138" i="3" s="1"/>
  <c r="D143" i="3" a="1"/>
  <c r="D143" i="3" s="1"/>
  <c r="C142" i="3" a="1"/>
  <c r="C142" i="3" s="1"/>
  <c r="C144" i="3" a="1"/>
  <c r="C144" i="3" s="1"/>
  <c r="C141" i="3" a="1"/>
  <c r="C141" i="3" s="1"/>
  <c r="D138" i="3" a="1"/>
  <c r="D138" i="3" s="1"/>
  <c r="G136" i="3" a="1"/>
  <c r="G136" i="3" s="1"/>
  <c r="D135" i="3" a="1"/>
  <c r="D135" i="3" s="1"/>
  <c r="F134" i="3" a="1"/>
  <c r="F134" i="3" s="1"/>
  <c r="E140" i="3" a="1"/>
  <c r="E140" i="3" s="1"/>
  <c r="B135" i="3" a="1"/>
  <c r="B135" i="3" s="1"/>
  <c r="G134" i="3" a="1"/>
  <c r="G134" i="3" s="1"/>
  <c r="E141" i="3" a="1"/>
  <c r="E141" i="3" s="1"/>
  <c r="F138" i="3" a="1"/>
  <c r="F138" i="3" s="1"/>
  <c r="G138" i="3" a="1"/>
  <c r="G138" i="3" s="1"/>
  <c r="B136" i="3" a="1"/>
  <c r="B136" i="3" s="1"/>
  <c r="B142" i="3" a="1"/>
  <c r="B142" i="3" s="1"/>
  <c r="F135" i="3" a="1"/>
  <c r="F135" i="3" s="1"/>
  <c r="C134" i="3" a="1"/>
  <c r="C134" i="3" s="1"/>
  <c r="E135" i="3" a="1"/>
  <c r="E135" i="3" s="1"/>
  <c r="F141" i="3" a="1"/>
  <c r="F141" i="3" s="1"/>
  <c r="C135" i="3" a="1"/>
  <c r="C135" i="3" s="1"/>
  <c r="D142" i="3" a="1"/>
  <c r="D142" i="3" s="1"/>
  <c r="G137" i="3" a="1"/>
  <c r="G137" i="3" s="1"/>
  <c r="F137" i="3" a="1"/>
  <c r="F137" i="3" s="1"/>
  <c r="B138" i="3" a="1"/>
  <c r="B138" i="3" s="1"/>
  <c r="B134" i="3" a="1"/>
  <c r="B134" i="3" s="1"/>
  <c r="B140" i="3" a="1"/>
  <c r="B140" i="3" s="1"/>
  <c r="AB16" i="11"/>
  <c r="Q142" i="1" s="1"/>
  <c r="I69" i="8" s="1"/>
  <c r="F72" i="7"/>
  <c r="E72" i="7"/>
  <c r="D72" i="7"/>
  <c r="C72" i="7"/>
  <c r="F91" i="8"/>
  <c r="G91" i="8"/>
  <c r="E91" i="8"/>
  <c r="D91" i="8"/>
  <c r="J142" i="1" l="1"/>
  <c r="F56" i="7" s="1"/>
  <c r="O142" i="1"/>
  <c r="H69" i="8" s="1"/>
  <c r="F142" i="1"/>
  <c r="D56" i="7" s="1"/>
  <c r="H142" i="1"/>
  <c r="E56" i="7" s="1"/>
  <c r="D142" i="1"/>
  <c r="C56" i="7" s="1"/>
  <c r="H171" i="3"/>
  <c r="D161" i="1"/>
  <c r="B594" i="3"/>
  <c r="B592" i="3"/>
  <c r="F591" i="3"/>
  <c r="E591" i="3"/>
  <c r="D591" i="3"/>
  <c r="C591" i="3"/>
  <c r="B591" i="3"/>
  <c r="B589" i="3"/>
  <c r="F587" i="3"/>
  <c r="E587" i="3"/>
  <c r="D587" i="3"/>
  <c r="C587" i="3"/>
  <c r="B587" i="3"/>
  <c r="F586" i="3"/>
  <c r="E586" i="3"/>
  <c r="D586" i="3"/>
  <c r="C586" i="3"/>
  <c r="B586" i="3"/>
  <c r="F585" i="3"/>
  <c r="E585" i="3"/>
  <c r="D585" i="3"/>
  <c r="C585" i="3"/>
  <c r="B585" i="3"/>
  <c r="F584" i="3"/>
  <c r="E584" i="3"/>
  <c r="D584" i="3"/>
  <c r="C584" i="3"/>
  <c r="B584" i="3"/>
  <c r="B583" i="3"/>
  <c r="B582" i="3"/>
  <c r="B581" i="3"/>
  <c r="B580" i="3"/>
  <c r="B578" i="3"/>
  <c r="F577" i="3"/>
  <c r="E577" i="3"/>
  <c r="D577" i="3"/>
  <c r="C577" i="3"/>
  <c r="B577" i="3"/>
  <c r="B576" i="3"/>
  <c r="B575" i="3"/>
  <c r="B574" i="3"/>
  <c r="B573" i="3"/>
  <c r="B572" i="3"/>
  <c r="F571" i="3"/>
  <c r="E571" i="3"/>
  <c r="D571" i="3"/>
  <c r="C571" i="3"/>
  <c r="B571" i="3"/>
  <c r="F570" i="3"/>
  <c r="E570" i="3"/>
  <c r="D570" i="3"/>
  <c r="C570" i="3"/>
  <c r="B570" i="3"/>
  <c r="B566" i="3"/>
  <c r="B560" i="3"/>
  <c r="B558" i="3"/>
  <c r="F557" i="3"/>
  <c r="E557" i="3"/>
  <c r="D557" i="3"/>
  <c r="C557" i="3"/>
  <c r="B557" i="3"/>
  <c r="B555" i="3"/>
  <c r="F553" i="3"/>
  <c r="E553" i="3"/>
  <c r="D553" i="3"/>
  <c r="C553" i="3"/>
  <c r="B553" i="3"/>
  <c r="F552" i="3"/>
  <c r="E552" i="3"/>
  <c r="D552" i="3"/>
  <c r="C552" i="3"/>
  <c r="B552" i="3"/>
  <c r="F551" i="3"/>
  <c r="E551" i="3"/>
  <c r="D551" i="3"/>
  <c r="C551" i="3"/>
  <c r="B551" i="3"/>
  <c r="F550" i="3"/>
  <c r="E550" i="3"/>
  <c r="D550" i="3"/>
  <c r="C550" i="3"/>
  <c r="B550" i="3"/>
  <c r="B549" i="3"/>
  <c r="B548" i="3"/>
  <c r="B547" i="3"/>
  <c r="B546" i="3"/>
  <c r="B544" i="3"/>
  <c r="F543" i="3"/>
  <c r="E543" i="3"/>
  <c r="D543" i="3"/>
  <c r="C543" i="3"/>
  <c r="B543" i="3"/>
  <c r="B542" i="3"/>
  <c r="B541" i="3"/>
  <c r="B540" i="3"/>
  <c r="B539" i="3"/>
  <c r="B538" i="3"/>
  <c r="F537" i="3"/>
  <c r="E537" i="3"/>
  <c r="D537" i="3"/>
  <c r="C537" i="3"/>
  <c r="B537" i="3"/>
  <c r="F536" i="3"/>
  <c r="E536" i="3"/>
  <c r="D536" i="3"/>
  <c r="C536" i="3"/>
  <c r="B536" i="3"/>
  <c r="B532" i="3"/>
  <c r="B526" i="3"/>
  <c r="B524" i="3"/>
  <c r="F523" i="3"/>
  <c r="E523" i="3"/>
  <c r="D523" i="3"/>
  <c r="C523" i="3"/>
  <c r="B523" i="3"/>
  <c r="B521" i="3"/>
  <c r="F519" i="3"/>
  <c r="E519" i="3"/>
  <c r="D519" i="3"/>
  <c r="C519" i="3"/>
  <c r="B519" i="3"/>
  <c r="F518" i="3"/>
  <c r="E518" i="3"/>
  <c r="D518" i="3"/>
  <c r="C518" i="3"/>
  <c r="B518" i="3"/>
  <c r="F517" i="3"/>
  <c r="E517" i="3"/>
  <c r="D517" i="3"/>
  <c r="C517" i="3"/>
  <c r="B517" i="3"/>
  <c r="F516" i="3"/>
  <c r="E516" i="3"/>
  <c r="D516" i="3"/>
  <c r="C516" i="3"/>
  <c r="B516" i="3"/>
  <c r="B515" i="3"/>
  <c r="B514" i="3"/>
  <c r="B513" i="3"/>
  <c r="B512" i="3"/>
  <c r="B510" i="3"/>
  <c r="F509" i="3"/>
  <c r="E509" i="3"/>
  <c r="D509" i="3"/>
  <c r="C509" i="3"/>
  <c r="B509" i="3"/>
  <c r="B508" i="3"/>
  <c r="B507" i="3"/>
  <c r="B506" i="3"/>
  <c r="B505" i="3"/>
  <c r="B504" i="3"/>
  <c r="F503" i="3"/>
  <c r="E503" i="3"/>
  <c r="D503" i="3"/>
  <c r="C503" i="3"/>
  <c r="B503" i="3"/>
  <c r="F502" i="3"/>
  <c r="E502" i="3"/>
  <c r="D502" i="3"/>
  <c r="C502" i="3"/>
  <c r="B502" i="3"/>
  <c r="B498" i="3"/>
  <c r="B492" i="3"/>
  <c r="B490" i="3"/>
  <c r="F489" i="3"/>
  <c r="E489" i="3"/>
  <c r="D489" i="3"/>
  <c r="C489" i="3"/>
  <c r="B489" i="3"/>
  <c r="B487" i="3"/>
  <c r="F485" i="3"/>
  <c r="E485" i="3"/>
  <c r="D485" i="3"/>
  <c r="C485" i="3"/>
  <c r="B485" i="3"/>
  <c r="F484" i="3"/>
  <c r="E484" i="3"/>
  <c r="D484" i="3"/>
  <c r="C484" i="3"/>
  <c r="B484" i="3"/>
  <c r="F483" i="3"/>
  <c r="E483" i="3"/>
  <c r="D483" i="3"/>
  <c r="C483" i="3"/>
  <c r="B483" i="3"/>
  <c r="F482" i="3"/>
  <c r="E482" i="3"/>
  <c r="D482" i="3"/>
  <c r="C482" i="3"/>
  <c r="B482" i="3"/>
  <c r="B481" i="3"/>
  <c r="B480" i="3"/>
  <c r="B479" i="3"/>
  <c r="B478" i="3"/>
  <c r="B476" i="3"/>
  <c r="F475" i="3"/>
  <c r="E475" i="3"/>
  <c r="D475" i="3"/>
  <c r="C475" i="3"/>
  <c r="B475" i="3"/>
  <c r="B474" i="3"/>
  <c r="B473" i="3"/>
  <c r="B472" i="3"/>
  <c r="B471" i="3"/>
  <c r="B470" i="3"/>
  <c r="F469" i="3"/>
  <c r="E469" i="3"/>
  <c r="D469" i="3"/>
  <c r="C469" i="3"/>
  <c r="B469" i="3"/>
  <c r="F468" i="3"/>
  <c r="E468" i="3"/>
  <c r="D468" i="3"/>
  <c r="C468" i="3"/>
  <c r="B468" i="3"/>
  <c r="B464" i="3"/>
  <c r="B458" i="3"/>
  <c r="B456" i="3"/>
  <c r="F455" i="3"/>
  <c r="E455" i="3"/>
  <c r="D455" i="3"/>
  <c r="C455" i="3"/>
  <c r="B455" i="3"/>
  <c r="B453" i="3"/>
  <c r="F451" i="3"/>
  <c r="E451" i="3"/>
  <c r="D451" i="3"/>
  <c r="C451" i="3"/>
  <c r="B451" i="3"/>
  <c r="F450" i="3"/>
  <c r="E450" i="3"/>
  <c r="D450" i="3"/>
  <c r="C450" i="3"/>
  <c r="B450" i="3"/>
  <c r="F449" i="3"/>
  <c r="E449" i="3"/>
  <c r="D449" i="3"/>
  <c r="C449" i="3"/>
  <c r="B449" i="3"/>
  <c r="F448" i="3"/>
  <c r="E448" i="3"/>
  <c r="D448" i="3"/>
  <c r="C448" i="3"/>
  <c r="B448" i="3"/>
  <c r="B447" i="3"/>
  <c r="B446" i="3"/>
  <c r="B445" i="3"/>
  <c r="B444" i="3"/>
  <c r="B442" i="3"/>
  <c r="F441" i="3"/>
  <c r="E441" i="3"/>
  <c r="D441" i="3"/>
  <c r="C441" i="3"/>
  <c r="B441" i="3"/>
  <c r="B440" i="3"/>
  <c r="B439" i="3"/>
  <c r="B438" i="3"/>
  <c r="B437" i="3"/>
  <c r="B436" i="3"/>
  <c r="F435" i="3"/>
  <c r="E435" i="3"/>
  <c r="D435" i="3"/>
  <c r="C435" i="3"/>
  <c r="B435" i="3"/>
  <c r="F434" i="3"/>
  <c r="E434" i="3"/>
  <c r="D434" i="3"/>
  <c r="C434" i="3"/>
  <c r="B434" i="3"/>
  <c r="B430" i="3"/>
  <c r="B424" i="3"/>
  <c r="B422" i="3"/>
  <c r="F421" i="3"/>
  <c r="E421" i="3"/>
  <c r="D421" i="3"/>
  <c r="C421" i="3"/>
  <c r="B421" i="3"/>
  <c r="B419" i="3"/>
  <c r="F417" i="3"/>
  <c r="E417" i="3"/>
  <c r="D417" i="3"/>
  <c r="C417" i="3"/>
  <c r="B417" i="3"/>
  <c r="F416" i="3"/>
  <c r="E416" i="3"/>
  <c r="D416" i="3"/>
  <c r="C416" i="3"/>
  <c r="B416" i="3"/>
  <c r="F415" i="3"/>
  <c r="E415" i="3"/>
  <c r="D415" i="3"/>
  <c r="C415" i="3"/>
  <c r="B415" i="3"/>
  <c r="F414" i="3"/>
  <c r="E414" i="3"/>
  <c r="D414" i="3"/>
  <c r="C414" i="3"/>
  <c r="B414" i="3"/>
  <c r="B413" i="3"/>
  <c r="B412" i="3"/>
  <c r="B411" i="3"/>
  <c r="B410" i="3"/>
  <c r="B408" i="3"/>
  <c r="F407" i="3"/>
  <c r="E407" i="3"/>
  <c r="D407" i="3"/>
  <c r="C407" i="3"/>
  <c r="B407" i="3"/>
  <c r="B406" i="3"/>
  <c r="B405" i="3"/>
  <c r="B404" i="3"/>
  <c r="B403" i="3"/>
  <c r="B402" i="3"/>
  <c r="F401" i="3"/>
  <c r="E401" i="3"/>
  <c r="D401" i="3"/>
  <c r="C401" i="3"/>
  <c r="B401" i="3"/>
  <c r="F400" i="3"/>
  <c r="E400" i="3"/>
  <c r="D400" i="3"/>
  <c r="C400" i="3"/>
  <c r="B400" i="3"/>
  <c r="B396" i="3"/>
  <c r="B390" i="3"/>
  <c r="B388" i="3"/>
  <c r="F387" i="3"/>
  <c r="E387" i="3"/>
  <c r="D387" i="3"/>
  <c r="C387" i="3"/>
  <c r="B387" i="3"/>
  <c r="B385" i="3"/>
  <c r="F383" i="3"/>
  <c r="E383" i="3"/>
  <c r="D383" i="3"/>
  <c r="C383" i="3"/>
  <c r="B383" i="3"/>
  <c r="F382" i="3"/>
  <c r="E382" i="3"/>
  <c r="D382" i="3"/>
  <c r="C382" i="3"/>
  <c r="B382" i="3"/>
  <c r="F381" i="3"/>
  <c r="E381" i="3"/>
  <c r="D381" i="3"/>
  <c r="C381" i="3"/>
  <c r="B381" i="3"/>
  <c r="F380" i="3"/>
  <c r="E380" i="3"/>
  <c r="D380" i="3"/>
  <c r="C380" i="3"/>
  <c r="B380" i="3"/>
  <c r="B379" i="3"/>
  <c r="B378" i="3"/>
  <c r="B377" i="3"/>
  <c r="B376" i="3"/>
  <c r="B374" i="3"/>
  <c r="F373" i="3"/>
  <c r="E373" i="3"/>
  <c r="D373" i="3"/>
  <c r="C373" i="3"/>
  <c r="B373" i="3"/>
  <c r="B372" i="3"/>
  <c r="B371" i="3"/>
  <c r="B370" i="3"/>
  <c r="B369" i="3"/>
  <c r="B368" i="3"/>
  <c r="F367" i="3"/>
  <c r="E367" i="3"/>
  <c r="D367" i="3"/>
  <c r="C367" i="3"/>
  <c r="B367" i="3"/>
  <c r="F366" i="3"/>
  <c r="E366" i="3"/>
  <c r="D366" i="3"/>
  <c r="C366" i="3"/>
  <c r="B366" i="3"/>
  <c r="B362" i="3"/>
  <c r="B328" i="3"/>
  <c r="B332" i="3"/>
  <c r="C332" i="3"/>
  <c r="D332" i="3"/>
  <c r="E332" i="3"/>
  <c r="F332" i="3"/>
  <c r="B333" i="3"/>
  <c r="C333" i="3"/>
  <c r="D333" i="3"/>
  <c r="E333" i="3"/>
  <c r="F333" i="3"/>
  <c r="B334" i="3"/>
  <c r="B335" i="3"/>
  <c r="B336" i="3"/>
  <c r="B337" i="3"/>
  <c r="B338" i="3"/>
  <c r="B339" i="3"/>
  <c r="C339" i="3"/>
  <c r="D339" i="3"/>
  <c r="E339" i="3"/>
  <c r="F339" i="3"/>
  <c r="B340" i="3"/>
  <c r="B342" i="3"/>
  <c r="B343" i="3"/>
  <c r="B344" i="3"/>
  <c r="B345" i="3"/>
  <c r="B346" i="3"/>
  <c r="C346" i="3"/>
  <c r="D346" i="3"/>
  <c r="E346" i="3"/>
  <c r="F346" i="3"/>
  <c r="B347" i="3"/>
  <c r="C347" i="3"/>
  <c r="D347" i="3"/>
  <c r="E347" i="3"/>
  <c r="F347" i="3"/>
  <c r="B348" i="3"/>
  <c r="C348" i="3"/>
  <c r="D348" i="3"/>
  <c r="E348" i="3"/>
  <c r="F348" i="3"/>
  <c r="B349" i="3"/>
  <c r="C349" i="3"/>
  <c r="D349" i="3"/>
  <c r="E349" i="3"/>
  <c r="F349" i="3"/>
  <c r="B351" i="3"/>
  <c r="B353" i="3"/>
  <c r="C353" i="3"/>
  <c r="D353" i="3"/>
  <c r="E353" i="3"/>
  <c r="F353" i="3"/>
  <c r="B354" i="3"/>
  <c r="B356" i="3"/>
  <c r="D171" i="3" l="1"/>
  <c r="G171" i="3"/>
  <c r="D69" i="8"/>
  <c r="F171" i="3"/>
  <c r="E171" i="3"/>
  <c r="F69" i="8"/>
  <c r="E69" i="8"/>
  <c r="G69" i="8"/>
  <c r="C171" i="3"/>
  <c r="D4" i="10"/>
  <c r="K677" i="10" l="1"/>
  <c r="I677" i="10"/>
  <c r="G677" i="10"/>
  <c r="E677" i="10"/>
  <c r="K622" i="10"/>
  <c r="I622" i="10"/>
  <c r="G622" i="10"/>
  <c r="E622" i="10"/>
  <c r="K566" i="10"/>
  <c r="I566" i="10"/>
  <c r="G566" i="10"/>
  <c r="E566" i="10"/>
  <c r="K510" i="10"/>
  <c r="I510" i="10"/>
  <c r="G510" i="10"/>
  <c r="E510" i="10"/>
  <c r="K454" i="10"/>
  <c r="I454" i="10"/>
  <c r="G454" i="10"/>
  <c r="E454" i="10"/>
  <c r="K398" i="10"/>
  <c r="I398" i="10"/>
  <c r="G398" i="10"/>
  <c r="E398" i="10"/>
  <c r="K342" i="10"/>
  <c r="I342" i="10"/>
  <c r="G342" i="10"/>
  <c r="E342" i="10"/>
  <c r="E343" i="10"/>
  <c r="G343" i="10"/>
  <c r="I343" i="10"/>
  <c r="K343" i="10"/>
  <c r="K286" i="10"/>
  <c r="I286" i="10"/>
  <c r="G286" i="10"/>
  <c r="E286" i="10"/>
  <c r="D45" i="10"/>
  <c r="F45" i="10" s="1"/>
  <c r="H45" i="10" s="1"/>
  <c r="J45" i="10" s="1"/>
  <c r="J49" i="10"/>
  <c r="E50" i="10"/>
  <c r="G50" i="10"/>
  <c r="I50" i="10"/>
  <c r="K50" i="10"/>
  <c r="E51" i="10"/>
  <c r="G51" i="10"/>
  <c r="I51" i="10"/>
  <c r="K51" i="10"/>
  <c r="D52" i="10"/>
  <c r="E52" i="10"/>
  <c r="F52" i="10"/>
  <c r="G52" i="10"/>
  <c r="H52" i="10"/>
  <c r="I52" i="10"/>
  <c r="J52" i="10"/>
  <c r="K52" i="10"/>
  <c r="E54" i="10"/>
  <c r="G54" i="10"/>
  <c r="I54" i="10"/>
  <c r="K54" i="10"/>
  <c r="E55" i="10"/>
  <c r="G55" i="10"/>
  <c r="I55" i="10"/>
  <c r="K55" i="10"/>
  <c r="E56" i="10"/>
  <c r="G56" i="10"/>
  <c r="I56" i="10"/>
  <c r="K56" i="10"/>
  <c r="E57" i="10"/>
  <c r="G57" i="10"/>
  <c r="I57" i="10"/>
  <c r="K57" i="10"/>
  <c r="E58" i="10"/>
  <c r="G58" i="10"/>
  <c r="I58" i="10"/>
  <c r="K58" i="10"/>
  <c r="E59" i="10"/>
  <c r="G59" i="10"/>
  <c r="I59" i="10"/>
  <c r="K59" i="10"/>
  <c r="E60" i="10"/>
  <c r="G60" i="10"/>
  <c r="I60" i="10"/>
  <c r="K60" i="10"/>
  <c r="E61" i="10"/>
  <c r="G61" i="10"/>
  <c r="I61" i="10"/>
  <c r="K61" i="10"/>
  <c r="E62" i="10"/>
  <c r="G62" i="10"/>
  <c r="I62" i="10"/>
  <c r="K62" i="10"/>
  <c r="E63" i="10"/>
  <c r="G63" i="10"/>
  <c r="I63" i="10"/>
  <c r="K63" i="10"/>
  <c r="E64" i="10"/>
  <c r="G64" i="10"/>
  <c r="I64" i="10"/>
  <c r="K64" i="10"/>
  <c r="E65" i="10"/>
  <c r="G65" i="10"/>
  <c r="I65" i="10"/>
  <c r="K65" i="10"/>
  <c r="E66" i="10"/>
  <c r="G66" i="10"/>
  <c r="I66" i="10"/>
  <c r="K66" i="10"/>
  <c r="D67" i="10"/>
  <c r="E67" i="10"/>
  <c r="F67" i="10"/>
  <c r="G67" i="10"/>
  <c r="H67" i="10"/>
  <c r="I67" i="10"/>
  <c r="J67" i="10"/>
  <c r="K67" i="10"/>
  <c r="E69" i="10"/>
  <c r="G69" i="10"/>
  <c r="I69" i="10"/>
  <c r="K69" i="10"/>
  <c r="E71" i="10"/>
  <c r="G71" i="10"/>
  <c r="I71" i="10"/>
  <c r="K71" i="10"/>
  <c r="E72" i="10"/>
  <c r="G72" i="10"/>
  <c r="I72" i="10"/>
  <c r="K72" i="10"/>
  <c r="D73" i="10"/>
  <c r="E73" i="10"/>
  <c r="F73" i="10"/>
  <c r="G73" i="10"/>
  <c r="H73" i="10"/>
  <c r="I73" i="10"/>
  <c r="J73" i="10"/>
  <c r="K73" i="10"/>
  <c r="E75" i="10"/>
  <c r="G75" i="10"/>
  <c r="I75" i="10"/>
  <c r="K75" i="10"/>
  <c r="C40" i="10"/>
  <c r="C37" i="10"/>
  <c r="C34" i="10"/>
  <c r="C31" i="10"/>
  <c r="C28" i="10"/>
  <c r="C25" i="10"/>
  <c r="C22" i="10"/>
  <c r="C19" i="10"/>
  <c r="C16" i="10"/>
  <c r="C13" i="10"/>
  <c r="C10" i="10"/>
  <c r="C7" i="10"/>
  <c r="D6" i="10"/>
  <c r="D14" i="10"/>
  <c r="F14" i="10"/>
  <c r="H14" i="10"/>
  <c r="J14" i="10"/>
  <c r="D15" i="10"/>
  <c r="F15" i="10"/>
  <c r="H15" i="10"/>
  <c r="J15" i="10"/>
  <c r="J39" i="10"/>
  <c r="H39" i="10"/>
  <c r="F39" i="10"/>
  <c r="D39" i="10"/>
  <c r="J38" i="10"/>
  <c r="H38" i="10"/>
  <c r="F38" i="10"/>
  <c r="D38" i="10"/>
  <c r="J36" i="10"/>
  <c r="H36" i="10"/>
  <c r="F36" i="10"/>
  <c r="D36" i="10"/>
  <c r="D35" i="10"/>
  <c r="J35" i="10"/>
  <c r="H35" i="10"/>
  <c r="F35" i="10"/>
  <c r="D32" i="10"/>
  <c r="J33" i="10"/>
  <c r="H33" i="10"/>
  <c r="F33" i="10"/>
  <c r="D33" i="10"/>
  <c r="J32" i="10"/>
  <c r="H32" i="10"/>
  <c r="F32" i="10"/>
  <c r="D30" i="10"/>
  <c r="J30" i="10"/>
  <c r="H30" i="10"/>
  <c r="F30" i="10"/>
  <c r="J29" i="10"/>
  <c r="H29" i="10"/>
  <c r="F29" i="10"/>
  <c r="D29" i="10"/>
  <c r="J27" i="10"/>
  <c r="H27" i="10"/>
  <c r="F27" i="10"/>
  <c r="D27" i="10"/>
  <c r="J26" i="10"/>
  <c r="H26" i="10"/>
  <c r="F26" i="10"/>
  <c r="D26" i="10"/>
  <c r="J24" i="10"/>
  <c r="H24" i="10"/>
  <c r="F24" i="10"/>
  <c r="D24" i="10"/>
  <c r="J23" i="10"/>
  <c r="H23" i="10"/>
  <c r="F23" i="10"/>
  <c r="D23" i="10"/>
  <c r="F20" i="10"/>
  <c r="D20" i="10"/>
  <c r="H21" i="10"/>
  <c r="J21" i="10"/>
  <c r="F21" i="10"/>
  <c r="D21" i="10"/>
  <c r="J20" i="10"/>
  <c r="H20" i="10"/>
  <c r="D5" i="10"/>
  <c r="H170" i="1" l="1"/>
  <c r="H25" i="10" s="1"/>
  <c r="J173" i="1"/>
  <c r="J34" i="10" s="1"/>
  <c r="D174" i="1"/>
  <c r="D37" i="10" s="1"/>
  <c r="J170" i="1"/>
  <c r="J25" i="10" s="1"/>
  <c r="J171" i="1"/>
  <c r="J28" i="10" s="1"/>
  <c r="D164" i="1"/>
  <c r="D172" i="1"/>
  <c r="D31" i="10" s="1"/>
  <c r="J167" i="1"/>
  <c r="J175" i="1"/>
  <c r="D171" i="1"/>
  <c r="D28" i="10" s="1"/>
  <c r="F171" i="1"/>
  <c r="F28" i="10" s="1"/>
  <c r="H174" i="1"/>
  <c r="H37" i="10" s="1"/>
  <c r="H167" i="1"/>
  <c r="F174" i="1"/>
  <c r="F37" i="10" s="1"/>
  <c r="D169" i="1"/>
  <c r="D22" i="10" s="1"/>
  <c r="H171" i="1"/>
  <c r="H28" i="10" s="1"/>
  <c r="J174" i="1"/>
  <c r="J37" i="10" s="1"/>
  <c r="H169" i="1"/>
  <c r="H22" i="10" s="1"/>
  <c r="D175" i="1"/>
  <c r="F172" i="1"/>
  <c r="F31" i="10" s="1"/>
  <c r="F175" i="1"/>
  <c r="H172" i="1"/>
  <c r="H31" i="10" s="1"/>
  <c r="H175" i="1"/>
  <c r="F167" i="1"/>
  <c r="J169" i="1"/>
  <c r="J22" i="10" s="1"/>
  <c r="J172" i="1"/>
  <c r="J31" i="10" s="1"/>
  <c r="D173" i="1"/>
  <c r="D34" i="10" s="1"/>
  <c r="D167" i="1"/>
  <c r="D170" i="1"/>
  <c r="D25" i="10" s="1"/>
  <c r="F173" i="1"/>
  <c r="F34" i="10" s="1"/>
  <c r="F169" i="1"/>
  <c r="F22" i="10" s="1"/>
  <c r="F170" i="1"/>
  <c r="F25" i="10" s="1"/>
  <c r="H173" i="1"/>
  <c r="H34" i="10" s="1"/>
  <c r="H75" i="10"/>
  <c r="D75" i="10"/>
  <c r="H69" i="10"/>
  <c r="F75" i="10"/>
  <c r="F69" i="10"/>
  <c r="D69" i="10"/>
  <c r="J69" i="10"/>
  <c r="J75" i="10"/>
  <c r="F40" i="10" l="1"/>
  <c r="D40" i="10"/>
  <c r="H40" i="10"/>
  <c r="J40" i="10"/>
  <c r="F5" i="10" l="1"/>
  <c r="H5" i="10"/>
  <c r="J5" i="10"/>
  <c r="D7" i="10"/>
  <c r="F6" i="10"/>
  <c r="H6" i="10"/>
  <c r="J6" i="10"/>
  <c r="D8" i="10"/>
  <c r="F8" i="10"/>
  <c r="H8" i="10"/>
  <c r="J8" i="10"/>
  <c r="D9" i="10"/>
  <c r="F9" i="10"/>
  <c r="H9" i="10"/>
  <c r="J9" i="10"/>
  <c r="D11" i="10"/>
  <c r="F11" i="10"/>
  <c r="H11" i="10"/>
  <c r="J11" i="10"/>
  <c r="D12" i="10"/>
  <c r="F12" i="10"/>
  <c r="H12" i="10"/>
  <c r="J12" i="10"/>
  <c r="D17" i="10"/>
  <c r="F17" i="10"/>
  <c r="H17" i="10"/>
  <c r="J17" i="10"/>
  <c r="D18" i="10"/>
  <c r="F18" i="10"/>
  <c r="H18" i="10"/>
  <c r="J18" i="10"/>
  <c r="H205" i="1"/>
  <c r="E92" i="3" s="1"/>
  <c r="H204" i="1"/>
  <c r="E91" i="3" s="1"/>
  <c r="H203" i="1"/>
  <c r="E90" i="3" s="1"/>
  <c r="H202" i="1"/>
  <c r="E89" i="3" s="1"/>
  <c r="H201" i="1"/>
  <c r="E88" i="3" s="1"/>
  <c r="H200" i="1"/>
  <c r="E87" i="3" s="1"/>
  <c r="H199" i="1"/>
  <c r="E86" i="3" s="1"/>
  <c r="H198" i="1"/>
  <c r="E85" i="3" s="1"/>
  <c r="H197" i="1"/>
  <c r="E84" i="3" s="1"/>
  <c r="J709" i="10"/>
  <c r="F592" i="3" s="1"/>
  <c r="H709" i="10"/>
  <c r="E592" i="3" s="1"/>
  <c r="F709" i="10"/>
  <c r="D592" i="3" s="1"/>
  <c r="D709" i="10"/>
  <c r="C592" i="3" s="1"/>
  <c r="J699" i="10"/>
  <c r="F583" i="3" s="1"/>
  <c r="H699" i="10"/>
  <c r="E583" i="3" s="1"/>
  <c r="F699" i="10"/>
  <c r="D583" i="3" s="1"/>
  <c r="D699" i="10"/>
  <c r="C583" i="3" s="1"/>
  <c r="J698" i="10"/>
  <c r="F582" i="3" s="1"/>
  <c r="H698" i="10"/>
  <c r="E582" i="3" s="1"/>
  <c r="F698" i="10"/>
  <c r="D582" i="3" s="1"/>
  <c r="D698" i="10"/>
  <c r="C582" i="3" s="1"/>
  <c r="J697" i="10"/>
  <c r="F581" i="3" s="1"/>
  <c r="H697" i="10"/>
  <c r="E581" i="3" s="1"/>
  <c r="F697" i="10"/>
  <c r="D581" i="3" s="1"/>
  <c r="D697" i="10"/>
  <c r="C581" i="3" s="1"/>
  <c r="K694" i="10"/>
  <c r="I694" i="10"/>
  <c r="G694" i="10"/>
  <c r="E694" i="10"/>
  <c r="K692" i="10"/>
  <c r="I692" i="10"/>
  <c r="G692" i="10"/>
  <c r="E692" i="10"/>
  <c r="K691" i="10"/>
  <c r="I691" i="10"/>
  <c r="G691" i="10"/>
  <c r="E691" i="10"/>
  <c r="K689" i="10"/>
  <c r="J689" i="10"/>
  <c r="F575" i="3" s="1"/>
  <c r="I689" i="10"/>
  <c r="H689" i="10"/>
  <c r="E575" i="3" s="1"/>
  <c r="G689" i="10"/>
  <c r="F689" i="10"/>
  <c r="D575" i="3" s="1"/>
  <c r="E689" i="10"/>
  <c r="D689" i="10"/>
  <c r="C575" i="3" s="1"/>
  <c r="K688" i="10"/>
  <c r="I688" i="10"/>
  <c r="G688" i="10"/>
  <c r="E688" i="10"/>
  <c r="K687" i="10"/>
  <c r="I687" i="10"/>
  <c r="G687" i="10"/>
  <c r="E687" i="10"/>
  <c r="K685" i="10"/>
  <c r="I685" i="10"/>
  <c r="G685" i="10"/>
  <c r="E685" i="10"/>
  <c r="K683" i="10"/>
  <c r="J683" i="10"/>
  <c r="F573" i="3" s="1"/>
  <c r="I683" i="10"/>
  <c r="H683" i="10"/>
  <c r="E573" i="3" s="1"/>
  <c r="G683" i="10"/>
  <c r="F683" i="10"/>
  <c r="D573" i="3" s="1"/>
  <c r="E683" i="10"/>
  <c r="D683" i="10"/>
  <c r="C573" i="3" s="1"/>
  <c r="K682" i="10"/>
  <c r="I682" i="10"/>
  <c r="G682" i="10"/>
  <c r="E682" i="10"/>
  <c r="K681" i="10"/>
  <c r="I681" i="10"/>
  <c r="G681" i="10"/>
  <c r="E681" i="10"/>
  <c r="K680" i="10"/>
  <c r="I680" i="10"/>
  <c r="G680" i="10"/>
  <c r="E680" i="10"/>
  <c r="K679" i="10"/>
  <c r="I679" i="10"/>
  <c r="G679" i="10"/>
  <c r="E679" i="10"/>
  <c r="K678" i="10"/>
  <c r="I678" i="10"/>
  <c r="G678" i="10"/>
  <c r="E678" i="10"/>
  <c r="K676" i="10"/>
  <c r="I676" i="10"/>
  <c r="G676" i="10"/>
  <c r="E676" i="10"/>
  <c r="K675" i="10"/>
  <c r="I675" i="10"/>
  <c r="G675" i="10"/>
  <c r="E675" i="10"/>
  <c r="K674" i="10"/>
  <c r="I674" i="10"/>
  <c r="G674" i="10"/>
  <c r="E674" i="10"/>
  <c r="K673" i="10"/>
  <c r="I673" i="10"/>
  <c r="G673" i="10"/>
  <c r="E673" i="10"/>
  <c r="K672" i="10"/>
  <c r="I672" i="10"/>
  <c r="G672" i="10"/>
  <c r="E672" i="10"/>
  <c r="K671" i="10"/>
  <c r="I671" i="10"/>
  <c r="G671" i="10"/>
  <c r="E671" i="10"/>
  <c r="K670" i="10"/>
  <c r="I670" i="10"/>
  <c r="G670" i="10"/>
  <c r="E670" i="10"/>
  <c r="K668" i="10"/>
  <c r="J668" i="10"/>
  <c r="F572" i="3" s="1"/>
  <c r="I668" i="10"/>
  <c r="H668" i="10"/>
  <c r="E572" i="3" s="1"/>
  <c r="G668" i="10"/>
  <c r="F668" i="10"/>
  <c r="D572" i="3" s="1"/>
  <c r="E668" i="10"/>
  <c r="D668" i="10"/>
  <c r="C572" i="3" s="1"/>
  <c r="K667" i="10"/>
  <c r="I667" i="10"/>
  <c r="G667" i="10"/>
  <c r="E667" i="10"/>
  <c r="K666" i="10"/>
  <c r="I666" i="10"/>
  <c r="G666" i="10"/>
  <c r="E666" i="10"/>
  <c r="J665" i="10"/>
  <c r="F569" i="3" s="1"/>
  <c r="D661" i="10"/>
  <c r="J653" i="10"/>
  <c r="F558" i="3" s="1"/>
  <c r="H653" i="10"/>
  <c r="E558" i="3" s="1"/>
  <c r="F653" i="10"/>
  <c r="D558" i="3" s="1"/>
  <c r="D653" i="10"/>
  <c r="C558" i="3" s="1"/>
  <c r="J643" i="10"/>
  <c r="F549" i="3" s="1"/>
  <c r="H643" i="10"/>
  <c r="E549" i="3" s="1"/>
  <c r="F643" i="10"/>
  <c r="D549" i="3" s="1"/>
  <c r="D643" i="10"/>
  <c r="C549" i="3" s="1"/>
  <c r="J642" i="10"/>
  <c r="F548" i="3" s="1"/>
  <c r="H642" i="10"/>
  <c r="E548" i="3" s="1"/>
  <c r="F642" i="10"/>
  <c r="D548" i="3" s="1"/>
  <c r="D642" i="10"/>
  <c r="C548" i="3" s="1"/>
  <c r="J641" i="10"/>
  <c r="F547" i="3" s="1"/>
  <c r="H641" i="10"/>
  <c r="E547" i="3" s="1"/>
  <c r="F641" i="10"/>
  <c r="D547" i="3" s="1"/>
  <c r="D641" i="10"/>
  <c r="C547" i="3" s="1"/>
  <c r="K638" i="10"/>
  <c r="I638" i="10"/>
  <c r="G638" i="10"/>
  <c r="E638" i="10"/>
  <c r="K636" i="10"/>
  <c r="I636" i="10"/>
  <c r="G636" i="10"/>
  <c r="E636" i="10"/>
  <c r="K635" i="10"/>
  <c r="I635" i="10"/>
  <c r="G635" i="10"/>
  <c r="E635" i="10"/>
  <c r="K633" i="10"/>
  <c r="J633" i="10"/>
  <c r="F541" i="3" s="1"/>
  <c r="I633" i="10"/>
  <c r="H633" i="10"/>
  <c r="E541" i="3" s="1"/>
  <c r="G633" i="10"/>
  <c r="F633" i="10"/>
  <c r="D541" i="3" s="1"/>
  <c r="E633" i="10"/>
  <c r="D633" i="10"/>
  <c r="C541" i="3" s="1"/>
  <c r="K632" i="10"/>
  <c r="I632" i="10"/>
  <c r="G632" i="10"/>
  <c r="E632" i="10"/>
  <c r="K631" i="10"/>
  <c r="I631" i="10"/>
  <c r="G631" i="10"/>
  <c r="E631" i="10"/>
  <c r="K629" i="10"/>
  <c r="I629" i="10"/>
  <c r="G629" i="10"/>
  <c r="E629" i="10"/>
  <c r="K627" i="10"/>
  <c r="J627" i="10"/>
  <c r="F539" i="3" s="1"/>
  <c r="I627" i="10"/>
  <c r="H627" i="10"/>
  <c r="E539" i="3" s="1"/>
  <c r="G627" i="10"/>
  <c r="F627" i="10"/>
  <c r="D539" i="3" s="1"/>
  <c r="E627" i="10"/>
  <c r="D627" i="10"/>
  <c r="C539" i="3" s="1"/>
  <c r="K626" i="10"/>
  <c r="I626" i="10"/>
  <c r="G626" i="10"/>
  <c r="E626" i="10"/>
  <c r="K625" i="10"/>
  <c r="I625" i="10"/>
  <c r="G625" i="10"/>
  <c r="E625" i="10"/>
  <c r="K624" i="10"/>
  <c r="I624" i="10"/>
  <c r="G624" i="10"/>
  <c r="E624" i="10"/>
  <c r="K623" i="10"/>
  <c r="I623" i="10"/>
  <c r="G623" i="10"/>
  <c r="E623" i="10"/>
  <c r="K621" i="10"/>
  <c r="I621" i="10"/>
  <c r="G621" i="10"/>
  <c r="E621" i="10"/>
  <c r="K620" i="10"/>
  <c r="I620" i="10"/>
  <c r="G620" i="10"/>
  <c r="E620" i="10"/>
  <c r="K619" i="10"/>
  <c r="I619" i="10"/>
  <c r="G619" i="10"/>
  <c r="E619" i="10"/>
  <c r="K618" i="10"/>
  <c r="I618" i="10"/>
  <c r="G618" i="10"/>
  <c r="E618" i="10"/>
  <c r="K617" i="10"/>
  <c r="I617" i="10"/>
  <c r="G617" i="10"/>
  <c r="E617" i="10"/>
  <c r="K616" i="10"/>
  <c r="I616" i="10"/>
  <c r="G616" i="10"/>
  <c r="E616" i="10"/>
  <c r="K615" i="10"/>
  <c r="I615" i="10"/>
  <c r="G615" i="10"/>
  <c r="E615" i="10"/>
  <c r="K614" i="10"/>
  <c r="I614" i="10"/>
  <c r="G614" i="10"/>
  <c r="E614" i="10"/>
  <c r="K612" i="10"/>
  <c r="J612" i="10"/>
  <c r="F538" i="3" s="1"/>
  <c r="I612" i="10"/>
  <c r="H612" i="10"/>
  <c r="E538" i="3" s="1"/>
  <c r="G612" i="10"/>
  <c r="F612" i="10"/>
  <c r="D538" i="3" s="1"/>
  <c r="E612" i="10"/>
  <c r="D612" i="10"/>
  <c r="C538" i="3" s="1"/>
  <c r="K611" i="10"/>
  <c r="I611" i="10"/>
  <c r="G611" i="10"/>
  <c r="E611" i="10"/>
  <c r="K610" i="10"/>
  <c r="I610" i="10"/>
  <c r="G610" i="10"/>
  <c r="E610" i="10"/>
  <c r="J609" i="10"/>
  <c r="F535" i="3" s="1"/>
  <c r="D605" i="10"/>
  <c r="J597" i="10"/>
  <c r="F524" i="3" s="1"/>
  <c r="H597" i="10"/>
  <c r="E524" i="3" s="1"/>
  <c r="F597" i="10"/>
  <c r="D524" i="3" s="1"/>
  <c r="D597" i="10"/>
  <c r="C524" i="3" s="1"/>
  <c r="J587" i="10"/>
  <c r="F515" i="3" s="1"/>
  <c r="H587" i="10"/>
  <c r="E515" i="3" s="1"/>
  <c r="F587" i="10"/>
  <c r="D515" i="3" s="1"/>
  <c r="D587" i="10"/>
  <c r="C515" i="3" s="1"/>
  <c r="J586" i="10"/>
  <c r="F514" i="3" s="1"/>
  <c r="H586" i="10"/>
  <c r="E514" i="3" s="1"/>
  <c r="F586" i="10"/>
  <c r="D514" i="3" s="1"/>
  <c r="D586" i="10"/>
  <c r="C514" i="3" s="1"/>
  <c r="J585" i="10"/>
  <c r="F513" i="3" s="1"/>
  <c r="H585" i="10"/>
  <c r="E513" i="3" s="1"/>
  <c r="F585" i="10"/>
  <c r="D513" i="3" s="1"/>
  <c r="D585" i="10"/>
  <c r="C513" i="3" s="1"/>
  <c r="K582" i="10"/>
  <c r="I582" i="10"/>
  <c r="G582" i="10"/>
  <c r="E582" i="10"/>
  <c r="K580" i="10"/>
  <c r="I580" i="10"/>
  <c r="G580" i="10"/>
  <c r="E580" i="10"/>
  <c r="K579" i="10"/>
  <c r="I579" i="10"/>
  <c r="G579" i="10"/>
  <c r="E579" i="10"/>
  <c r="K577" i="10"/>
  <c r="J577" i="10"/>
  <c r="F507" i="3" s="1"/>
  <c r="I577" i="10"/>
  <c r="H577" i="10"/>
  <c r="E507" i="3" s="1"/>
  <c r="G577" i="10"/>
  <c r="F577" i="10"/>
  <c r="D507" i="3" s="1"/>
  <c r="E577" i="10"/>
  <c r="D577" i="10"/>
  <c r="C507" i="3" s="1"/>
  <c r="K576" i="10"/>
  <c r="I576" i="10"/>
  <c r="G576" i="10"/>
  <c r="E576" i="10"/>
  <c r="K575" i="10"/>
  <c r="I575" i="10"/>
  <c r="G575" i="10"/>
  <c r="E575" i="10"/>
  <c r="K573" i="10"/>
  <c r="I573" i="10"/>
  <c r="G573" i="10"/>
  <c r="E573" i="10"/>
  <c r="K571" i="10"/>
  <c r="J571" i="10"/>
  <c r="F505" i="3" s="1"/>
  <c r="I571" i="10"/>
  <c r="H571" i="10"/>
  <c r="E505" i="3" s="1"/>
  <c r="G571" i="10"/>
  <c r="F571" i="10"/>
  <c r="D505" i="3" s="1"/>
  <c r="E571" i="10"/>
  <c r="D571" i="10"/>
  <c r="C505" i="3" s="1"/>
  <c r="K570" i="10"/>
  <c r="I570" i="10"/>
  <c r="G570" i="10"/>
  <c r="E570" i="10"/>
  <c r="K569" i="10"/>
  <c r="I569" i="10"/>
  <c r="G569" i="10"/>
  <c r="E569" i="10"/>
  <c r="K568" i="10"/>
  <c r="I568" i="10"/>
  <c r="G568" i="10"/>
  <c r="E568" i="10"/>
  <c r="K567" i="10"/>
  <c r="I567" i="10"/>
  <c r="G567" i="10"/>
  <c r="E567" i="10"/>
  <c r="K565" i="10"/>
  <c r="I565" i="10"/>
  <c r="G565" i="10"/>
  <c r="E565" i="10"/>
  <c r="K564" i="10"/>
  <c r="I564" i="10"/>
  <c r="G564" i="10"/>
  <c r="E564" i="10"/>
  <c r="K563" i="10"/>
  <c r="I563" i="10"/>
  <c r="G563" i="10"/>
  <c r="E563" i="10"/>
  <c r="K562" i="10"/>
  <c r="I562" i="10"/>
  <c r="G562" i="10"/>
  <c r="E562" i="10"/>
  <c r="K561" i="10"/>
  <c r="I561" i="10"/>
  <c r="G561" i="10"/>
  <c r="E561" i="10"/>
  <c r="K560" i="10"/>
  <c r="I560" i="10"/>
  <c r="G560" i="10"/>
  <c r="E560" i="10"/>
  <c r="K559" i="10"/>
  <c r="I559" i="10"/>
  <c r="G559" i="10"/>
  <c r="E559" i="10"/>
  <c r="K558" i="10"/>
  <c r="I558" i="10"/>
  <c r="G558" i="10"/>
  <c r="E558" i="10"/>
  <c r="K556" i="10"/>
  <c r="J556" i="10"/>
  <c r="F504" i="3" s="1"/>
  <c r="I556" i="10"/>
  <c r="H556" i="10"/>
  <c r="E504" i="3" s="1"/>
  <c r="G556" i="10"/>
  <c r="F556" i="10"/>
  <c r="D504" i="3" s="1"/>
  <c r="E556" i="10"/>
  <c r="D556" i="10"/>
  <c r="C504" i="3" s="1"/>
  <c r="K555" i="10"/>
  <c r="I555" i="10"/>
  <c r="G555" i="10"/>
  <c r="E555" i="10"/>
  <c r="K554" i="10"/>
  <c r="I554" i="10"/>
  <c r="G554" i="10"/>
  <c r="E554" i="10"/>
  <c r="J553" i="10"/>
  <c r="F501" i="3" s="1"/>
  <c r="D549" i="10"/>
  <c r="J541" i="10"/>
  <c r="F490" i="3" s="1"/>
  <c r="H541" i="10"/>
  <c r="E490" i="3" s="1"/>
  <c r="F541" i="10"/>
  <c r="D490" i="3" s="1"/>
  <c r="D541" i="10"/>
  <c r="C490" i="3" s="1"/>
  <c r="J531" i="10"/>
  <c r="F481" i="3" s="1"/>
  <c r="H531" i="10"/>
  <c r="E481" i="3" s="1"/>
  <c r="F531" i="10"/>
  <c r="D481" i="3" s="1"/>
  <c r="D531" i="10"/>
  <c r="C481" i="3" s="1"/>
  <c r="J530" i="10"/>
  <c r="F480" i="3" s="1"/>
  <c r="H530" i="10"/>
  <c r="E480" i="3" s="1"/>
  <c r="F530" i="10"/>
  <c r="D480" i="3" s="1"/>
  <c r="D530" i="10"/>
  <c r="C480" i="3" s="1"/>
  <c r="J529" i="10"/>
  <c r="F479" i="3" s="1"/>
  <c r="H529" i="10"/>
  <c r="E479" i="3" s="1"/>
  <c r="F529" i="10"/>
  <c r="D479" i="3" s="1"/>
  <c r="D529" i="10"/>
  <c r="C479" i="3" s="1"/>
  <c r="K526" i="10"/>
  <c r="I526" i="10"/>
  <c r="G526" i="10"/>
  <c r="E526" i="10"/>
  <c r="K524" i="10"/>
  <c r="I524" i="10"/>
  <c r="G524" i="10"/>
  <c r="E524" i="10"/>
  <c r="K523" i="10"/>
  <c r="I523" i="10"/>
  <c r="G523" i="10"/>
  <c r="E523" i="10"/>
  <c r="K521" i="10"/>
  <c r="J521" i="10"/>
  <c r="F473" i="3" s="1"/>
  <c r="I521" i="10"/>
  <c r="H521" i="10"/>
  <c r="E473" i="3" s="1"/>
  <c r="G521" i="10"/>
  <c r="F521" i="10"/>
  <c r="D473" i="3" s="1"/>
  <c r="E521" i="10"/>
  <c r="D521" i="10"/>
  <c r="C473" i="3" s="1"/>
  <c r="K520" i="10"/>
  <c r="I520" i="10"/>
  <c r="G520" i="10"/>
  <c r="E520" i="10"/>
  <c r="K519" i="10"/>
  <c r="I519" i="10"/>
  <c r="G519" i="10"/>
  <c r="E519" i="10"/>
  <c r="K517" i="10"/>
  <c r="I517" i="10"/>
  <c r="G517" i="10"/>
  <c r="E517" i="10"/>
  <c r="K515" i="10"/>
  <c r="J515" i="10"/>
  <c r="F471" i="3" s="1"/>
  <c r="I515" i="10"/>
  <c r="H515" i="10"/>
  <c r="E471" i="3" s="1"/>
  <c r="G515" i="10"/>
  <c r="F515" i="10"/>
  <c r="D471" i="3" s="1"/>
  <c r="E515" i="10"/>
  <c r="D515" i="10"/>
  <c r="C471" i="3" s="1"/>
  <c r="K514" i="10"/>
  <c r="I514" i="10"/>
  <c r="G514" i="10"/>
  <c r="E514" i="10"/>
  <c r="K513" i="10"/>
  <c r="I513" i="10"/>
  <c r="G513" i="10"/>
  <c r="E513" i="10"/>
  <c r="K512" i="10"/>
  <c r="I512" i="10"/>
  <c r="G512" i="10"/>
  <c r="E512" i="10"/>
  <c r="K511" i="10"/>
  <c r="I511" i="10"/>
  <c r="G511" i="10"/>
  <c r="E511" i="10"/>
  <c r="K509" i="10"/>
  <c r="I509" i="10"/>
  <c r="G509" i="10"/>
  <c r="E509" i="10"/>
  <c r="K508" i="10"/>
  <c r="I508" i="10"/>
  <c r="G508" i="10"/>
  <c r="E508" i="10"/>
  <c r="K507" i="10"/>
  <c r="I507" i="10"/>
  <c r="G507" i="10"/>
  <c r="E507" i="10"/>
  <c r="K506" i="10"/>
  <c r="I506" i="10"/>
  <c r="G506" i="10"/>
  <c r="E506" i="10"/>
  <c r="K505" i="10"/>
  <c r="I505" i="10"/>
  <c r="G505" i="10"/>
  <c r="E505" i="10"/>
  <c r="K504" i="10"/>
  <c r="I504" i="10"/>
  <c r="G504" i="10"/>
  <c r="E504" i="10"/>
  <c r="K503" i="10"/>
  <c r="I503" i="10"/>
  <c r="G503" i="10"/>
  <c r="E503" i="10"/>
  <c r="K502" i="10"/>
  <c r="I502" i="10"/>
  <c r="G502" i="10"/>
  <c r="E502" i="10"/>
  <c r="K500" i="10"/>
  <c r="J500" i="10"/>
  <c r="F470" i="3" s="1"/>
  <c r="I500" i="10"/>
  <c r="H500" i="10"/>
  <c r="E470" i="3" s="1"/>
  <c r="G500" i="10"/>
  <c r="F500" i="10"/>
  <c r="D470" i="3" s="1"/>
  <c r="E500" i="10"/>
  <c r="D500" i="10"/>
  <c r="C470" i="3" s="1"/>
  <c r="K499" i="10"/>
  <c r="I499" i="10"/>
  <c r="G499" i="10"/>
  <c r="E499" i="10"/>
  <c r="K498" i="10"/>
  <c r="I498" i="10"/>
  <c r="G498" i="10"/>
  <c r="E498" i="10"/>
  <c r="J497" i="10"/>
  <c r="F467" i="3" s="1"/>
  <c r="D493" i="10"/>
  <c r="J485" i="10"/>
  <c r="F456" i="3" s="1"/>
  <c r="H485" i="10"/>
  <c r="E456" i="3" s="1"/>
  <c r="F485" i="10"/>
  <c r="D456" i="3" s="1"/>
  <c r="D485" i="10"/>
  <c r="C456" i="3" s="1"/>
  <c r="J475" i="10"/>
  <c r="F447" i="3" s="1"/>
  <c r="H475" i="10"/>
  <c r="E447" i="3" s="1"/>
  <c r="F475" i="10"/>
  <c r="D447" i="3" s="1"/>
  <c r="D475" i="10"/>
  <c r="C447" i="3" s="1"/>
  <c r="J474" i="10"/>
  <c r="F446" i="3" s="1"/>
  <c r="H474" i="10"/>
  <c r="E446" i="3" s="1"/>
  <c r="F474" i="10"/>
  <c r="D446" i="3" s="1"/>
  <c r="D474" i="10"/>
  <c r="C446" i="3" s="1"/>
  <c r="J473" i="10"/>
  <c r="F445" i="3" s="1"/>
  <c r="H473" i="10"/>
  <c r="E445" i="3" s="1"/>
  <c r="F473" i="10"/>
  <c r="D445" i="3" s="1"/>
  <c r="D473" i="10"/>
  <c r="C445" i="3" s="1"/>
  <c r="K470" i="10"/>
  <c r="I470" i="10"/>
  <c r="G470" i="10"/>
  <c r="E470" i="10"/>
  <c r="K468" i="10"/>
  <c r="I468" i="10"/>
  <c r="G468" i="10"/>
  <c r="E468" i="10"/>
  <c r="K467" i="10"/>
  <c r="I467" i="10"/>
  <c r="G467" i="10"/>
  <c r="E467" i="10"/>
  <c r="K465" i="10"/>
  <c r="J465" i="10"/>
  <c r="F439" i="3" s="1"/>
  <c r="I465" i="10"/>
  <c r="H465" i="10"/>
  <c r="E439" i="3" s="1"/>
  <c r="G465" i="10"/>
  <c r="F465" i="10"/>
  <c r="D439" i="3" s="1"/>
  <c r="E465" i="10"/>
  <c r="D465" i="10"/>
  <c r="C439" i="3" s="1"/>
  <c r="K464" i="10"/>
  <c r="I464" i="10"/>
  <c r="G464" i="10"/>
  <c r="E464" i="10"/>
  <c r="K463" i="10"/>
  <c r="I463" i="10"/>
  <c r="G463" i="10"/>
  <c r="E463" i="10"/>
  <c r="K461" i="10"/>
  <c r="I461" i="10"/>
  <c r="G461" i="10"/>
  <c r="E461" i="10"/>
  <c r="K459" i="10"/>
  <c r="J459" i="10"/>
  <c r="F437" i="3" s="1"/>
  <c r="I459" i="10"/>
  <c r="H459" i="10"/>
  <c r="E437" i="3" s="1"/>
  <c r="G459" i="10"/>
  <c r="F459" i="10"/>
  <c r="D437" i="3" s="1"/>
  <c r="E459" i="10"/>
  <c r="D459" i="10"/>
  <c r="C437" i="3" s="1"/>
  <c r="K458" i="10"/>
  <c r="I458" i="10"/>
  <c r="G458" i="10"/>
  <c r="E458" i="10"/>
  <c r="K457" i="10"/>
  <c r="I457" i="10"/>
  <c r="G457" i="10"/>
  <c r="E457" i="10"/>
  <c r="K456" i="10"/>
  <c r="I456" i="10"/>
  <c r="G456" i="10"/>
  <c r="E456" i="10"/>
  <c r="K455" i="10"/>
  <c r="I455" i="10"/>
  <c r="G455" i="10"/>
  <c r="E455" i="10"/>
  <c r="K453" i="10"/>
  <c r="I453" i="10"/>
  <c r="G453" i="10"/>
  <c r="E453" i="10"/>
  <c r="K452" i="10"/>
  <c r="I452" i="10"/>
  <c r="G452" i="10"/>
  <c r="E452" i="10"/>
  <c r="K451" i="10"/>
  <c r="I451" i="10"/>
  <c r="G451" i="10"/>
  <c r="E451" i="10"/>
  <c r="K450" i="10"/>
  <c r="I450" i="10"/>
  <c r="G450" i="10"/>
  <c r="E450" i="10"/>
  <c r="K449" i="10"/>
  <c r="I449" i="10"/>
  <c r="G449" i="10"/>
  <c r="E449" i="10"/>
  <c r="K448" i="10"/>
  <c r="I448" i="10"/>
  <c r="G448" i="10"/>
  <c r="E448" i="10"/>
  <c r="K447" i="10"/>
  <c r="I447" i="10"/>
  <c r="G447" i="10"/>
  <c r="E447" i="10"/>
  <c r="K446" i="10"/>
  <c r="I446" i="10"/>
  <c r="G446" i="10"/>
  <c r="E446" i="10"/>
  <c r="K444" i="10"/>
  <c r="J444" i="10"/>
  <c r="F436" i="3" s="1"/>
  <c r="I444" i="10"/>
  <c r="H444" i="10"/>
  <c r="E436" i="3" s="1"/>
  <c r="G444" i="10"/>
  <c r="F444" i="10"/>
  <c r="D436" i="3" s="1"/>
  <c r="E444" i="10"/>
  <c r="D444" i="10"/>
  <c r="C436" i="3" s="1"/>
  <c r="K443" i="10"/>
  <c r="I443" i="10"/>
  <c r="G443" i="10"/>
  <c r="E443" i="10"/>
  <c r="K442" i="10"/>
  <c r="I442" i="10"/>
  <c r="G442" i="10"/>
  <c r="E442" i="10"/>
  <c r="J441" i="10"/>
  <c r="F433" i="3" s="1"/>
  <c r="D437" i="10"/>
  <c r="J429" i="10"/>
  <c r="F422" i="3" s="1"/>
  <c r="H429" i="10"/>
  <c r="E422" i="3" s="1"/>
  <c r="F429" i="10"/>
  <c r="D422" i="3" s="1"/>
  <c r="D429" i="10"/>
  <c r="C422" i="3" s="1"/>
  <c r="J419" i="10"/>
  <c r="F413" i="3" s="1"/>
  <c r="H419" i="10"/>
  <c r="E413" i="3" s="1"/>
  <c r="F419" i="10"/>
  <c r="D413" i="3" s="1"/>
  <c r="D419" i="10"/>
  <c r="C413" i="3" s="1"/>
  <c r="J418" i="10"/>
  <c r="F412" i="3" s="1"/>
  <c r="H418" i="10"/>
  <c r="E412" i="3" s="1"/>
  <c r="F418" i="10"/>
  <c r="D412" i="3" s="1"/>
  <c r="D418" i="10"/>
  <c r="C412" i="3" s="1"/>
  <c r="J417" i="10"/>
  <c r="F411" i="3" s="1"/>
  <c r="H417" i="10"/>
  <c r="E411" i="3" s="1"/>
  <c r="F417" i="10"/>
  <c r="D411" i="3" s="1"/>
  <c r="D417" i="10"/>
  <c r="C411" i="3" s="1"/>
  <c r="K414" i="10"/>
  <c r="I414" i="10"/>
  <c r="G414" i="10"/>
  <c r="E414" i="10"/>
  <c r="K412" i="10"/>
  <c r="I412" i="10"/>
  <c r="G412" i="10"/>
  <c r="E412" i="10"/>
  <c r="K411" i="10"/>
  <c r="I411" i="10"/>
  <c r="G411" i="10"/>
  <c r="E411" i="10"/>
  <c r="K409" i="10"/>
  <c r="J409" i="10"/>
  <c r="F405" i="3" s="1"/>
  <c r="I409" i="10"/>
  <c r="H409" i="10"/>
  <c r="E405" i="3" s="1"/>
  <c r="G409" i="10"/>
  <c r="F409" i="10"/>
  <c r="D405" i="3" s="1"/>
  <c r="E409" i="10"/>
  <c r="D409" i="10"/>
  <c r="C405" i="3" s="1"/>
  <c r="K408" i="10"/>
  <c r="I408" i="10"/>
  <c r="G408" i="10"/>
  <c r="E408" i="10"/>
  <c r="K407" i="10"/>
  <c r="I407" i="10"/>
  <c r="G407" i="10"/>
  <c r="E407" i="10"/>
  <c r="K405" i="10"/>
  <c r="I405" i="10"/>
  <c r="G405" i="10"/>
  <c r="E405" i="10"/>
  <c r="K403" i="10"/>
  <c r="I403" i="10"/>
  <c r="H403" i="10"/>
  <c r="E403" i="3" s="1"/>
  <c r="G403" i="10"/>
  <c r="F403" i="10"/>
  <c r="D403" i="3" s="1"/>
  <c r="E403" i="10"/>
  <c r="K402" i="10"/>
  <c r="J403" i="10"/>
  <c r="F403" i="3" s="1"/>
  <c r="I402" i="10"/>
  <c r="G402" i="10"/>
  <c r="E402" i="10"/>
  <c r="D403" i="10"/>
  <c r="C403" i="3" s="1"/>
  <c r="K401" i="10"/>
  <c r="I401" i="10"/>
  <c r="G401" i="10"/>
  <c r="E401" i="10"/>
  <c r="K400" i="10"/>
  <c r="I400" i="10"/>
  <c r="G400" i="10"/>
  <c r="E400" i="10"/>
  <c r="K399" i="10"/>
  <c r="I399" i="10"/>
  <c r="G399" i="10"/>
  <c r="E399" i="10"/>
  <c r="K397" i="10"/>
  <c r="I397" i="10"/>
  <c r="G397" i="10"/>
  <c r="E397" i="10"/>
  <c r="K396" i="10"/>
  <c r="I396" i="10"/>
  <c r="G396" i="10"/>
  <c r="E396" i="10"/>
  <c r="K395" i="10"/>
  <c r="I395" i="10"/>
  <c r="G395" i="10"/>
  <c r="E395" i="10"/>
  <c r="K394" i="10"/>
  <c r="I394" i="10"/>
  <c r="G394" i="10"/>
  <c r="E394" i="10"/>
  <c r="K393" i="10"/>
  <c r="I393" i="10"/>
  <c r="G393" i="10"/>
  <c r="E393" i="10"/>
  <c r="K392" i="10"/>
  <c r="I392" i="10"/>
  <c r="G392" i="10"/>
  <c r="E392" i="10"/>
  <c r="K391" i="10"/>
  <c r="I391" i="10"/>
  <c r="G391" i="10"/>
  <c r="E391" i="10"/>
  <c r="K390" i="10"/>
  <c r="I390" i="10"/>
  <c r="G390" i="10"/>
  <c r="E390" i="10"/>
  <c r="K388" i="10"/>
  <c r="J388" i="10"/>
  <c r="F402" i="3" s="1"/>
  <c r="I388" i="10"/>
  <c r="H388" i="10"/>
  <c r="E402" i="3" s="1"/>
  <c r="G388" i="10"/>
  <c r="F388" i="10"/>
  <c r="D402" i="3" s="1"/>
  <c r="E388" i="10"/>
  <c r="D388" i="10"/>
  <c r="C402" i="3" s="1"/>
  <c r="K387" i="10"/>
  <c r="I387" i="10"/>
  <c r="G387" i="10"/>
  <c r="E387" i="10"/>
  <c r="K386" i="10"/>
  <c r="I386" i="10"/>
  <c r="G386" i="10"/>
  <c r="E386" i="10"/>
  <c r="J385" i="10"/>
  <c r="F399" i="3" s="1"/>
  <c r="D381" i="10"/>
  <c r="J373" i="10"/>
  <c r="F388" i="3" s="1"/>
  <c r="H373" i="10"/>
  <c r="E388" i="3" s="1"/>
  <c r="F373" i="10"/>
  <c r="D388" i="3" s="1"/>
  <c r="D373" i="10"/>
  <c r="C388" i="3" s="1"/>
  <c r="J363" i="10"/>
  <c r="F379" i="3" s="1"/>
  <c r="H363" i="10"/>
  <c r="E379" i="3" s="1"/>
  <c r="F363" i="10"/>
  <c r="D379" i="3" s="1"/>
  <c r="D363" i="10"/>
  <c r="C379" i="3" s="1"/>
  <c r="J362" i="10"/>
  <c r="F378" i="3" s="1"/>
  <c r="H362" i="10"/>
  <c r="E378" i="3" s="1"/>
  <c r="F362" i="10"/>
  <c r="D378" i="3" s="1"/>
  <c r="D362" i="10"/>
  <c r="C378" i="3" s="1"/>
  <c r="J361" i="10"/>
  <c r="F377" i="3" s="1"/>
  <c r="H361" i="10"/>
  <c r="E377" i="3" s="1"/>
  <c r="F361" i="10"/>
  <c r="D377" i="3" s="1"/>
  <c r="D361" i="10"/>
  <c r="C377" i="3" s="1"/>
  <c r="K358" i="10"/>
  <c r="I358" i="10"/>
  <c r="G358" i="10"/>
  <c r="E358" i="10"/>
  <c r="K356" i="10"/>
  <c r="I356" i="10"/>
  <c r="G356" i="10"/>
  <c r="E356" i="10"/>
  <c r="K355" i="10"/>
  <c r="I355" i="10"/>
  <c r="G355" i="10"/>
  <c r="E355" i="10"/>
  <c r="K353" i="10"/>
  <c r="J353" i="10"/>
  <c r="F371" i="3" s="1"/>
  <c r="I353" i="10"/>
  <c r="H353" i="10"/>
  <c r="E371" i="3" s="1"/>
  <c r="G353" i="10"/>
  <c r="F353" i="10"/>
  <c r="D371" i="3" s="1"/>
  <c r="E353" i="10"/>
  <c r="D353" i="10"/>
  <c r="C371" i="3" s="1"/>
  <c r="K352" i="10"/>
  <c r="I352" i="10"/>
  <c r="G352" i="10"/>
  <c r="E352" i="10"/>
  <c r="K351" i="10"/>
  <c r="I351" i="10"/>
  <c r="G351" i="10"/>
  <c r="E351" i="10"/>
  <c r="K349" i="10"/>
  <c r="I349" i="10"/>
  <c r="G349" i="10"/>
  <c r="E349" i="10"/>
  <c r="K347" i="10"/>
  <c r="I347" i="10"/>
  <c r="H347" i="10"/>
  <c r="E369" i="3" s="1"/>
  <c r="G347" i="10"/>
  <c r="E347" i="10"/>
  <c r="K346" i="10"/>
  <c r="J347" i="10"/>
  <c r="F369" i="3" s="1"/>
  <c r="I346" i="10"/>
  <c r="G346" i="10"/>
  <c r="F347" i="10"/>
  <c r="D369" i="3" s="1"/>
  <c r="E346" i="10"/>
  <c r="D347" i="10"/>
  <c r="C369" i="3" s="1"/>
  <c r="K345" i="10"/>
  <c r="I345" i="10"/>
  <c r="G345" i="10"/>
  <c r="E345" i="10"/>
  <c r="K344" i="10"/>
  <c r="I344" i="10"/>
  <c r="G344" i="10"/>
  <c r="E344" i="10"/>
  <c r="K341" i="10"/>
  <c r="I341" i="10"/>
  <c r="G341" i="10"/>
  <c r="E341" i="10"/>
  <c r="K340" i="10"/>
  <c r="I340" i="10"/>
  <c r="G340" i="10"/>
  <c r="E340" i="10"/>
  <c r="K339" i="10"/>
  <c r="I339" i="10"/>
  <c r="G339" i="10"/>
  <c r="E339" i="10"/>
  <c r="K338" i="10"/>
  <c r="I338" i="10"/>
  <c r="G338" i="10"/>
  <c r="E338" i="10"/>
  <c r="K337" i="10"/>
  <c r="I337" i="10"/>
  <c r="G337" i="10"/>
  <c r="E337" i="10"/>
  <c r="K336" i="10"/>
  <c r="I336" i="10"/>
  <c r="G336" i="10"/>
  <c r="E336" i="10"/>
  <c r="K335" i="10"/>
  <c r="I335" i="10"/>
  <c r="G335" i="10"/>
  <c r="E335" i="10"/>
  <c r="K334" i="10"/>
  <c r="I334" i="10"/>
  <c r="G334" i="10"/>
  <c r="E334" i="10"/>
  <c r="K332" i="10"/>
  <c r="J332" i="10"/>
  <c r="F368" i="3" s="1"/>
  <c r="I332" i="10"/>
  <c r="H332" i="10"/>
  <c r="E368" i="3" s="1"/>
  <c r="G332" i="10"/>
  <c r="F332" i="10"/>
  <c r="D368" i="3" s="1"/>
  <c r="E332" i="10"/>
  <c r="D332" i="10"/>
  <c r="C368" i="3" s="1"/>
  <c r="K331" i="10"/>
  <c r="I331" i="10"/>
  <c r="G331" i="10"/>
  <c r="E331" i="10"/>
  <c r="K330" i="10"/>
  <c r="I330" i="10"/>
  <c r="G330" i="10"/>
  <c r="E330" i="10"/>
  <c r="J329" i="10"/>
  <c r="F365" i="3" s="1"/>
  <c r="D325" i="10"/>
  <c r="J317" i="10"/>
  <c r="F354" i="3" s="1"/>
  <c r="H317" i="10"/>
  <c r="E354" i="3" s="1"/>
  <c r="F317" i="10"/>
  <c r="D354" i="3" s="1"/>
  <c r="D317" i="10"/>
  <c r="C354" i="3" s="1"/>
  <c r="J307" i="10"/>
  <c r="F345" i="3" s="1"/>
  <c r="H307" i="10"/>
  <c r="E345" i="3" s="1"/>
  <c r="F307" i="10"/>
  <c r="D345" i="3" s="1"/>
  <c r="D307" i="10"/>
  <c r="C345" i="3" s="1"/>
  <c r="J306" i="10"/>
  <c r="F344" i="3" s="1"/>
  <c r="H306" i="10"/>
  <c r="E344" i="3" s="1"/>
  <c r="F306" i="10"/>
  <c r="D344" i="3" s="1"/>
  <c r="D306" i="10"/>
  <c r="C344" i="3" s="1"/>
  <c r="J305" i="10"/>
  <c r="F343" i="3" s="1"/>
  <c r="H305" i="10"/>
  <c r="E343" i="3" s="1"/>
  <c r="F305" i="10"/>
  <c r="D343" i="3" s="1"/>
  <c r="D305" i="10"/>
  <c r="C343" i="3" s="1"/>
  <c r="K302" i="10"/>
  <c r="I302" i="10"/>
  <c r="G302" i="10"/>
  <c r="E302" i="10"/>
  <c r="K300" i="10"/>
  <c r="I300" i="10"/>
  <c r="G300" i="10"/>
  <c r="E300" i="10"/>
  <c r="K299" i="10"/>
  <c r="I299" i="10"/>
  <c r="G299" i="10"/>
  <c r="E299" i="10"/>
  <c r="K297" i="10"/>
  <c r="J297" i="10"/>
  <c r="F337" i="3" s="1"/>
  <c r="I297" i="10"/>
  <c r="H297" i="10"/>
  <c r="E337" i="3" s="1"/>
  <c r="G297" i="10"/>
  <c r="F297" i="10"/>
  <c r="D337" i="3" s="1"/>
  <c r="E297" i="10"/>
  <c r="D297" i="10"/>
  <c r="C337" i="3" s="1"/>
  <c r="K296" i="10"/>
  <c r="I296" i="10"/>
  <c r="G296" i="10"/>
  <c r="E296" i="10"/>
  <c r="K295" i="10"/>
  <c r="I295" i="10"/>
  <c r="G295" i="10"/>
  <c r="E295" i="10"/>
  <c r="K293" i="10"/>
  <c r="I293" i="10"/>
  <c r="G293" i="10"/>
  <c r="E293" i="10"/>
  <c r="K291" i="10"/>
  <c r="I291" i="10"/>
  <c r="G291" i="10"/>
  <c r="E291" i="10"/>
  <c r="K290" i="10"/>
  <c r="J291" i="10"/>
  <c r="F335" i="3" s="1"/>
  <c r="I290" i="10"/>
  <c r="H291" i="10"/>
  <c r="E335" i="3" s="1"/>
  <c r="G290" i="10"/>
  <c r="F291" i="10"/>
  <c r="D335" i="3" s="1"/>
  <c r="E290" i="10"/>
  <c r="D291" i="10"/>
  <c r="C335" i="3" s="1"/>
  <c r="K289" i="10"/>
  <c r="I289" i="10"/>
  <c r="G289" i="10"/>
  <c r="E289" i="10"/>
  <c r="K288" i="10"/>
  <c r="I288" i="10"/>
  <c r="G288" i="10"/>
  <c r="E288" i="10"/>
  <c r="K287" i="10"/>
  <c r="I287" i="10"/>
  <c r="G287" i="10"/>
  <c r="E287" i="10"/>
  <c r="K285" i="10"/>
  <c r="I285" i="10"/>
  <c r="G285" i="10"/>
  <c r="E285" i="10"/>
  <c r="K284" i="10"/>
  <c r="I284" i="10"/>
  <c r="G284" i="10"/>
  <c r="E284" i="10"/>
  <c r="K283" i="10"/>
  <c r="I283" i="10"/>
  <c r="G283" i="10"/>
  <c r="E283" i="10"/>
  <c r="K282" i="10"/>
  <c r="I282" i="10"/>
  <c r="G282" i="10"/>
  <c r="E282" i="10"/>
  <c r="K281" i="10"/>
  <c r="I281" i="10"/>
  <c r="G281" i="10"/>
  <c r="E281" i="10"/>
  <c r="K280" i="10"/>
  <c r="I280" i="10"/>
  <c r="G280" i="10"/>
  <c r="E280" i="10"/>
  <c r="K279" i="10"/>
  <c r="I279" i="10"/>
  <c r="G279" i="10"/>
  <c r="E279" i="10"/>
  <c r="K278" i="10"/>
  <c r="I278" i="10"/>
  <c r="G278" i="10"/>
  <c r="E278" i="10"/>
  <c r="K276" i="10"/>
  <c r="J276" i="10"/>
  <c r="F334" i="3" s="1"/>
  <c r="I276" i="10"/>
  <c r="H276" i="10"/>
  <c r="E334" i="3" s="1"/>
  <c r="G276" i="10"/>
  <c r="F276" i="10"/>
  <c r="D334" i="3" s="1"/>
  <c r="E276" i="10"/>
  <c r="D276" i="10"/>
  <c r="C334" i="3" s="1"/>
  <c r="K275" i="10"/>
  <c r="I275" i="10"/>
  <c r="G275" i="10"/>
  <c r="E275" i="10"/>
  <c r="K274" i="10"/>
  <c r="I274" i="10"/>
  <c r="G274" i="10"/>
  <c r="E274" i="10"/>
  <c r="J273" i="10"/>
  <c r="F331" i="3" s="1"/>
  <c r="D269" i="10"/>
  <c r="J261" i="10"/>
  <c r="H261" i="10"/>
  <c r="F261" i="10"/>
  <c r="D261" i="10"/>
  <c r="J251" i="10"/>
  <c r="H251" i="10"/>
  <c r="F251" i="10"/>
  <c r="D251" i="10"/>
  <c r="J250" i="10"/>
  <c r="H250" i="10"/>
  <c r="F250" i="10"/>
  <c r="D250" i="10"/>
  <c r="J249" i="10"/>
  <c r="H249" i="10"/>
  <c r="F249" i="10"/>
  <c r="D249" i="10"/>
  <c r="K246" i="10"/>
  <c r="I246" i="10"/>
  <c r="G246" i="10"/>
  <c r="E246" i="10"/>
  <c r="K244" i="10"/>
  <c r="I244" i="10"/>
  <c r="G244" i="10"/>
  <c r="E244" i="10"/>
  <c r="K243" i="10"/>
  <c r="I243" i="10"/>
  <c r="G243" i="10"/>
  <c r="E243" i="10"/>
  <c r="K241" i="10"/>
  <c r="J241" i="10"/>
  <c r="I241" i="10"/>
  <c r="H241" i="10"/>
  <c r="G241" i="10"/>
  <c r="F241" i="10"/>
  <c r="E241" i="10"/>
  <c r="D241" i="10"/>
  <c r="K240" i="10"/>
  <c r="I240" i="10"/>
  <c r="G240" i="10"/>
  <c r="E240" i="10"/>
  <c r="K239" i="10"/>
  <c r="I239" i="10"/>
  <c r="G239" i="10"/>
  <c r="E239" i="10"/>
  <c r="K237" i="10"/>
  <c r="I237" i="10"/>
  <c r="G237" i="10"/>
  <c r="E237" i="10"/>
  <c r="K235" i="10"/>
  <c r="I235" i="10"/>
  <c r="G235" i="10"/>
  <c r="E235" i="10"/>
  <c r="K234" i="10"/>
  <c r="J235" i="10"/>
  <c r="I234" i="10"/>
  <c r="H235" i="10"/>
  <c r="G234" i="10"/>
  <c r="F235" i="10"/>
  <c r="E234" i="10"/>
  <c r="D235" i="10"/>
  <c r="K233" i="10"/>
  <c r="I233" i="10"/>
  <c r="G233" i="10"/>
  <c r="E233" i="10"/>
  <c r="K232" i="10"/>
  <c r="I232" i="10"/>
  <c r="G232" i="10"/>
  <c r="E232" i="10"/>
  <c r="K231" i="10"/>
  <c r="I231" i="10"/>
  <c r="G231" i="10"/>
  <c r="E231" i="10"/>
  <c r="K230" i="10"/>
  <c r="I230" i="10"/>
  <c r="G230" i="10"/>
  <c r="E230" i="10"/>
  <c r="K229" i="10"/>
  <c r="I229" i="10"/>
  <c r="G229" i="10"/>
  <c r="E229" i="10"/>
  <c r="K228" i="10"/>
  <c r="I228" i="10"/>
  <c r="G228" i="10"/>
  <c r="E228" i="10"/>
  <c r="K227" i="10"/>
  <c r="I227" i="10"/>
  <c r="G227" i="10"/>
  <c r="E227" i="10"/>
  <c r="K226" i="10"/>
  <c r="I226" i="10"/>
  <c r="G226" i="10"/>
  <c r="E226" i="10"/>
  <c r="K225" i="10"/>
  <c r="I225" i="10"/>
  <c r="G225" i="10"/>
  <c r="E225" i="10"/>
  <c r="K224" i="10"/>
  <c r="I224" i="10"/>
  <c r="G224" i="10"/>
  <c r="E224" i="10"/>
  <c r="K223" i="10"/>
  <c r="I223" i="10"/>
  <c r="G223" i="10"/>
  <c r="E223" i="10"/>
  <c r="K222" i="10"/>
  <c r="I222" i="10"/>
  <c r="G222" i="10"/>
  <c r="E222" i="10"/>
  <c r="K220" i="10"/>
  <c r="J220" i="10"/>
  <c r="I220" i="10"/>
  <c r="H220" i="10"/>
  <c r="G220" i="10"/>
  <c r="F220" i="10"/>
  <c r="E220" i="10"/>
  <c r="D220" i="10"/>
  <c r="K219" i="10"/>
  <c r="I219" i="10"/>
  <c r="G219" i="10"/>
  <c r="E219" i="10"/>
  <c r="K218" i="10"/>
  <c r="I218" i="10"/>
  <c r="G218" i="10"/>
  <c r="E218" i="10"/>
  <c r="J217" i="10"/>
  <c r="D213" i="10"/>
  <c r="F213" i="10" s="1"/>
  <c r="H213" i="10" s="1"/>
  <c r="J213" i="10" s="1"/>
  <c r="J205" i="10"/>
  <c r="H205" i="10"/>
  <c r="F205" i="10"/>
  <c r="D205" i="10"/>
  <c r="J195" i="10"/>
  <c r="H195" i="10"/>
  <c r="F195" i="10"/>
  <c r="D195" i="10"/>
  <c r="J194" i="10"/>
  <c r="H194" i="10"/>
  <c r="F194" i="10"/>
  <c r="D194" i="10"/>
  <c r="J193" i="10"/>
  <c r="H193" i="10"/>
  <c r="F193" i="10"/>
  <c r="D193" i="10"/>
  <c r="K190" i="10"/>
  <c r="I190" i="10"/>
  <c r="G190" i="10"/>
  <c r="E190" i="10"/>
  <c r="K188" i="10"/>
  <c r="I188" i="10"/>
  <c r="G188" i="10"/>
  <c r="E188" i="10"/>
  <c r="K187" i="10"/>
  <c r="I187" i="10"/>
  <c r="G187" i="10"/>
  <c r="E187" i="10"/>
  <c r="K185" i="10"/>
  <c r="J185" i="10"/>
  <c r="I185" i="10"/>
  <c r="H185" i="10"/>
  <c r="G185" i="10"/>
  <c r="F185" i="10"/>
  <c r="E185" i="10"/>
  <c r="D185" i="10"/>
  <c r="K184" i="10"/>
  <c r="I184" i="10"/>
  <c r="G184" i="10"/>
  <c r="E184" i="10"/>
  <c r="K183" i="10"/>
  <c r="I183" i="10"/>
  <c r="G183" i="10"/>
  <c r="E183" i="10"/>
  <c r="K181" i="10"/>
  <c r="I181" i="10"/>
  <c r="G181" i="10"/>
  <c r="E181" i="10"/>
  <c r="K179" i="10"/>
  <c r="I179" i="10"/>
  <c r="G179" i="10"/>
  <c r="E179" i="10"/>
  <c r="K178" i="10"/>
  <c r="J179" i="10"/>
  <c r="I178" i="10"/>
  <c r="H179" i="10"/>
  <c r="G178" i="10"/>
  <c r="F179" i="10"/>
  <c r="E178" i="10"/>
  <c r="D179" i="10"/>
  <c r="K177" i="10"/>
  <c r="I177" i="10"/>
  <c r="G177" i="10"/>
  <c r="E177" i="10"/>
  <c r="K176" i="10"/>
  <c r="I176" i="10"/>
  <c r="G176" i="10"/>
  <c r="E176" i="10"/>
  <c r="K175" i="10"/>
  <c r="I175" i="10"/>
  <c r="G175" i="10"/>
  <c r="E175" i="10"/>
  <c r="K174" i="10"/>
  <c r="I174" i="10"/>
  <c r="G174" i="10"/>
  <c r="E174" i="10"/>
  <c r="K173" i="10"/>
  <c r="I173" i="10"/>
  <c r="G173" i="10"/>
  <c r="E173" i="10"/>
  <c r="K172" i="10"/>
  <c r="I172" i="10"/>
  <c r="G172" i="10"/>
  <c r="E172" i="10"/>
  <c r="K171" i="10"/>
  <c r="I171" i="10"/>
  <c r="G171" i="10"/>
  <c r="E171" i="10"/>
  <c r="K170" i="10"/>
  <c r="I170" i="10"/>
  <c r="G170" i="10"/>
  <c r="E170" i="10"/>
  <c r="K169" i="10"/>
  <c r="I169" i="10"/>
  <c r="G169" i="10"/>
  <c r="E169" i="10"/>
  <c r="K168" i="10"/>
  <c r="I168" i="10"/>
  <c r="G168" i="10"/>
  <c r="E168" i="10"/>
  <c r="K167" i="10"/>
  <c r="I167" i="10"/>
  <c r="G167" i="10"/>
  <c r="E167" i="10"/>
  <c r="K166" i="10"/>
  <c r="I166" i="10"/>
  <c r="G166" i="10"/>
  <c r="E166" i="10"/>
  <c r="K164" i="10"/>
  <c r="J164" i="10"/>
  <c r="I164" i="10"/>
  <c r="H164" i="10"/>
  <c r="G164" i="10"/>
  <c r="F164" i="10"/>
  <c r="E164" i="10"/>
  <c r="D164" i="10"/>
  <c r="K163" i="10"/>
  <c r="I163" i="10"/>
  <c r="G163" i="10"/>
  <c r="E163" i="10"/>
  <c r="K162" i="10"/>
  <c r="I162" i="10"/>
  <c r="G162" i="10"/>
  <c r="E162" i="10"/>
  <c r="J161" i="10"/>
  <c r="D157" i="10"/>
  <c r="F157" i="10" s="1"/>
  <c r="H157" i="10" s="1"/>
  <c r="J157" i="10" s="1"/>
  <c r="J149" i="10"/>
  <c r="H149" i="10"/>
  <c r="F149" i="10"/>
  <c r="D149" i="10"/>
  <c r="J139" i="10"/>
  <c r="H139" i="10"/>
  <c r="F139" i="10"/>
  <c r="D139" i="10"/>
  <c r="J138" i="10"/>
  <c r="H138" i="10"/>
  <c r="F138" i="10"/>
  <c r="D138" i="10"/>
  <c r="J137" i="10"/>
  <c r="H137" i="10"/>
  <c r="F137" i="10"/>
  <c r="D137" i="10"/>
  <c r="K134" i="10"/>
  <c r="I134" i="10"/>
  <c r="G134" i="10"/>
  <c r="E134" i="10"/>
  <c r="K132" i="10"/>
  <c r="I132" i="10"/>
  <c r="G132" i="10"/>
  <c r="E132" i="10"/>
  <c r="K131" i="10"/>
  <c r="I131" i="10"/>
  <c r="G131" i="10"/>
  <c r="E131" i="10"/>
  <c r="K129" i="10"/>
  <c r="J129" i="10"/>
  <c r="I129" i="10"/>
  <c r="H129" i="10"/>
  <c r="G129" i="10"/>
  <c r="F129" i="10"/>
  <c r="E129" i="10"/>
  <c r="D129" i="10"/>
  <c r="K128" i="10"/>
  <c r="I128" i="10"/>
  <c r="G128" i="10"/>
  <c r="E128" i="10"/>
  <c r="K127" i="10"/>
  <c r="I127" i="10"/>
  <c r="G127" i="10"/>
  <c r="E127" i="10"/>
  <c r="K125" i="10"/>
  <c r="I125" i="10"/>
  <c r="G125" i="10"/>
  <c r="E125" i="10"/>
  <c r="K123" i="10"/>
  <c r="I123" i="10"/>
  <c r="G123" i="10"/>
  <c r="E123" i="10"/>
  <c r="K122" i="10"/>
  <c r="J123" i="10"/>
  <c r="I122" i="10"/>
  <c r="H123" i="10"/>
  <c r="G122" i="10"/>
  <c r="F123" i="10"/>
  <c r="E122" i="10"/>
  <c r="D123" i="10"/>
  <c r="K121" i="10"/>
  <c r="I121" i="10"/>
  <c r="G121" i="10"/>
  <c r="E121" i="10"/>
  <c r="K120" i="10"/>
  <c r="I120" i="10"/>
  <c r="G120" i="10"/>
  <c r="E120" i="10"/>
  <c r="K119" i="10"/>
  <c r="I119" i="10"/>
  <c r="G119" i="10"/>
  <c r="E119" i="10"/>
  <c r="K118" i="10"/>
  <c r="I118" i="10"/>
  <c r="G118" i="10"/>
  <c r="E118" i="10"/>
  <c r="K117" i="10"/>
  <c r="I117" i="10"/>
  <c r="G117" i="10"/>
  <c r="E117" i="10"/>
  <c r="K116" i="10"/>
  <c r="I116" i="10"/>
  <c r="G116" i="10"/>
  <c r="E116" i="10"/>
  <c r="K115" i="10"/>
  <c r="I115" i="10"/>
  <c r="G115" i="10"/>
  <c r="E115" i="10"/>
  <c r="K114" i="10"/>
  <c r="I114" i="10"/>
  <c r="G114" i="10"/>
  <c r="E114" i="10"/>
  <c r="K113" i="10"/>
  <c r="I113" i="10"/>
  <c r="G113" i="10"/>
  <c r="E113" i="10"/>
  <c r="K112" i="10"/>
  <c r="I112" i="10"/>
  <c r="G112" i="10"/>
  <c r="E112" i="10"/>
  <c r="K111" i="10"/>
  <c r="I111" i="10"/>
  <c r="G111" i="10"/>
  <c r="E111" i="10"/>
  <c r="K110" i="10"/>
  <c r="I110" i="10"/>
  <c r="G110" i="10"/>
  <c r="E110" i="10"/>
  <c r="K108" i="10"/>
  <c r="J108" i="10"/>
  <c r="I108" i="10"/>
  <c r="H108" i="10"/>
  <c r="G108" i="10"/>
  <c r="F108" i="10"/>
  <c r="E108" i="10"/>
  <c r="D108" i="10"/>
  <c r="K107" i="10"/>
  <c r="I107" i="10"/>
  <c r="G107" i="10"/>
  <c r="E107" i="10"/>
  <c r="K106" i="10"/>
  <c r="I106" i="10"/>
  <c r="G106" i="10"/>
  <c r="J105" i="10"/>
  <c r="D101" i="10"/>
  <c r="F101" i="10" s="1"/>
  <c r="H101" i="10" s="1"/>
  <c r="J101" i="10" s="1"/>
  <c r="J93" i="10"/>
  <c r="H93" i="10"/>
  <c r="F93" i="10"/>
  <c r="D93" i="10"/>
  <c r="J83" i="10"/>
  <c r="H83" i="10"/>
  <c r="F83" i="10"/>
  <c r="D83" i="10"/>
  <c r="J82" i="10"/>
  <c r="H82" i="10"/>
  <c r="F82" i="10"/>
  <c r="D82" i="10"/>
  <c r="J81" i="10"/>
  <c r="H81" i="10"/>
  <c r="F81" i="10"/>
  <c r="D81" i="10"/>
  <c r="I78" i="10"/>
  <c r="K76" i="10"/>
  <c r="I76" i="10"/>
  <c r="G76" i="10"/>
  <c r="E76" i="10"/>
  <c r="J103" i="1"/>
  <c r="F152" i="3" s="1"/>
  <c r="P104" i="1"/>
  <c r="R104" i="1"/>
  <c r="G43" i="9"/>
  <c r="E43" i="9"/>
  <c r="G42" i="9"/>
  <c r="E42" i="9"/>
  <c r="G41" i="9"/>
  <c r="E41" i="9"/>
  <c r="G40" i="9"/>
  <c r="E40" i="9"/>
  <c r="X39" i="9"/>
  <c r="Y40" i="9" s="1"/>
  <c r="U39" i="9"/>
  <c r="X38" i="9"/>
  <c r="U38" i="9"/>
  <c r="Q38" i="9" s="1"/>
  <c r="B38" i="9"/>
  <c r="Z38" i="9" s="1"/>
  <c r="G37" i="9"/>
  <c r="E37" i="9"/>
  <c r="G36" i="9"/>
  <c r="E36" i="9"/>
  <c r="G35" i="9"/>
  <c r="E35" i="9"/>
  <c r="G34" i="9"/>
  <c r="E34" i="9"/>
  <c r="X33" i="9"/>
  <c r="Y34" i="9" s="1"/>
  <c r="U33" i="9"/>
  <c r="X32" i="9"/>
  <c r="U32" i="9"/>
  <c r="Q32" i="9" s="1"/>
  <c r="B32" i="9"/>
  <c r="Z32" i="9" s="1"/>
  <c r="G31" i="9"/>
  <c r="E31" i="9"/>
  <c r="G30" i="9"/>
  <c r="E30" i="9"/>
  <c r="G29" i="9"/>
  <c r="E29" i="9"/>
  <c r="G28" i="9"/>
  <c r="E28" i="9"/>
  <c r="X27" i="9"/>
  <c r="Y28" i="9" s="1"/>
  <c r="U27" i="9"/>
  <c r="X26" i="9"/>
  <c r="U26" i="9"/>
  <c r="Q26" i="9" s="1"/>
  <c r="B26" i="9"/>
  <c r="Z26" i="9" s="1"/>
  <c r="G25" i="9"/>
  <c r="E25" i="9"/>
  <c r="G24" i="9"/>
  <c r="E24" i="9"/>
  <c r="G23" i="9"/>
  <c r="E23" i="9"/>
  <c r="G22" i="9"/>
  <c r="E22" i="9"/>
  <c r="X21" i="9"/>
  <c r="Y22" i="9" s="1"/>
  <c r="U21" i="9"/>
  <c r="X20" i="9"/>
  <c r="U20" i="9"/>
  <c r="Q20" i="9" s="1"/>
  <c r="B20" i="9"/>
  <c r="Z20" i="9" s="1"/>
  <c r="G19" i="9"/>
  <c r="E19" i="9"/>
  <c r="G18" i="9"/>
  <c r="E18" i="9"/>
  <c r="G17" i="9"/>
  <c r="E17" i="9"/>
  <c r="G16" i="9"/>
  <c r="E16" i="9"/>
  <c r="X15" i="9"/>
  <c r="Y16" i="9" s="1"/>
  <c r="U15" i="9"/>
  <c r="X14" i="9"/>
  <c r="U14" i="9"/>
  <c r="B14" i="9"/>
  <c r="Z14" i="9" s="1"/>
  <c r="G13" i="9"/>
  <c r="E13" i="9"/>
  <c r="G12" i="9"/>
  <c r="E12" i="9"/>
  <c r="G11" i="9"/>
  <c r="E11" i="9"/>
  <c r="G10" i="9"/>
  <c r="E10" i="9"/>
  <c r="X9" i="9"/>
  <c r="Y10" i="9" s="1"/>
  <c r="U9" i="9"/>
  <c r="X8" i="9"/>
  <c r="U8" i="9"/>
  <c r="B8" i="9"/>
  <c r="Y8" i="9" s="1"/>
  <c r="G7" i="9"/>
  <c r="E7" i="9"/>
  <c r="G6" i="9"/>
  <c r="E6" i="9"/>
  <c r="G5" i="9"/>
  <c r="E5" i="9"/>
  <c r="G4" i="9"/>
  <c r="E4" i="9"/>
  <c r="X3" i="9"/>
  <c r="Y4" i="9" s="1"/>
  <c r="U3" i="9"/>
  <c r="X2" i="9"/>
  <c r="U2" i="9"/>
  <c r="B2" i="9"/>
  <c r="Y2" i="9" s="1"/>
  <c r="J32" i="8"/>
  <c r="J28" i="7" s="1"/>
  <c r="H32" i="8"/>
  <c r="H28" i="7" s="1"/>
  <c r="G32" i="8"/>
  <c r="G28" i="7" s="1"/>
  <c r="F32" i="8"/>
  <c r="F28" i="7" s="1"/>
  <c r="I32" i="8" l="1"/>
  <c r="I28" i="7" s="1"/>
  <c r="R18" i="3"/>
  <c r="T18" i="3"/>
  <c r="U18" i="3"/>
  <c r="V18" i="3"/>
  <c r="S18" i="3"/>
  <c r="D168" i="1"/>
  <c r="D19" i="10" s="1"/>
  <c r="J165" i="1"/>
  <c r="H165" i="1"/>
  <c r="F165" i="1"/>
  <c r="J166" i="1"/>
  <c r="J13" i="10" s="1"/>
  <c r="H166" i="1"/>
  <c r="H13" i="10" s="1"/>
  <c r="F269" i="10"/>
  <c r="C330" i="3"/>
  <c r="F493" i="10"/>
  <c r="C466" i="3"/>
  <c r="F549" i="10"/>
  <c r="C500" i="3"/>
  <c r="D165" i="1"/>
  <c r="F605" i="10"/>
  <c r="C534" i="3"/>
  <c r="F661" i="10"/>
  <c r="C568" i="3"/>
  <c r="F166" i="1"/>
  <c r="F13" i="10" s="1"/>
  <c r="D166" i="1"/>
  <c r="D13" i="10" s="1"/>
  <c r="J168" i="1"/>
  <c r="J19" i="10" s="1"/>
  <c r="J164" i="1"/>
  <c r="F325" i="10"/>
  <c r="C364" i="3"/>
  <c r="F437" i="10"/>
  <c r="C432" i="3"/>
  <c r="H168" i="1"/>
  <c r="H19" i="10" s="1"/>
  <c r="H164" i="1"/>
  <c r="F381" i="10"/>
  <c r="C398" i="3"/>
  <c r="F168" i="1"/>
  <c r="F19" i="10" s="1"/>
  <c r="F164" i="1"/>
  <c r="J16" i="10"/>
  <c r="H635" i="10"/>
  <c r="J579" i="10"/>
  <c r="F467" i="10"/>
  <c r="F691" i="10"/>
  <c r="H16" i="10"/>
  <c r="F16" i="10"/>
  <c r="D16" i="10"/>
  <c r="J461" i="10"/>
  <c r="F438" i="3" s="1"/>
  <c r="J691" i="10"/>
  <c r="J523" i="10"/>
  <c r="H579" i="10"/>
  <c r="F635" i="10"/>
  <c r="D691" i="10"/>
  <c r="F405" i="10"/>
  <c r="D404" i="3" s="1"/>
  <c r="F411" i="10"/>
  <c r="D467" i="10"/>
  <c r="H467" i="10"/>
  <c r="J635" i="10"/>
  <c r="H691" i="10"/>
  <c r="F685" i="10"/>
  <c r="D574" i="3" s="1"/>
  <c r="J467" i="10"/>
  <c r="D523" i="10"/>
  <c r="F523" i="10"/>
  <c r="D579" i="10"/>
  <c r="H523" i="10"/>
  <c r="F579" i="10"/>
  <c r="D635" i="10"/>
  <c r="H629" i="10"/>
  <c r="E540" i="3" s="1"/>
  <c r="J629" i="10"/>
  <c r="F540" i="3" s="1"/>
  <c r="D685" i="10"/>
  <c r="C574" i="3" s="1"/>
  <c r="H685" i="10"/>
  <c r="E574" i="3" s="1"/>
  <c r="J685" i="10"/>
  <c r="F574" i="3" s="1"/>
  <c r="D629" i="10"/>
  <c r="C540" i="3" s="1"/>
  <c r="F629" i="10"/>
  <c r="D540" i="3" s="1"/>
  <c r="D573" i="10"/>
  <c r="C506" i="3" s="1"/>
  <c r="F573" i="10"/>
  <c r="D506" i="3" s="1"/>
  <c r="H573" i="10"/>
  <c r="E506" i="3" s="1"/>
  <c r="J573" i="10"/>
  <c r="F506" i="3" s="1"/>
  <c r="D517" i="10"/>
  <c r="C472" i="3" s="1"/>
  <c r="F517" i="10"/>
  <c r="D472" i="3" s="1"/>
  <c r="H517" i="10"/>
  <c r="E472" i="3" s="1"/>
  <c r="J517" i="10"/>
  <c r="F472" i="3" s="1"/>
  <c r="D461" i="10"/>
  <c r="C438" i="3" s="1"/>
  <c r="F461" i="10"/>
  <c r="D438" i="3" s="1"/>
  <c r="H461" i="10"/>
  <c r="E438" i="3" s="1"/>
  <c r="J355" i="10"/>
  <c r="H355" i="10"/>
  <c r="H411" i="10"/>
  <c r="J411" i="10"/>
  <c r="J405" i="10"/>
  <c r="F404" i="3" s="1"/>
  <c r="D411" i="10"/>
  <c r="D405" i="10"/>
  <c r="C404" i="3" s="1"/>
  <c r="H405" i="10"/>
  <c r="E404" i="3" s="1"/>
  <c r="F355" i="10"/>
  <c r="F349" i="10"/>
  <c r="D370" i="3" s="1"/>
  <c r="D355" i="10"/>
  <c r="D349" i="10"/>
  <c r="C370" i="3" s="1"/>
  <c r="H349" i="10"/>
  <c r="E370" i="3" s="1"/>
  <c r="J349" i="10"/>
  <c r="F370" i="3" s="1"/>
  <c r="J237" i="10"/>
  <c r="F243" i="10"/>
  <c r="F246" i="10" s="1"/>
  <c r="F258" i="10" s="1"/>
  <c r="F263" i="10" s="1"/>
  <c r="H237" i="10"/>
  <c r="D78" i="10"/>
  <c r="D90" i="10" s="1"/>
  <c r="D95" i="10" s="1"/>
  <c r="H187" i="10"/>
  <c r="H190" i="10" s="1"/>
  <c r="H202" i="10" s="1"/>
  <c r="H207" i="10" s="1"/>
  <c r="J299" i="10"/>
  <c r="J293" i="10"/>
  <c r="F336" i="3" s="1"/>
  <c r="J187" i="10"/>
  <c r="J190" i="10" s="1"/>
  <c r="J202" i="10" s="1"/>
  <c r="J207" i="10" s="1"/>
  <c r="H131" i="10"/>
  <c r="H134" i="10" s="1"/>
  <c r="H146" i="10" s="1"/>
  <c r="H151" i="10" s="1"/>
  <c r="D243" i="10"/>
  <c r="D246" i="10" s="1"/>
  <c r="D258" i="10" s="1"/>
  <c r="D263" i="10" s="1"/>
  <c r="H243" i="10"/>
  <c r="H246" i="10" s="1"/>
  <c r="H258" i="10" s="1"/>
  <c r="H263" i="10" s="1"/>
  <c r="F299" i="10"/>
  <c r="D131" i="10"/>
  <c r="D134" i="10" s="1"/>
  <c r="D146" i="10" s="1"/>
  <c r="D151" i="10" s="1"/>
  <c r="J131" i="10"/>
  <c r="J134" i="10" s="1"/>
  <c r="J146" i="10" s="1"/>
  <c r="J151" i="10" s="1"/>
  <c r="H299" i="10"/>
  <c r="H78" i="10"/>
  <c r="H90" i="10" s="1"/>
  <c r="H95" i="10" s="1"/>
  <c r="D187" i="10"/>
  <c r="D190" i="10" s="1"/>
  <c r="D202" i="10" s="1"/>
  <c r="D207" i="10" s="1"/>
  <c r="F78" i="10"/>
  <c r="F90" i="10" s="1"/>
  <c r="F95" i="10" s="1"/>
  <c r="J243" i="10"/>
  <c r="J246" i="10" s="1"/>
  <c r="J258" i="10" s="1"/>
  <c r="J263" i="10" s="1"/>
  <c r="G78" i="10"/>
  <c r="E78" i="10"/>
  <c r="F187" i="10"/>
  <c r="F190" i="10" s="1"/>
  <c r="F202" i="10" s="1"/>
  <c r="F207" i="10" s="1"/>
  <c r="F131" i="10"/>
  <c r="F134" i="10" s="1"/>
  <c r="F146" i="10" s="1"/>
  <c r="F151" i="10" s="1"/>
  <c r="D299" i="10"/>
  <c r="D181" i="10"/>
  <c r="F181" i="10"/>
  <c r="D293" i="10"/>
  <c r="C336" i="3" s="1"/>
  <c r="D125" i="10"/>
  <c r="H181" i="10"/>
  <c r="F293" i="10"/>
  <c r="D336" i="3" s="1"/>
  <c r="F237" i="10"/>
  <c r="F125" i="10"/>
  <c r="J181" i="10"/>
  <c r="H293" i="10"/>
  <c r="E336" i="3" s="1"/>
  <c r="H125" i="10"/>
  <c r="J125" i="10"/>
  <c r="D237" i="10"/>
  <c r="Q23" i="9"/>
  <c r="Q24" i="9"/>
  <c r="Q21" i="9"/>
  <c r="Q22" i="9" s="1"/>
  <c r="Q42" i="9"/>
  <c r="Q39" i="9"/>
  <c r="Q43" i="9" s="1"/>
  <c r="Q41" i="9"/>
  <c r="Q30" i="9"/>
  <c r="Q27" i="9"/>
  <c r="Q28" i="9" s="1"/>
  <c r="Q29" i="9"/>
  <c r="Q35" i="9"/>
  <c r="Q33" i="9"/>
  <c r="Q37" i="9" s="1"/>
  <c r="Q36" i="9"/>
  <c r="J31" i="8"/>
  <c r="J27" i="7" s="1"/>
  <c r="X36" i="9"/>
  <c r="Y36" i="9" s="1"/>
  <c r="Z36" i="9" s="1"/>
  <c r="H31" i="8"/>
  <c r="H27" i="7" s="1"/>
  <c r="G31" i="8"/>
  <c r="G27" i="7" s="1"/>
  <c r="F31" i="8"/>
  <c r="F27" i="7" s="1"/>
  <c r="E31" i="8"/>
  <c r="E27" i="7" s="1"/>
  <c r="D31" i="8"/>
  <c r="D27" i="7" s="1"/>
  <c r="K53" i="1"/>
  <c r="J35" i="8" s="1"/>
  <c r="J31" i="7" s="1"/>
  <c r="I53" i="1"/>
  <c r="H35" i="8" s="1"/>
  <c r="H31" i="7" s="1"/>
  <c r="D71" i="7" l="1"/>
  <c r="E71" i="7"/>
  <c r="F71" i="7"/>
  <c r="C71" i="7"/>
  <c r="F10" i="10"/>
  <c r="E90" i="8"/>
  <c r="F90" i="8"/>
  <c r="J10" i="10"/>
  <c r="G90" i="8"/>
  <c r="D90" i="8"/>
  <c r="D10" i="10"/>
  <c r="H7" i="10"/>
  <c r="J7" i="10"/>
  <c r="F7" i="10"/>
  <c r="V21" i="3"/>
  <c r="V17" i="3"/>
  <c r="P17" i="3"/>
  <c r="T21" i="3"/>
  <c r="H10" i="10"/>
  <c r="X12" i="9"/>
  <c r="Y12" i="9" s="1"/>
  <c r="Z12" i="9" s="1"/>
  <c r="Q17" i="3"/>
  <c r="X24" i="9"/>
  <c r="Y24" i="9" s="1"/>
  <c r="Z24" i="9" s="1"/>
  <c r="S17" i="3"/>
  <c r="X18" i="9"/>
  <c r="Y18" i="9" s="1"/>
  <c r="Z18" i="9" s="1"/>
  <c r="R17" i="3"/>
  <c r="X30" i="9"/>
  <c r="Y30" i="9" s="1"/>
  <c r="Z30" i="9" s="1"/>
  <c r="T17" i="3"/>
  <c r="X42" i="9"/>
  <c r="Y42" i="9" s="1"/>
  <c r="Z42" i="9" s="1"/>
  <c r="X50" i="1"/>
  <c r="F358" i="10"/>
  <c r="D372" i="3"/>
  <c r="J638" i="10"/>
  <c r="F542" i="3"/>
  <c r="J302" i="10"/>
  <c r="F338" i="3"/>
  <c r="H470" i="10"/>
  <c r="E440" i="3"/>
  <c r="D470" i="10"/>
  <c r="C440" i="3"/>
  <c r="H381" i="10"/>
  <c r="D398" i="3"/>
  <c r="H661" i="10"/>
  <c r="D568" i="3"/>
  <c r="J414" i="10"/>
  <c r="F406" i="3"/>
  <c r="D414" i="10"/>
  <c r="C406" i="3"/>
  <c r="D638" i="10"/>
  <c r="C542" i="3"/>
  <c r="F414" i="10"/>
  <c r="D406" i="3"/>
  <c r="H302" i="10"/>
  <c r="E338" i="3"/>
  <c r="F582" i="10"/>
  <c r="D508" i="3"/>
  <c r="H605" i="10"/>
  <c r="D534" i="3"/>
  <c r="F470" i="10"/>
  <c r="D440" i="3"/>
  <c r="F302" i="10"/>
  <c r="D338" i="3"/>
  <c r="F526" i="10"/>
  <c r="D474" i="3"/>
  <c r="F638" i="10"/>
  <c r="D542" i="3"/>
  <c r="J582" i="10"/>
  <c r="F508" i="3"/>
  <c r="H549" i="10"/>
  <c r="D500" i="3"/>
  <c r="H437" i="10"/>
  <c r="D432" i="3"/>
  <c r="H358" i="10"/>
  <c r="E372" i="3"/>
  <c r="J358" i="10"/>
  <c r="F372" i="3"/>
  <c r="D526" i="10"/>
  <c r="C474" i="3"/>
  <c r="H582" i="10"/>
  <c r="E508" i="3"/>
  <c r="H638" i="10"/>
  <c r="E542" i="3"/>
  <c r="H325" i="10"/>
  <c r="D364" i="3"/>
  <c r="H526" i="10"/>
  <c r="E474" i="3"/>
  <c r="H414" i="10"/>
  <c r="E406" i="3"/>
  <c r="D582" i="10"/>
  <c r="C508" i="3"/>
  <c r="D302" i="10"/>
  <c r="C338" i="3"/>
  <c r="J470" i="10"/>
  <c r="F440" i="3"/>
  <c r="J526" i="10"/>
  <c r="F474" i="3"/>
  <c r="H493" i="10"/>
  <c r="D466" i="3"/>
  <c r="D694" i="10"/>
  <c r="C576" i="3"/>
  <c r="D358" i="10"/>
  <c r="C372" i="3"/>
  <c r="J694" i="10"/>
  <c r="F576" i="3"/>
  <c r="F694" i="10"/>
  <c r="D576" i="3"/>
  <c r="H694" i="10"/>
  <c r="E576" i="3"/>
  <c r="H269" i="10"/>
  <c r="D330" i="3"/>
  <c r="J78" i="10"/>
  <c r="Q25" i="9"/>
  <c r="U24" i="9" s="1"/>
  <c r="T25" i="9" s="1"/>
  <c r="Q34" i="9"/>
  <c r="U36" i="9" s="1"/>
  <c r="T37" i="9" s="1"/>
  <c r="Q31" i="9"/>
  <c r="U30" i="9" s="1"/>
  <c r="T31" i="9" s="1"/>
  <c r="Q40" i="9"/>
  <c r="U42" i="9" s="1"/>
  <c r="T43" i="9" s="1"/>
  <c r="X6" i="9"/>
  <c r="Y6" i="9" s="1"/>
  <c r="Z6" i="9" s="1"/>
  <c r="J54" i="1"/>
  <c r="I54" i="1"/>
  <c r="H36" i="8" s="1"/>
  <c r="H32" i="7" s="1"/>
  <c r="H54" i="1"/>
  <c r="G53" i="1"/>
  <c r="G54" i="1" s="1"/>
  <c r="F36" i="8" s="1"/>
  <c r="F32" i="7" s="1"/>
  <c r="E24" i="1"/>
  <c r="D12" i="8" s="1"/>
  <c r="D9" i="7" s="1"/>
  <c r="R22" i="3" l="1"/>
  <c r="F35" i="8"/>
  <c r="F31" i="7" s="1"/>
  <c r="G36" i="8"/>
  <c r="G32" i="7" s="1"/>
  <c r="K31" i="8"/>
  <c r="K27" i="7" s="1"/>
  <c r="AG72" i="1"/>
  <c r="I36" i="8"/>
  <c r="I32" i="7" s="1"/>
  <c r="T22" i="3"/>
  <c r="U22" i="3"/>
  <c r="R21" i="3"/>
  <c r="H53" i="1"/>
  <c r="S22" i="3"/>
  <c r="J53" i="1"/>
  <c r="J381" i="10"/>
  <c r="F398" i="3" s="1"/>
  <c r="E398" i="3"/>
  <c r="F650" i="10"/>
  <c r="D544" i="3"/>
  <c r="D370" i="10"/>
  <c r="C374" i="3"/>
  <c r="D594" i="10"/>
  <c r="C510" i="3"/>
  <c r="D538" i="10"/>
  <c r="C476" i="3"/>
  <c r="H314" i="10"/>
  <c r="E340" i="3"/>
  <c r="D706" i="10"/>
  <c r="C578" i="3"/>
  <c r="H426" i="10"/>
  <c r="E408" i="3"/>
  <c r="J370" i="10"/>
  <c r="F374" i="3"/>
  <c r="F538" i="10"/>
  <c r="D476" i="3"/>
  <c r="F426" i="10"/>
  <c r="D408" i="3"/>
  <c r="D482" i="10"/>
  <c r="C442" i="3"/>
  <c r="F314" i="10"/>
  <c r="D340" i="3"/>
  <c r="H706" i="10"/>
  <c r="E578" i="3"/>
  <c r="J538" i="10"/>
  <c r="F476" i="3"/>
  <c r="J325" i="10"/>
  <c r="F364" i="3" s="1"/>
  <c r="E364" i="3"/>
  <c r="J437" i="10"/>
  <c r="F432" i="3" s="1"/>
  <c r="E432" i="3"/>
  <c r="F482" i="10"/>
  <c r="D442" i="3"/>
  <c r="D426" i="10"/>
  <c r="C408" i="3"/>
  <c r="J314" i="10"/>
  <c r="F340" i="3"/>
  <c r="H370" i="10"/>
  <c r="E374" i="3"/>
  <c r="F706" i="10"/>
  <c r="D578" i="3"/>
  <c r="E544" i="3"/>
  <c r="H650" i="10"/>
  <c r="J549" i="10"/>
  <c r="F500" i="3" s="1"/>
  <c r="E500" i="3"/>
  <c r="J605" i="10"/>
  <c r="F534" i="3" s="1"/>
  <c r="E534" i="3"/>
  <c r="J426" i="10"/>
  <c r="F408" i="3"/>
  <c r="J650" i="10"/>
  <c r="F544" i="3"/>
  <c r="J493" i="10"/>
  <c r="F466" i="3" s="1"/>
  <c r="E466" i="3"/>
  <c r="H538" i="10"/>
  <c r="E476" i="3"/>
  <c r="H482" i="10"/>
  <c r="E442" i="3"/>
  <c r="J482" i="10"/>
  <c r="F442" i="3"/>
  <c r="J269" i="10"/>
  <c r="F330" i="3" s="1"/>
  <c r="E330" i="3"/>
  <c r="D650" i="10"/>
  <c r="C544" i="3"/>
  <c r="J706" i="10"/>
  <c r="F578" i="3"/>
  <c r="D314" i="10"/>
  <c r="C340" i="3"/>
  <c r="H594" i="10"/>
  <c r="E510" i="3"/>
  <c r="J594" i="10"/>
  <c r="F510" i="3"/>
  <c r="F594" i="10"/>
  <c r="D510" i="3"/>
  <c r="J661" i="10"/>
  <c r="F568" i="3" s="1"/>
  <c r="E568" i="3"/>
  <c r="F370" i="10"/>
  <c r="D374" i="3"/>
  <c r="J90" i="10"/>
  <c r="J95" i="10" s="1"/>
  <c r="K78" i="10"/>
  <c r="F5" i="9"/>
  <c r="H5" i="9" s="1"/>
  <c r="I5" i="9" s="1"/>
  <c r="F7" i="9"/>
  <c r="H7" i="9" s="1"/>
  <c r="I7" i="9" s="1"/>
  <c r="F4" i="9"/>
  <c r="H4" i="9" s="1"/>
  <c r="I4" i="9" s="1"/>
  <c r="F6" i="9"/>
  <c r="H6" i="9" s="1"/>
  <c r="I6" i="9" s="1"/>
  <c r="K55" i="1"/>
  <c r="J37" i="8" s="1"/>
  <c r="J33" i="7" s="1"/>
  <c r="I27" i="1"/>
  <c r="I55" i="1"/>
  <c r="H37" i="8" s="1"/>
  <c r="H33" i="7" s="1"/>
  <c r="D55" i="1"/>
  <c r="C37" i="8" s="1"/>
  <c r="C33" i="7" s="1"/>
  <c r="C152" i="1"/>
  <c r="B65" i="7" s="1"/>
  <c r="G35" i="8" l="1"/>
  <c r="G31" i="7" s="1"/>
  <c r="I35" i="8"/>
  <c r="I31" i="7" s="1"/>
  <c r="C82" i="8"/>
  <c r="B181" i="3"/>
  <c r="V23" i="3"/>
  <c r="O23" i="3"/>
  <c r="T23" i="3"/>
  <c r="U21" i="3"/>
  <c r="S21" i="3"/>
  <c r="H55" i="1"/>
  <c r="G37" i="8" s="1"/>
  <c r="G33" i="7" s="1"/>
  <c r="I64" i="1"/>
  <c r="N126" i="3" s="1"/>
  <c r="C102" i="3" s="1" a="1"/>
  <c r="C102" i="3" s="1"/>
  <c r="F487" i="10"/>
  <c r="D458" i="3" s="1"/>
  <c r="D453" i="3"/>
  <c r="D487" i="10"/>
  <c r="C458" i="3" s="1"/>
  <c r="C453" i="3"/>
  <c r="H319" i="10"/>
  <c r="E356" i="3" s="1"/>
  <c r="E351" i="3"/>
  <c r="H655" i="10"/>
  <c r="E560" i="3" s="1"/>
  <c r="E555" i="3"/>
  <c r="H599" i="10"/>
  <c r="E526" i="3" s="1"/>
  <c r="E521" i="3"/>
  <c r="F431" i="10"/>
  <c r="D424" i="3" s="1"/>
  <c r="D419" i="3"/>
  <c r="D543" i="10"/>
  <c r="C492" i="3" s="1"/>
  <c r="C487" i="3"/>
  <c r="F375" i="10"/>
  <c r="D390" i="3" s="1"/>
  <c r="D385" i="3"/>
  <c r="F711" i="10"/>
  <c r="D594" i="3" s="1"/>
  <c r="D589" i="3"/>
  <c r="D655" i="10"/>
  <c r="C560" i="3" s="1"/>
  <c r="C555" i="3"/>
  <c r="J655" i="10"/>
  <c r="F560" i="3" s="1"/>
  <c r="F555" i="3"/>
  <c r="H375" i="10"/>
  <c r="E390" i="3" s="1"/>
  <c r="E385" i="3"/>
  <c r="J543" i="10"/>
  <c r="F492" i="3" s="1"/>
  <c r="F487" i="3"/>
  <c r="J375" i="10"/>
  <c r="F390" i="3" s="1"/>
  <c r="F385" i="3"/>
  <c r="D375" i="10"/>
  <c r="C390" i="3" s="1"/>
  <c r="C385" i="3"/>
  <c r="D599" i="10"/>
  <c r="C526" i="3" s="1"/>
  <c r="C521" i="3"/>
  <c r="F599" i="10"/>
  <c r="D526" i="3" s="1"/>
  <c r="D521" i="3"/>
  <c r="J431" i="10"/>
  <c r="F424" i="3" s="1"/>
  <c r="F419" i="3"/>
  <c r="J319" i="10"/>
  <c r="F356" i="3" s="1"/>
  <c r="F351" i="3"/>
  <c r="H711" i="10"/>
  <c r="E594" i="3" s="1"/>
  <c r="E589" i="3"/>
  <c r="H431" i="10"/>
  <c r="E424" i="3" s="1"/>
  <c r="E419" i="3"/>
  <c r="F655" i="10"/>
  <c r="D560" i="3" s="1"/>
  <c r="D555" i="3"/>
  <c r="H487" i="10"/>
  <c r="E458" i="3" s="1"/>
  <c r="E453" i="3"/>
  <c r="D319" i="10"/>
  <c r="C356" i="3" s="1"/>
  <c r="C351" i="3"/>
  <c r="H543" i="10"/>
  <c r="E492" i="3" s="1"/>
  <c r="E487" i="3"/>
  <c r="F543" i="10"/>
  <c r="D492" i="3" s="1"/>
  <c r="D487" i="3"/>
  <c r="J711" i="10"/>
  <c r="F594" i="3" s="1"/>
  <c r="F589" i="3"/>
  <c r="J599" i="10"/>
  <c r="F526" i="3" s="1"/>
  <c r="F521" i="3"/>
  <c r="J487" i="10"/>
  <c r="F458" i="3" s="1"/>
  <c r="F453" i="3"/>
  <c r="D431" i="10"/>
  <c r="C424" i="3" s="1"/>
  <c r="C419" i="3"/>
  <c r="F319" i="10"/>
  <c r="D356" i="3" s="1"/>
  <c r="D351" i="3"/>
  <c r="D711" i="10"/>
  <c r="C594" i="3" s="1"/>
  <c r="C589" i="3"/>
  <c r="X41" i="9"/>
  <c r="Y41" i="9" s="1"/>
  <c r="Z41" i="9" s="1"/>
  <c r="Z43" i="9" s="1"/>
  <c r="X29" i="9"/>
  <c r="Y29" i="9" s="1"/>
  <c r="Z29" i="9" s="1"/>
  <c r="Z31" i="9" s="1"/>
  <c r="H27" i="1"/>
  <c r="H26" i="1"/>
  <c r="K36" i="1"/>
  <c r="J19" i="8" s="1"/>
  <c r="J15" i="7" s="1"/>
  <c r="J36" i="1"/>
  <c r="I19" i="8" s="1"/>
  <c r="I15" i="7" s="1"/>
  <c r="I36" i="1"/>
  <c r="H19" i="8" s="1"/>
  <c r="H15" i="7" s="1"/>
  <c r="H36" i="1"/>
  <c r="G19" i="8" s="1"/>
  <c r="G15" i="7" s="1"/>
  <c r="N153" i="1"/>
  <c r="N152" i="1"/>
  <c r="C151" i="1"/>
  <c r="B64" i="7" s="1"/>
  <c r="C150" i="1"/>
  <c r="B63" i="7" s="1"/>
  <c r="C149" i="1"/>
  <c r="B62" i="7" s="1"/>
  <c r="C148" i="1"/>
  <c r="B61" i="7" s="1"/>
  <c r="C147" i="1"/>
  <c r="B60" i="7" s="1"/>
  <c r="I24" i="1"/>
  <c r="I21" i="1"/>
  <c r="G33" i="3" s="1"/>
  <c r="E36" i="1"/>
  <c r="D19" i="8" s="1"/>
  <c r="D15" i="7" s="1"/>
  <c r="G36" i="1"/>
  <c r="F36" i="1"/>
  <c r="E19" i="8" s="1"/>
  <c r="E15" i="7" s="1"/>
  <c r="G24" i="1"/>
  <c r="F12" i="8" s="1"/>
  <c r="F9" i="7" s="1"/>
  <c r="G21" i="1"/>
  <c r="F24" i="1"/>
  <c r="E12" i="8" s="1"/>
  <c r="E9" i="7" s="1"/>
  <c r="F21" i="1"/>
  <c r="D48" i="9" s="1"/>
  <c r="F19" i="8" l="1"/>
  <c r="F15" i="7" s="1"/>
  <c r="AI68" i="1"/>
  <c r="AK67" i="1"/>
  <c r="E15" i="8"/>
  <c r="E12" i="7" s="1"/>
  <c r="E33" i="3"/>
  <c r="F15" i="8"/>
  <c r="F12" i="7" s="1"/>
  <c r="C78" i="8"/>
  <c r="C79" i="8"/>
  <c r="C77" i="8"/>
  <c r="C81" i="8"/>
  <c r="C80" i="8"/>
  <c r="B179" i="3"/>
  <c r="B180" i="3"/>
  <c r="B178" i="3"/>
  <c r="B176" i="3"/>
  <c r="B177" i="3"/>
  <c r="S5" i="3"/>
  <c r="H5" i="3" s="1"/>
  <c r="T5" i="3"/>
  <c r="I5" i="3" s="1"/>
  <c r="P5" i="3"/>
  <c r="E5" i="3" s="1"/>
  <c r="U5" i="3"/>
  <c r="J5" i="3" s="1"/>
  <c r="V5" i="3"/>
  <c r="K5" i="3" s="1"/>
  <c r="S23" i="3"/>
  <c r="N148" i="1"/>
  <c r="N149" i="1"/>
  <c r="N151" i="1"/>
  <c r="N147" i="1"/>
  <c r="N150" i="1"/>
  <c r="X23" i="9"/>
  <c r="Y23" i="9" s="1"/>
  <c r="Z23" i="9" s="1"/>
  <c r="Z25" i="9" s="1"/>
  <c r="G65" i="3"/>
  <c r="D33" i="3"/>
  <c r="R5" i="3"/>
  <c r="G5" i="3" s="1"/>
  <c r="Q5" i="3"/>
  <c r="F5" i="3" s="1"/>
  <c r="AA36" i="1"/>
  <c r="I68" i="1"/>
  <c r="N128" i="3" s="1"/>
  <c r="C110" i="3" s="1" a="1"/>
  <c r="C110" i="3" s="1"/>
  <c r="D12" i="9"/>
  <c r="D10" i="9"/>
  <c r="J10" i="9" s="1"/>
  <c r="D11" i="9"/>
  <c r="D13" i="9"/>
  <c r="F11" i="9"/>
  <c r="H11" i="9" s="1"/>
  <c r="I11" i="9" s="1"/>
  <c r="F10" i="9"/>
  <c r="H10" i="9" s="1"/>
  <c r="I10" i="9" s="1"/>
  <c r="F12" i="9"/>
  <c r="H12" i="9" s="1"/>
  <c r="I12" i="9" s="1"/>
  <c r="F13" i="9"/>
  <c r="H13" i="9" s="1"/>
  <c r="I13" i="9" s="1"/>
  <c r="D18" i="9"/>
  <c r="D17" i="9"/>
  <c r="D19" i="9"/>
  <c r="D16" i="9"/>
  <c r="J16" i="9" s="1"/>
  <c r="F19" i="9"/>
  <c r="H19" i="9" s="1"/>
  <c r="I19" i="9" s="1"/>
  <c r="F17" i="9"/>
  <c r="H17" i="9" s="1"/>
  <c r="I17" i="9" s="1"/>
  <c r="F16" i="9"/>
  <c r="H16" i="9" s="1"/>
  <c r="I16" i="9" s="1"/>
  <c r="F18" i="9"/>
  <c r="H18" i="9" s="1"/>
  <c r="I18" i="9" s="1"/>
  <c r="D30" i="9"/>
  <c r="D31" i="9"/>
  <c r="D28" i="9"/>
  <c r="J28" i="9" s="1"/>
  <c r="D29" i="9"/>
  <c r="F29" i="9"/>
  <c r="H29" i="9" s="1"/>
  <c r="I29" i="9" s="1"/>
  <c r="F30" i="9"/>
  <c r="H30" i="9" s="1"/>
  <c r="I30" i="9" s="1"/>
  <c r="F31" i="9"/>
  <c r="H31" i="9" s="1"/>
  <c r="I31" i="9" s="1"/>
  <c r="F28" i="9"/>
  <c r="H28" i="9" s="1"/>
  <c r="I28" i="9" s="1"/>
  <c r="I26" i="1"/>
  <c r="J26" i="1"/>
  <c r="C111" i="3" l="1" a="1"/>
  <c r="C111" i="3" s="1"/>
  <c r="C112" i="3" a="1"/>
  <c r="C112" i="3" s="1"/>
  <c r="C108" i="3" a="1"/>
  <c r="C108" i="3" s="1"/>
  <c r="C109" i="3" a="1"/>
  <c r="C109" i="3" s="1"/>
  <c r="C104" i="3" a="1"/>
  <c r="C104" i="3" s="1"/>
  <c r="C107" i="3" a="1"/>
  <c r="C107" i="3" s="1"/>
  <c r="C106" i="3" a="1"/>
  <c r="C106" i="3" s="1"/>
  <c r="C105" i="3" a="1"/>
  <c r="C105" i="3" s="1"/>
  <c r="E32" i="8"/>
  <c r="E28" i="7" s="1"/>
  <c r="Q18" i="3"/>
  <c r="J12" i="9"/>
  <c r="J18" i="9"/>
  <c r="J13" i="9"/>
  <c r="J17" i="9"/>
  <c r="J19" i="9"/>
  <c r="J31" i="9"/>
  <c r="J30" i="9"/>
  <c r="J11" i="9"/>
  <c r="J29" i="9"/>
  <c r="H21" i="1"/>
  <c r="H24" i="1"/>
  <c r="G12" i="8" s="1"/>
  <c r="G9" i="7" s="1"/>
  <c r="F33" i="3" l="1"/>
  <c r="G15" i="8"/>
  <c r="G12" i="7" s="1"/>
  <c r="D25" i="9"/>
  <c r="D24" i="9"/>
  <c r="D22" i="9"/>
  <c r="J22" i="9" s="1"/>
  <c r="D23" i="9"/>
  <c r="F24" i="9"/>
  <c r="H24" i="9" s="1"/>
  <c r="I24" i="9" s="1"/>
  <c r="F25" i="9"/>
  <c r="H25" i="9" s="1"/>
  <c r="I25" i="9" s="1"/>
  <c r="F22" i="9"/>
  <c r="H22" i="9" s="1"/>
  <c r="I22" i="9" s="1"/>
  <c r="F23" i="9"/>
  <c r="H23" i="9" s="1"/>
  <c r="I23" i="9" s="1"/>
  <c r="E58" i="4"/>
  <c r="O57" i="4"/>
  <c r="N57" i="4"/>
  <c r="M57" i="4"/>
  <c r="K57" i="4"/>
  <c r="J57" i="4"/>
  <c r="F57" i="4"/>
  <c r="E57" i="4"/>
  <c r="D57" i="4"/>
  <c r="C57" i="4"/>
  <c r="B57" i="4"/>
  <c r="O56" i="4"/>
  <c r="N56" i="4"/>
  <c r="M56" i="4"/>
  <c r="L56" i="4"/>
  <c r="J56" i="4"/>
  <c r="F56" i="4"/>
  <c r="E56" i="4"/>
  <c r="D56" i="4"/>
  <c r="B56" i="4"/>
  <c r="O55" i="4"/>
  <c r="N55" i="4"/>
  <c r="M55" i="4"/>
  <c r="L55" i="4"/>
  <c r="J55" i="4"/>
  <c r="F55" i="4"/>
  <c r="E55" i="4"/>
  <c r="D55" i="4"/>
  <c r="B55" i="4"/>
  <c r="N54" i="4"/>
  <c r="M54" i="4"/>
  <c r="L54" i="4"/>
  <c r="J54" i="4"/>
  <c r="E54" i="4"/>
  <c r="D54" i="4"/>
  <c r="B54" i="4"/>
  <c r="O53" i="4"/>
  <c r="N53" i="4"/>
  <c r="M53" i="4"/>
  <c r="K53" i="4"/>
  <c r="J53" i="4"/>
  <c r="E53" i="4"/>
  <c r="C53" i="4"/>
  <c r="B53" i="4"/>
  <c r="O52" i="4"/>
  <c r="N52" i="4"/>
  <c r="M52" i="4"/>
  <c r="L52" i="4"/>
  <c r="J52" i="4"/>
  <c r="F52" i="4"/>
  <c r="E52" i="4"/>
  <c r="D52" i="4"/>
  <c r="B52" i="4"/>
  <c r="O51" i="4"/>
  <c r="N51" i="4"/>
  <c r="M51" i="4"/>
  <c r="L51" i="4"/>
  <c r="J51" i="4"/>
  <c r="F51" i="4"/>
  <c r="E51" i="4"/>
  <c r="D51" i="4"/>
  <c r="B51" i="4"/>
  <c r="O50" i="4"/>
  <c r="N50" i="4"/>
  <c r="M50" i="4"/>
  <c r="L50" i="4"/>
  <c r="J50" i="4"/>
  <c r="F50" i="4"/>
  <c r="E50" i="4"/>
  <c r="D50" i="4"/>
  <c r="B50" i="4"/>
  <c r="O49" i="4"/>
  <c r="N49" i="4"/>
  <c r="M49" i="4"/>
  <c r="L49" i="4"/>
  <c r="J49" i="4"/>
  <c r="F49" i="4"/>
  <c r="E49" i="4"/>
  <c r="D49" i="4"/>
  <c r="C49" i="4"/>
  <c r="B49" i="4"/>
  <c r="O48" i="4"/>
  <c r="N48" i="4"/>
  <c r="M48" i="4"/>
  <c r="L48" i="4"/>
  <c r="J48" i="4"/>
  <c r="F48" i="4"/>
  <c r="E48" i="4"/>
  <c r="D48" i="4"/>
  <c r="B48" i="4"/>
  <c r="O47" i="4"/>
  <c r="N47" i="4"/>
  <c r="M47" i="4"/>
  <c r="L47" i="4"/>
  <c r="J47" i="4"/>
  <c r="F47" i="4"/>
  <c r="E47" i="4"/>
  <c r="D47" i="4"/>
  <c r="B47" i="4"/>
  <c r="O46" i="4"/>
  <c r="N46" i="4"/>
  <c r="M46" i="4"/>
  <c r="L46" i="4"/>
  <c r="K46" i="4"/>
  <c r="J46" i="4"/>
  <c r="F46" i="4"/>
  <c r="E46" i="4"/>
  <c r="D46" i="4"/>
  <c r="B46" i="4"/>
  <c r="O45" i="4"/>
  <c r="N45" i="4"/>
  <c r="M45" i="4"/>
  <c r="L45" i="4"/>
  <c r="J45" i="4"/>
  <c r="F45" i="4"/>
  <c r="E45" i="4"/>
  <c r="D45" i="4"/>
  <c r="C45" i="4"/>
  <c r="B45" i="4"/>
  <c r="O44" i="4"/>
  <c r="N44" i="4"/>
  <c r="M44" i="4"/>
  <c r="L44" i="4"/>
  <c r="J44" i="4"/>
  <c r="F44" i="4"/>
  <c r="E44" i="4"/>
  <c r="D44" i="4"/>
  <c r="B44" i="4"/>
  <c r="O43" i="4"/>
  <c r="N43" i="4"/>
  <c r="M43" i="4"/>
  <c r="L43" i="4"/>
  <c r="J43" i="4"/>
  <c r="F43" i="4"/>
  <c r="E43" i="4"/>
  <c r="D43" i="4"/>
  <c r="B43" i="4"/>
  <c r="O42" i="4"/>
  <c r="N42" i="4"/>
  <c r="M42" i="4"/>
  <c r="L42" i="4"/>
  <c r="K42" i="4"/>
  <c r="J42" i="4"/>
  <c r="F42" i="4"/>
  <c r="E42" i="4"/>
  <c r="D42" i="4"/>
  <c r="B42" i="4"/>
  <c r="O41" i="4"/>
  <c r="K41" i="4"/>
  <c r="F41" i="4"/>
  <c r="N36" i="4"/>
  <c r="M36" i="4"/>
  <c r="M58" i="4" s="1"/>
  <c r="F36" i="4"/>
  <c r="E36" i="4"/>
  <c r="L35" i="4"/>
  <c r="L57" i="4" s="1"/>
  <c r="D35" i="4"/>
  <c r="K34" i="4"/>
  <c r="K56" i="4" s="1"/>
  <c r="C34" i="4"/>
  <c r="C56" i="4" s="1"/>
  <c r="K33" i="4"/>
  <c r="K55" i="4" s="1"/>
  <c r="C33" i="4"/>
  <c r="C55" i="4" s="1"/>
  <c r="O32" i="4"/>
  <c r="G32" i="4"/>
  <c r="F54" i="4" s="1"/>
  <c r="C32" i="4"/>
  <c r="C54" i="4" s="1"/>
  <c r="U31" i="4"/>
  <c r="L31" i="4"/>
  <c r="U30" i="4"/>
  <c r="K30" i="4"/>
  <c r="K52" i="4" s="1"/>
  <c r="C30" i="4"/>
  <c r="C52" i="4" s="1"/>
  <c r="U29" i="4"/>
  <c r="K29" i="4"/>
  <c r="K51" i="4" s="1"/>
  <c r="C29" i="4"/>
  <c r="C51" i="4" s="1"/>
  <c r="U28" i="4"/>
  <c r="K28" i="4"/>
  <c r="K50" i="4" s="1"/>
  <c r="C28" i="4"/>
  <c r="C50" i="4" s="1"/>
  <c r="U27" i="4"/>
  <c r="K27" i="4"/>
  <c r="K49" i="4" s="1"/>
  <c r="C27" i="4"/>
  <c r="U26" i="4"/>
  <c r="K26" i="4"/>
  <c r="K48" i="4" s="1"/>
  <c r="C26" i="4"/>
  <c r="C48" i="4" s="1"/>
  <c r="U25" i="4"/>
  <c r="K25" i="4"/>
  <c r="K47" i="4" s="1"/>
  <c r="C25" i="4"/>
  <c r="C47" i="4" s="1"/>
  <c r="U24" i="4"/>
  <c r="K24" i="4"/>
  <c r="C24" i="4"/>
  <c r="C46" i="4" s="1"/>
  <c r="U23" i="4"/>
  <c r="K23" i="4"/>
  <c r="K45" i="4" s="1"/>
  <c r="C23" i="4"/>
  <c r="K22" i="4"/>
  <c r="K44" i="4" s="1"/>
  <c r="C22" i="4"/>
  <c r="C44" i="4" s="1"/>
  <c r="K21" i="4"/>
  <c r="K43" i="4" s="1"/>
  <c r="C21" i="4"/>
  <c r="C43" i="4" s="1"/>
  <c r="K20" i="4"/>
  <c r="C20" i="4"/>
  <c r="C42" i="4" s="1"/>
  <c r="U18" i="4"/>
  <c r="N18" i="4"/>
  <c r="N41" i="4" s="1"/>
  <c r="M18" i="4"/>
  <c r="M41" i="4" s="1"/>
  <c r="L18" i="4"/>
  <c r="L41" i="4" s="1"/>
  <c r="F18" i="4"/>
  <c r="E18" i="4"/>
  <c r="E41" i="4" s="1"/>
  <c r="D18" i="4"/>
  <c r="D41" i="4" s="1"/>
  <c r="C18" i="4"/>
  <c r="C41" i="4" s="1"/>
  <c r="U17" i="4"/>
  <c r="U16" i="4"/>
  <c r="U15" i="4"/>
  <c r="U14" i="4"/>
  <c r="U13" i="4"/>
  <c r="U12" i="4"/>
  <c r="K12" i="4"/>
  <c r="U11" i="4"/>
  <c r="G11" i="4"/>
  <c r="F11" i="4"/>
  <c r="E11" i="4"/>
  <c r="C11" i="4"/>
  <c r="U10" i="4"/>
  <c r="U9" i="4"/>
  <c r="U8" i="4"/>
  <c r="G8" i="4"/>
  <c r="F8" i="4"/>
  <c r="E8" i="4"/>
  <c r="C8" i="4"/>
  <c r="U7" i="4"/>
  <c r="U6" i="4"/>
  <c r="U5" i="4"/>
  <c r="U4" i="4"/>
  <c r="K3" i="4"/>
  <c r="B322" i="3"/>
  <c r="B320" i="3"/>
  <c r="F319" i="3"/>
  <c r="E319" i="3"/>
  <c r="D319" i="3"/>
  <c r="C319" i="3"/>
  <c r="B319" i="3"/>
  <c r="B317" i="3"/>
  <c r="F315" i="3"/>
  <c r="E315" i="3"/>
  <c r="D315" i="3"/>
  <c r="C315" i="3"/>
  <c r="B315" i="3"/>
  <c r="F314" i="3"/>
  <c r="E314" i="3"/>
  <c r="D314" i="3"/>
  <c r="C314" i="3"/>
  <c r="B314" i="3"/>
  <c r="F313" i="3"/>
  <c r="E313" i="3"/>
  <c r="D313" i="3"/>
  <c r="C313" i="3"/>
  <c r="B313" i="3"/>
  <c r="F312" i="3"/>
  <c r="E312" i="3"/>
  <c r="D312" i="3"/>
  <c r="C312" i="3"/>
  <c r="B312" i="3"/>
  <c r="B311" i="3"/>
  <c r="B310" i="3"/>
  <c r="B309" i="3"/>
  <c r="B308" i="3"/>
  <c r="B306" i="3"/>
  <c r="F305" i="3"/>
  <c r="E305" i="3"/>
  <c r="D305" i="3"/>
  <c r="C305" i="3"/>
  <c r="B305" i="3"/>
  <c r="B304" i="3"/>
  <c r="B303" i="3"/>
  <c r="B302" i="3"/>
  <c r="B301" i="3"/>
  <c r="B300" i="3"/>
  <c r="B299" i="3"/>
  <c r="B298" i="3"/>
  <c r="C296" i="3"/>
  <c r="B294" i="3"/>
  <c r="B288" i="3"/>
  <c r="B286" i="3"/>
  <c r="F285" i="3"/>
  <c r="E285" i="3"/>
  <c r="D285" i="3"/>
  <c r="C285" i="3"/>
  <c r="B285" i="3"/>
  <c r="B283" i="3"/>
  <c r="F281" i="3"/>
  <c r="E281" i="3"/>
  <c r="D281" i="3"/>
  <c r="C281" i="3"/>
  <c r="B281" i="3"/>
  <c r="F280" i="3"/>
  <c r="E280" i="3"/>
  <c r="D280" i="3"/>
  <c r="C280" i="3"/>
  <c r="B280" i="3"/>
  <c r="F279" i="3"/>
  <c r="E279" i="3"/>
  <c r="D279" i="3"/>
  <c r="C279" i="3"/>
  <c r="B279" i="3"/>
  <c r="F278" i="3"/>
  <c r="E278" i="3"/>
  <c r="D278" i="3"/>
  <c r="C278" i="3"/>
  <c r="B278" i="3"/>
  <c r="B277" i="3"/>
  <c r="B276" i="3"/>
  <c r="B275" i="3"/>
  <c r="B274" i="3"/>
  <c r="B272" i="3"/>
  <c r="F271" i="3"/>
  <c r="E271" i="3"/>
  <c r="D271" i="3"/>
  <c r="C271" i="3"/>
  <c r="B271" i="3"/>
  <c r="B270" i="3"/>
  <c r="B269" i="3"/>
  <c r="B268" i="3"/>
  <c r="B267" i="3"/>
  <c r="B266" i="3"/>
  <c r="B265" i="3"/>
  <c r="B264" i="3"/>
  <c r="C262" i="3"/>
  <c r="B260" i="3"/>
  <c r="B254" i="3"/>
  <c r="B252" i="3"/>
  <c r="F251" i="3"/>
  <c r="E251" i="3"/>
  <c r="D251" i="3"/>
  <c r="C251" i="3"/>
  <c r="B251" i="3"/>
  <c r="B249" i="3"/>
  <c r="F247" i="3"/>
  <c r="E247" i="3"/>
  <c r="D247" i="3"/>
  <c r="C247" i="3"/>
  <c r="B247" i="3"/>
  <c r="F246" i="3"/>
  <c r="E246" i="3"/>
  <c r="D246" i="3"/>
  <c r="C246" i="3"/>
  <c r="B246" i="3"/>
  <c r="F245" i="3"/>
  <c r="E245" i="3"/>
  <c r="D245" i="3"/>
  <c r="C245" i="3"/>
  <c r="B245" i="3"/>
  <c r="F244" i="3"/>
  <c r="E244" i="3"/>
  <c r="D244" i="3"/>
  <c r="C244" i="3"/>
  <c r="B244" i="3"/>
  <c r="B243" i="3"/>
  <c r="B242" i="3"/>
  <c r="B241" i="3"/>
  <c r="B240" i="3"/>
  <c r="B238" i="3"/>
  <c r="F237" i="3"/>
  <c r="E237" i="3"/>
  <c r="D237" i="3"/>
  <c r="C237" i="3"/>
  <c r="B237" i="3"/>
  <c r="B236" i="3"/>
  <c r="B235" i="3"/>
  <c r="B234" i="3"/>
  <c r="B233" i="3"/>
  <c r="B232" i="3"/>
  <c r="B231" i="3"/>
  <c r="B230" i="3"/>
  <c r="C228" i="3"/>
  <c r="B226" i="3"/>
  <c r="B220" i="3"/>
  <c r="B218" i="3"/>
  <c r="F217" i="3"/>
  <c r="E217" i="3"/>
  <c r="D217" i="3"/>
  <c r="C217" i="3"/>
  <c r="B217" i="3"/>
  <c r="B215" i="3"/>
  <c r="F213" i="3"/>
  <c r="E213" i="3"/>
  <c r="D213" i="3"/>
  <c r="C213" i="3"/>
  <c r="B213" i="3"/>
  <c r="F212" i="3"/>
  <c r="E212" i="3"/>
  <c r="D212" i="3"/>
  <c r="C212" i="3"/>
  <c r="B212" i="3"/>
  <c r="F211" i="3"/>
  <c r="E211" i="3"/>
  <c r="D211" i="3"/>
  <c r="C211" i="3"/>
  <c r="B211" i="3"/>
  <c r="F210" i="3"/>
  <c r="E210" i="3"/>
  <c r="D210" i="3"/>
  <c r="C210" i="3"/>
  <c r="B210" i="3"/>
  <c r="B209" i="3"/>
  <c r="B208" i="3"/>
  <c r="B207" i="3"/>
  <c r="B206" i="3"/>
  <c r="B204" i="3"/>
  <c r="F203" i="3"/>
  <c r="E203" i="3"/>
  <c r="D203" i="3"/>
  <c r="C203" i="3"/>
  <c r="B203" i="3"/>
  <c r="B202" i="3"/>
  <c r="B201" i="3"/>
  <c r="B200" i="3"/>
  <c r="B199" i="3"/>
  <c r="B198" i="3"/>
  <c r="B197" i="3"/>
  <c r="B196" i="3"/>
  <c r="C194" i="3"/>
  <c r="B192" i="3"/>
  <c r="B4" i="2"/>
  <c r="J206" i="1"/>
  <c r="G93" i="3" s="1"/>
  <c r="G206" i="1"/>
  <c r="D93" i="3" s="1"/>
  <c r="I205" i="1"/>
  <c r="F92" i="3" s="1"/>
  <c r="I204" i="1"/>
  <c r="F91" i="3" s="1"/>
  <c r="I203" i="1"/>
  <c r="F90" i="3" s="1"/>
  <c r="I202" i="1"/>
  <c r="F89" i="3" s="1"/>
  <c r="I201" i="1"/>
  <c r="F88" i="3" s="1"/>
  <c r="I200" i="1"/>
  <c r="F87" i="3" s="1"/>
  <c r="I199" i="1"/>
  <c r="F86" i="3" s="1"/>
  <c r="I198" i="1"/>
  <c r="F85" i="3" s="1"/>
  <c r="I197" i="1"/>
  <c r="F84" i="3" s="1"/>
  <c r="F320" i="3"/>
  <c r="E320" i="3"/>
  <c r="D320" i="3"/>
  <c r="C320" i="3"/>
  <c r="F311" i="3"/>
  <c r="E311" i="3"/>
  <c r="D311" i="3"/>
  <c r="C311" i="3"/>
  <c r="F310" i="3"/>
  <c r="E310" i="3"/>
  <c r="D310" i="3"/>
  <c r="C310" i="3"/>
  <c r="F309" i="3"/>
  <c r="E309" i="3"/>
  <c r="D309" i="3"/>
  <c r="C309" i="3"/>
  <c r="F303" i="3"/>
  <c r="E303" i="3"/>
  <c r="D303" i="3"/>
  <c r="C303" i="3"/>
  <c r="F301" i="3"/>
  <c r="E301" i="3"/>
  <c r="D301" i="3"/>
  <c r="C301" i="3"/>
  <c r="E299" i="3"/>
  <c r="D299" i="3"/>
  <c r="C299" i="3"/>
  <c r="F298" i="3"/>
  <c r="F297" i="3"/>
  <c r="D296" i="3"/>
  <c r="F286" i="3"/>
  <c r="E286" i="3"/>
  <c r="D286" i="3"/>
  <c r="C286" i="3"/>
  <c r="F277" i="3"/>
  <c r="E277" i="3"/>
  <c r="D277" i="3"/>
  <c r="C277" i="3"/>
  <c r="F276" i="3"/>
  <c r="E276" i="3"/>
  <c r="D276" i="3"/>
  <c r="C276" i="3"/>
  <c r="F275" i="3"/>
  <c r="E275" i="3"/>
  <c r="D275" i="3"/>
  <c r="C275" i="3"/>
  <c r="F269" i="3"/>
  <c r="E269" i="3"/>
  <c r="D269" i="3"/>
  <c r="C269" i="3"/>
  <c r="F267" i="3"/>
  <c r="E267" i="3"/>
  <c r="D267" i="3"/>
  <c r="C267" i="3"/>
  <c r="F265" i="3"/>
  <c r="E265" i="3"/>
  <c r="D265" i="3"/>
  <c r="C265" i="3"/>
  <c r="F263" i="3"/>
  <c r="E262" i="3"/>
  <c r="F252" i="3"/>
  <c r="E252" i="3"/>
  <c r="D252" i="3"/>
  <c r="C252" i="3"/>
  <c r="F243" i="3"/>
  <c r="E243" i="3"/>
  <c r="D243" i="3"/>
  <c r="C243" i="3"/>
  <c r="F242" i="3"/>
  <c r="E242" i="3"/>
  <c r="D242" i="3"/>
  <c r="C242" i="3"/>
  <c r="F241" i="3"/>
  <c r="E241" i="3"/>
  <c r="D241" i="3"/>
  <c r="C241" i="3"/>
  <c r="F235" i="3"/>
  <c r="E235" i="3"/>
  <c r="D235" i="3"/>
  <c r="C235" i="3"/>
  <c r="F233" i="3"/>
  <c r="E233" i="3"/>
  <c r="D233" i="3"/>
  <c r="C233" i="3"/>
  <c r="F231" i="3"/>
  <c r="E231" i="3"/>
  <c r="C231" i="3"/>
  <c r="D230" i="3"/>
  <c r="F229" i="3"/>
  <c r="D228" i="3"/>
  <c r="F218" i="3"/>
  <c r="E218" i="3"/>
  <c r="D218" i="3"/>
  <c r="C218" i="3"/>
  <c r="F209" i="3"/>
  <c r="E209" i="3"/>
  <c r="D209" i="3"/>
  <c r="C209" i="3"/>
  <c r="F208" i="3"/>
  <c r="E208" i="3"/>
  <c r="D208" i="3"/>
  <c r="C208" i="3"/>
  <c r="F207" i="3"/>
  <c r="E207" i="3"/>
  <c r="D207" i="3"/>
  <c r="C207" i="3"/>
  <c r="F201" i="3"/>
  <c r="E201" i="3"/>
  <c r="D201" i="3"/>
  <c r="C201" i="3"/>
  <c r="F199" i="3"/>
  <c r="E199" i="3"/>
  <c r="D199" i="3"/>
  <c r="C199" i="3"/>
  <c r="F197" i="3"/>
  <c r="E197" i="3"/>
  <c r="D197" i="3"/>
  <c r="F196" i="3"/>
  <c r="E196" i="3"/>
  <c r="F195" i="3"/>
  <c r="D194" i="3"/>
  <c r="Q138" i="1"/>
  <c r="H167" i="3" s="1"/>
  <c r="O138" i="1"/>
  <c r="G167" i="3" s="1"/>
  <c r="Q137" i="1"/>
  <c r="H166" i="3" s="1"/>
  <c r="O137" i="1"/>
  <c r="G166" i="3" s="1"/>
  <c r="J137" i="1"/>
  <c r="F166" i="3" s="1"/>
  <c r="H137" i="1"/>
  <c r="E166" i="3" s="1"/>
  <c r="F137" i="1"/>
  <c r="D166" i="3" s="1"/>
  <c r="D137" i="1"/>
  <c r="C166" i="3" s="1"/>
  <c r="Q136" i="1"/>
  <c r="H165" i="3" s="1"/>
  <c r="O136" i="1"/>
  <c r="G165" i="3" s="1"/>
  <c r="J136" i="1"/>
  <c r="F165" i="3" s="1"/>
  <c r="H136" i="1"/>
  <c r="E165" i="3" s="1"/>
  <c r="F136" i="1"/>
  <c r="D165" i="3" s="1"/>
  <c r="D136" i="1"/>
  <c r="C165" i="3" s="1"/>
  <c r="Q135" i="1"/>
  <c r="O135" i="1"/>
  <c r="J135" i="1"/>
  <c r="H135" i="1"/>
  <c r="F135" i="1"/>
  <c r="D135" i="1"/>
  <c r="Q127" i="1"/>
  <c r="I55" i="8" s="1"/>
  <c r="O127" i="1"/>
  <c r="G158" i="3" s="1"/>
  <c r="J127" i="1"/>
  <c r="G57" i="8" s="1"/>
  <c r="H127" i="1"/>
  <c r="E49" i="7" s="1"/>
  <c r="F127" i="1"/>
  <c r="D49" i="7" s="1"/>
  <c r="D127" i="1"/>
  <c r="C49" i="7" s="1"/>
  <c r="Q121" i="1"/>
  <c r="I53" i="8" s="1"/>
  <c r="O121" i="1"/>
  <c r="H53" i="8" s="1"/>
  <c r="J121" i="1"/>
  <c r="F47" i="7" s="1"/>
  <c r="H121" i="1"/>
  <c r="E47" i="7" s="1"/>
  <c r="F121" i="1"/>
  <c r="D47" i="7" s="1"/>
  <c r="D121" i="1"/>
  <c r="C47" i="7" s="1"/>
  <c r="F99" i="1"/>
  <c r="D38" i="7" s="1"/>
  <c r="Q41" i="1"/>
  <c r="Q40" i="1"/>
  <c r="Q39" i="1"/>
  <c r="Q38" i="1"/>
  <c r="Q37" i="1"/>
  <c r="Q36" i="1"/>
  <c r="Q35" i="1"/>
  <c r="Q34" i="1"/>
  <c r="D36" i="1"/>
  <c r="AI44" i="1" s="1"/>
  <c r="Q28" i="1"/>
  <c r="P55" i="3" s="1"/>
  <c r="Q26" i="1"/>
  <c r="P53" i="3" s="1"/>
  <c r="Q20" i="1"/>
  <c r="P47" i="3" s="1"/>
  <c r="Q21" i="1"/>
  <c r="P48" i="3" s="1"/>
  <c r="K24" i="1"/>
  <c r="J24" i="1"/>
  <c r="Q19" i="1"/>
  <c r="P46" i="3" s="1"/>
  <c r="Q23" i="1"/>
  <c r="P50" i="3" s="1"/>
  <c r="Q24" i="1"/>
  <c r="P51" i="3" s="1"/>
  <c r="K21" i="1"/>
  <c r="I33" i="3" s="1"/>
  <c r="J21" i="1"/>
  <c r="H33" i="3" s="1"/>
  <c r="E21" i="1"/>
  <c r="C48" i="9" s="1"/>
  <c r="K48" i="9" s="1"/>
  <c r="C50" i="1" s="1"/>
  <c r="Q22" i="1"/>
  <c r="P49" i="3" s="1"/>
  <c r="Q18" i="1"/>
  <c r="P45" i="3" s="1"/>
  <c r="Q17" i="1"/>
  <c r="P44" i="3" s="1"/>
  <c r="Q16" i="1"/>
  <c r="P43" i="3" s="1"/>
  <c r="Q15" i="1"/>
  <c r="P42" i="3" s="1"/>
  <c r="Q25" i="1"/>
  <c r="P52" i="3" s="1"/>
  <c r="E50" i="1" l="1"/>
  <c r="N18" i="3"/>
  <c r="E52" i="7"/>
  <c r="D15" i="8"/>
  <c r="D12" i="7" s="1"/>
  <c r="D52" i="7"/>
  <c r="F52" i="7"/>
  <c r="AH13" i="1"/>
  <c r="AJ28" i="1"/>
  <c r="AJ22" i="1"/>
  <c r="AJ16" i="1"/>
  <c r="AI28" i="1"/>
  <c r="AI22" i="1"/>
  <c r="AI16" i="1"/>
  <c r="AJ47" i="1"/>
  <c r="AJ41" i="1"/>
  <c r="AJ27" i="1"/>
  <c r="AJ21" i="1"/>
  <c r="AJ15" i="1"/>
  <c r="AI47" i="1"/>
  <c r="AI41" i="1"/>
  <c r="AI27" i="1"/>
  <c r="AI43" i="1"/>
  <c r="AJ18" i="1"/>
  <c r="AJ39" i="1"/>
  <c r="AK47" i="1"/>
  <c r="AI52" i="1"/>
  <c r="AI49" i="1"/>
  <c r="AJ24" i="1"/>
  <c r="AJ45" i="1"/>
  <c r="AK40" i="1"/>
  <c r="AJ26" i="1"/>
  <c r="AJ17" i="1"/>
  <c r="AJ38" i="1"/>
  <c r="AJ51" i="1"/>
  <c r="AK44" i="1"/>
  <c r="AJ52" i="1"/>
  <c r="AJ23" i="1"/>
  <c r="AJ44" i="1"/>
  <c r="AI20" i="1"/>
  <c r="AK48" i="1"/>
  <c r="AI21" i="1"/>
  <c r="AI42" i="1"/>
  <c r="AJ29" i="1"/>
  <c r="AJ50" i="1"/>
  <c r="AI26" i="1"/>
  <c r="AK52" i="1"/>
  <c r="AI25" i="1"/>
  <c r="AI15" i="1"/>
  <c r="AJ25" i="1"/>
  <c r="AI48" i="1"/>
  <c r="AJ43" i="1"/>
  <c r="AI19" i="1"/>
  <c r="AI40" i="1"/>
  <c r="AK38" i="1"/>
  <c r="AK41" i="1"/>
  <c r="AJ42" i="1"/>
  <c r="AJ49" i="1"/>
  <c r="AI46" i="1"/>
  <c r="AK46" i="1"/>
  <c r="AK45" i="1"/>
  <c r="AJ19" i="1"/>
  <c r="AJ48" i="1"/>
  <c r="AI18" i="1"/>
  <c r="AI39" i="1"/>
  <c r="AJ20" i="1"/>
  <c r="AK51" i="1"/>
  <c r="AK49" i="1"/>
  <c r="AI17" i="1"/>
  <c r="AI24" i="1"/>
  <c r="AI45" i="1"/>
  <c r="AJ40" i="1"/>
  <c r="AK42" i="1"/>
  <c r="AI29" i="1"/>
  <c r="AI23" i="1"/>
  <c r="AI38" i="1"/>
  <c r="AI51" i="1"/>
  <c r="AJ46" i="1"/>
  <c r="AK50" i="1"/>
  <c r="AK39" i="1"/>
  <c r="AK43" i="1"/>
  <c r="AJ54" i="1"/>
  <c r="C19" i="8"/>
  <c r="C15" i="7" s="1"/>
  <c r="AK71" i="1"/>
  <c r="AK63" i="1"/>
  <c r="AK70" i="1"/>
  <c r="AL62" i="1"/>
  <c r="AK69" i="1"/>
  <c r="AK62" i="1"/>
  <c r="AK68" i="1"/>
  <c r="AL61" i="1"/>
  <c r="AK75" i="1"/>
  <c r="AJ68" i="1"/>
  <c r="AK61" i="1"/>
  <c r="AK74" i="1"/>
  <c r="AL74" i="1"/>
  <c r="AL67" i="1"/>
  <c r="AH59" i="1"/>
  <c r="AH36" i="1"/>
  <c r="AK73" i="1"/>
  <c r="AL66" i="1"/>
  <c r="AL72" i="1"/>
  <c r="AK66" i="1"/>
  <c r="AJ64" i="1"/>
  <c r="AK72" i="1"/>
  <c r="AK65" i="1"/>
  <c r="AL71" i="1"/>
  <c r="AJ72" i="1"/>
  <c r="AK64" i="1"/>
  <c r="AI61" i="1"/>
  <c r="AJ74" i="1"/>
  <c r="AJ73" i="1"/>
  <c r="AI75" i="1"/>
  <c r="AJ77" i="1"/>
  <c r="AJ62" i="1"/>
  <c r="AI71" i="1"/>
  <c r="AI64" i="1"/>
  <c r="AL73" i="1"/>
  <c r="AJ70" i="1"/>
  <c r="AI72" i="1"/>
  <c r="AL68" i="1"/>
  <c r="AI70" i="1"/>
  <c r="AJ61" i="1"/>
  <c r="AJ65" i="1"/>
  <c r="AI65" i="1"/>
  <c r="AJ66" i="1"/>
  <c r="AI66" i="1"/>
  <c r="AL63" i="1"/>
  <c r="AJ63" i="1"/>
  <c r="AI67" i="1"/>
  <c r="AJ67" i="1"/>
  <c r="AJ71" i="1"/>
  <c r="AI74" i="1"/>
  <c r="AL65" i="1"/>
  <c r="AI62" i="1"/>
  <c r="AL69" i="1"/>
  <c r="AJ75" i="1"/>
  <c r="AI69" i="1"/>
  <c r="AL64" i="1"/>
  <c r="AI63" i="1"/>
  <c r="AL75" i="1"/>
  <c r="AL70" i="1"/>
  <c r="AJ69" i="1"/>
  <c r="C52" i="7"/>
  <c r="F65" i="8"/>
  <c r="G65" i="8"/>
  <c r="D53" i="8"/>
  <c r="F53" i="8"/>
  <c r="E53" i="8"/>
  <c r="E57" i="8"/>
  <c r="F57" i="8"/>
  <c r="D57" i="8"/>
  <c r="E44" i="8"/>
  <c r="E65" i="8"/>
  <c r="H65" i="8"/>
  <c r="I65" i="8"/>
  <c r="G55" i="8"/>
  <c r="G53" i="8"/>
  <c r="D65" i="8"/>
  <c r="C156" i="3"/>
  <c r="E164" i="3"/>
  <c r="D151" i="3"/>
  <c r="D156" i="3"/>
  <c r="D164" i="3"/>
  <c r="E156" i="3"/>
  <c r="G156" i="3"/>
  <c r="G164" i="3"/>
  <c r="D158" i="3"/>
  <c r="C164" i="3"/>
  <c r="E158" i="3"/>
  <c r="F156" i="3"/>
  <c r="F164" i="3"/>
  <c r="H156" i="3"/>
  <c r="H164" i="3"/>
  <c r="C158" i="3"/>
  <c r="H158" i="3"/>
  <c r="F158" i="3"/>
  <c r="O5" i="3"/>
  <c r="D5" i="3" s="1"/>
  <c r="K203" i="1"/>
  <c r="H90" i="3" s="1"/>
  <c r="K205" i="1"/>
  <c r="H92" i="3" s="1"/>
  <c r="K197" i="1"/>
  <c r="H84" i="3" s="1"/>
  <c r="D32" i="8"/>
  <c r="D28" i="7" s="1"/>
  <c r="G64" i="3"/>
  <c r="C33" i="3"/>
  <c r="Q43" i="1"/>
  <c r="O42" i="1" s="1"/>
  <c r="F161" i="1"/>
  <c r="F4" i="10"/>
  <c r="J25" i="9"/>
  <c r="J24" i="9"/>
  <c r="F42" i="9"/>
  <c r="H42" i="9" s="1"/>
  <c r="I42" i="9" s="1"/>
  <c r="F40" i="9"/>
  <c r="H40" i="9" s="1"/>
  <c r="I40" i="9" s="1"/>
  <c r="F41" i="9"/>
  <c r="H41" i="9" s="1"/>
  <c r="I41" i="9" s="1"/>
  <c r="F43" i="9"/>
  <c r="H43" i="9" s="1"/>
  <c r="I43" i="9" s="1"/>
  <c r="F36" i="9"/>
  <c r="H36" i="9" s="1"/>
  <c r="I36" i="9" s="1"/>
  <c r="F35" i="9"/>
  <c r="H35" i="9" s="1"/>
  <c r="I35" i="9" s="1"/>
  <c r="F37" i="9"/>
  <c r="H37" i="9" s="1"/>
  <c r="I37" i="9" s="1"/>
  <c r="F34" i="9"/>
  <c r="H34" i="9" s="1"/>
  <c r="I34" i="9" s="1"/>
  <c r="D5" i="9"/>
  <c r="J5" i="9" s="1"/>
  <c r="D7" i="9"/>
  <c r="J7" i="9" s="1"/>
  <c r="D6" i="9"/>
  <c r="J6" i="9" s="1"/>
  <c r="D4" i="9"/>
  <c r="J4" i="9" s="1"/>
  <c r="D35" i="9"/>
  <c r="D34" i="9"/>
  <c r="J34" i="9" s="1"/>
  <c r="D37" i="9"/>
  <c r="D36" i="9"/>
  <c r="D40" i="9"/>
  <c r="J40" i="9" s="1"/>
  <c r="D43" i="9"/>
  <c r="D42" i="9"/>
  <c r="D41" i="9"/>
  <c r="J23" i="9"/>
  <c r="H99" i="1"/>
  <c r="E38" i="7" s="1"/>
  <c r="I115" i="1"/>
  <c r="K121" i="1"/>
  <c r="D264" i="3"/>
  <c r="E296" i="3"/>
  <c r="R110" i="1"/>
  <c r="P120" i="1"/>
  <c r="R105" i="1"/>
  <c r="P105" i="1"/>
  <c r="P116" i="1"/>
  <c r="P125" i="1"/>
  <c r="R126" i="1"/>
  <c r="P110" i="1"/>
  <c r="K204" i="1"/>
  <c r="H91" i="3" s="1"/>
  <c r="P126" i="1"/>
  <c r="K198" i="1"/>
  <c r="H85" i="3" s="1"/>
  <c r="P111" i="1"/>
  <c r="C268" i="3"/>
  <c r="P106" i="1"/>
  <c r="E266" i="3"/>
  <c r="D262" i="3"/>
  <c r="E264" i="3"/>
  <c r="E298" i="3"/>
  <c r="C230" i="3"/>
  <c r="P108" i="1"/>
  <c r="P117" i="1"/>
  <c r="E228" i="3"/>
  <c r="F232" i="3"/>
  <c r="D298" i="3"/>
  <c r="P127" i="1"/>
  <c r="G109" i="1"/>
  <c r="R113" i="1"/>
  <c r="K118" i="1"/>
  <c r="R109" i="1"/>
  <c r="P114" i="1"/>
  <c r="P118" i="1"/>
  <c r="E114" i="1"/>
  <c r="I114" i="1"/>
  <c r="K104" i="1"/>
  <c r="I120" i="1"/>
  <c r="C197" i="3"/>
  <c r="K201" i="1"/>
  <c r="H88" i="3" s="1"/>
  <c r="E108" i="1"/>
  <c r="H106" i="1"/>
  <c r="E45" i="7" s="1"/>
  <c r="G108" i="1"/>
  <c r="R115" i="1"/>
  <c r="I106" i="1"/>
  <c r="I108" i="1"/>
  <c r="L36" i="4"/>
  <c r="L53" i="4"/>
  <c r="N58" i="4"/>
  <c r="E110" i="1"/>
  <c r="D106" i="1"/>
  <c r="C45" i="7" s="1"/>
  <c r="E104" i="1"/>
  <c r="E120" i="1"/>
  <c r="E105" i="1"/>
  <c r="E126" i="1"/>
  <c r="E117" i="1"/>
  <c r="E116" i="1"/>
  <c r="E113" i="1"/>
  <c r="E112" i="1"/>
  <c r="G130" i="1"/>
  <c r="G126" i="1"/>
  <c r="G121" i="1"/>
  <c r="G118" i="1"/>
  <c r="G114" i="1"/>
  <c r="G105" i="1"/>
  <c r="G117" i="1"/>
  <c r="G116" i="1"/>
  <c r="G111" i="1"/>
  <c r="G110" i="1"/>
  <c r="G125" i="1"/>
  <c r="G119" i="1"/>
  <c r="G104" i="1"/>
  <c r="E121" i="1"/>
  <c r="E125" i="1"/>
  <c r="K200" i="1"/>
  <c r="H87" i="3" s="1"/>
  <c r="G112" i="1"/>
  <c r="E115" i="1"/>
  <c r="I104" i="1"/>
  <c r="I109" i="1"/>
  <c r="I126" i="1"/>
  <c r="I117" i="1"/>
  <c r="I116" i="1"/>
  <c r="I111" i="1"/>
  <c r="I110" i="1"/>
  <c r="I113" i="1"/>
  <c r="I112" i="1"/>
  <c r="I125" i="1"/>
  <c r="I119" i="1"/>
  <c r="I127" i="1"/>
  <c r="I121" i="1"/>
  <c r="I118" i="1"/>
  <c r="E119" i="1"/>
  <c r="K105" i="1"/>
  <c r="K127" i="1"/>
  <c r="K125" i="1"/>
  <c r="K120" i="1"/>
  <c r="K116" i="1"/>
  <c r="K111" i="1"/>
  <c r="K110" i="1"/>
  <c r="K113" i="1"/>
  <c r="K112" i="1"/>
  <c r="K119" i="1"/>
  <c r="K130" i="1"/>
  <c r="K115" i="1"/>
  <c r="K109" i="1"/>
  <c r="K106" i="1"/>
  <c r="K114" i="1"/>
  <c r="G120" i="1"/>
  <c r="K126" i="1"/>
  <c r="D231" i="3"/>
  <c r="F262" i="3"/>
  <c r="R127" i="1"/>
  <c r="R118" i="1"/>
  <c r="R114" i="1"/>
  <c r="Q106" i="1"/>
  <c r="I51" i="8" s="1"/>
  <c r="R119" i="1"/>
  <c r="R125" i="1"/>
  <c r="R130" i="1"/>
  <c r="R121" i="1"/>
  <c r="R112" i="1"/>
  <c r="G115" i="1"/>
  <c r="R120" i="1"/>
  <c r="C264" i="3"/>
  <c r="K18" i="1"/>
  <c r="J9" i="8" s="1"/>
  <c r="J6" i="7" s="1"/>
  <c r="F106" i="1"/>
  <c r="D45" i="7" s="1"/>
  <c r="K202" i="1"/>
  <c r="H89" i="3" s="1"/>
  <c r="D196" i="3"/>
  <c r="I105" i="1"/>
  <c r="J106" i="1"/>
  <c r="F45" i="7" s="1"/>
  <c r="K108" i="1"/>
  <c r="E111" i="1"/>
  <c r="R116" i="1"/>
  <c r="K117" i="1"/>
  <c r="E130" i="1"/>
  <c r="F299" i="3"/>
  <c r="E127" i="1"/>
  <c r="I130" i="1"/>
  <c r="R108" i="1"/>
  <c r="R111" i="1"/>
  <c r="R117" i="1"/>
  <c r="E109" i="1"/>
  <c r="G113" i="1"/>
  <c r="E118" i="1"/>
  <c r="G127" i="1"/>
  <c r="F49" i="7" s="1"/>
  <c r="K32" i="4"/>
  <c r="K54" i="4" s="1"/>
  <c r="O54" i="4"/>
  <c r="O36" i="4"/>
  <c r="P121" i="1"/>
  <c r="O106" i="1"/>
  <c r="H51" i="8" s="1"/>
  <c r="P109" i="1"/>
  <c r="P115" i="1"/>
  <c r="P130" i="1"/>
  <c r="C298" i="3"/>
  <c r="U32" i="4"/>
  <c r="U19" i="4" s="1"/>
  <c r="U20" i="4" s="1"/>
  <c r="F264" i="3"/>
  <c r="P119" i="1"/>
  <c r="E230" i="3"/>
  <c r="F230" i="3"/>
  <c r="I206" i="1"/>
  <c r="F93" i="3" s="1"/>
  <c r="K199" i="1"/>
  <c r="H86" i="3" s="1"/>
  <c r="P112" i="1"/>
  <c r="P113" i="1"/>
  <c r="C196" i="3"/>
  <c r="C36" i="4"/>
  <c r="R106" i="1" l="1"/>
  <c r="G106" i="1"/>
  <c r="AG19" i="1"/>
  <c r="AG48" i="1"/>
  <c r="AG23" i="1"/>
  <c r="AG29" i="1"/>
  <c r="AG15" i="1"/>
  <c r="AG46" i="1"/>
  <c r="AG28" i="1"/>
  <c r="AG17" i="1"/>
  <c r="AG20" i="1"/>
  <c r="AG25" i="1"/>
  <c r="AG22" i="1"/>
  <c r="AG44" i="1"/>
  <c r="AG24" i="1"/>
  <c r="AG51" i="1"/>
  <c r="AG16" i="1"/>
  <c r="AG42" i="1"/>
  <c r="AI50" i="1"/>
  <c r="AG50" i="1" s="1"/>
  <c r="AG52" i="1"/>
  <c r="AG18" i="1"/>
  <c r="AG43" i="1"/>
  <c r="AG26" i="1"/>
  <c r="AG45" i="1"/>
  <c r="AG39" i="1"/>
  <c r="AG49" i="1"/>
  <c r="AG27" i="1"/>
  <c r="AG41" i="1"/>
  <c r="AG38" i="1"/>
  <c r="AG47" i="1"/>
  <c r="AG21" i="1"/>
  <c r="AG40" i="1"/>
  <c r="AI73" i="1"/>
  <c r="F44" i="8"/>
  <c r="F51" i="8"/>
  <c r="G51" i="8"/>
  <c r="E51" i="8"/>
  <c r="D51" i="8"/>
  <c r="G155" i="3"/>
  <c r="F155" i="3"/>
  <c r="H155" i="3"/>
  <c r="E151" i="3"/>
  <c r="C155" i="3"/>
  <c r="D155" i="3"/>
  <c r="E155" i="3"/>
  <c r="P18" i="3"/>
  <c r="I30" i="3"/>
  <c r="X51" i="1"/>
  <c r="X53" i="1" s="1"/>
  <c r="Z39" i="1" s="1"/>
  <c r="C42" i="9"/>
  <c r="C40" i="9"/>
  <c r="K40" i="9" s="1"/>
  <c r="C41" i="9"/>
  <c r="C43" i="9"/>
  <c r="H161" i="1"/>
  <c r="H4" i="10"/>
  <c r="D129" i="1"/>
  <c r="C50" i="7" s="1"/>
  <c r="J36" i="9"/>
  <c r="J37" i="9"/>
  <c r="J43" i="9"/>
  <c r="J41" i="9"/>
  <c r="J35" i="9"/>
  <c r="J42" i="9"/>
  <c r="J55" i="1"/>
  <c r="K26" i="1"/>
  <c r="F38" i="7"/>
  <c r="O129" i="1"/>
  <c r="E106" i="1"/>
  <c r="F228" i="3"/>
  <c r="F296" i="3"/>
  <c r="C266" i="3"/>
  <c r="F234" i="3"/>
  <c r="D302" i="3"/>
  <c r="D300" i="3"/>
  <c r="E270" i="3"/>
  <c r="E268" i="3"/>
  <c r="O123" i="1"/>
  <c r="P123" i="1" s="1"/>
  <c r="L37" i="4"/>
  <c r="L59" i="4" s="1"/>
  <c r="L58" i="4"/>
  <c r="H129" i="1"/>
  <c r="H123" i="1"/>
  <c r="F123" i="1"/>
  <c r="F129" i="1"/>
  <c r="C58" i="4"/>
  <c r="G31" i="4"/>
  <c r="Q129" i="1"/>
  <c r="Q123" i="1"/>
  <c r="D232" i="3"/>
  <c r="D234" i="3"/>
  <c r="C200" i="3"/>
  <c r="C198" i="3"/>
  <c r="O37" i="4"/>
  <c r="O59" i="4" s="1"/>
  <c r="L3" i="4"/>
  <c r="O58" i="4"/>
  <c r="M37" i="4"/>
  <c r="M59" i="4" s="1"/>
  <c r="K206" i="1"/>
  <c r="H93" i="3" s="1"/>
  <c r="D123" i="1"/>
  <c r="C48" i="7" s="1"/>
  <c r="D304" i="3"/>
  <c r="E194" i="3"/>
  <c r="F194" i="3"/>
  <c r="F198" i="3"/>
  <c r="F200" i="3"/>
  <c r="F266" i="3"/>
  <c r="F268" i="3"/>
  <c r="D198" i="3"/>
  <c r="D200" i="3"/>
  <c r="D268" i="3"/>
  <c r="D266" i="3"/>
  <c r="K36" i="4"/>
  <c r="C234" i="3"/>
  <c r="C232" i="3"/>
  <c r="E198" i="3"/>
  <c r="E200" i="3"/>
  <c r="J129" i="1"/>
  <c r="J123" i="1"/>
  <c r="E232" i="3"/>
  <c r="E234" i="3"/>
  <c r="C302" i="3"/>
  <c r="C300" i="3"/>
  <c r="E300" i="3"/>
  <c r="E302" i="3"/>
  <c r="F300" i="3"/>
  <c r="F302" i="3"/>
  <c r="N37" i="4"/>
  <c r="N59" i="4" s="1"/>
  <c r="I59" i="8" l="1"/>
  <c r="R129" i="1"/>
  <c r="I57" i="8"/>
  <c r="R123" i="1"/>
  <c r="H59" i="8"/>
  <c r="P129" i="1"/>
  <c r="G59" i="8"/>
  <c r="K129" i="1"/>
  <c r="F157" i="3"/>
  <c r="K123" i="1"/>
  <c r="E50" i="7"/>
  <c r="I129" i="1"/>
  <c r="E48" i="7"/>
  <c r="I123" i="1"/>
  <c r="D48" i="7"/>
  <c r="G123" i="1"/>
  <c r="F48" i="7" s="1"/>
  <c r="D50" i="7"/>
  <c r="G129" i="1"/>
  <c r="F50" i="7" s="1"/>
  <c r="AJ76" i="1"/>
  <c r="AJ53" i="1"/>
  <c r="AJ55" i="1" s="1"/>
  <c r="K32" i="8"/>
  <c r="K28" i="7" s="1"/>
  <c r="AG73" i="1"/>
  <c r="I37" i="8"/>
  <c r="I33" i="7" s="1"/>
  <c r="F55" i="8"/>
  <c r="D59" i="8"/>
  <c r="D55" i="8"/>
  <c r="E59" i="8"/>
  <c r="E55" i="8"/>
  <c r="F59" i="8"/>
  <c r="G44" i="8"/>
  <c r="H57" i="8"/>
  <c r="H55" i="8"/>
  <c r="G157" i="3"/>
  <c r="H159" i="3"/>
  <c r="C157" i="3"/>
  <c r="C159" i="3"/>
  <c r="D157" i="3"/>
  <c r="D159" i="3"/>
  <c r="E157" i="3"/>
  <c r="F159" i="3"/>
  <c r="H157" i="3"/>
  <c r="G159" i="3"/>
  <c r="E159" i="3"/>
  <c r="F151" i="3"/>
  <c r="U23" i="3"/>
  <c r="D132" i="1"/>
  <c r="D62" i="8" s="1"/>
  <c r="C209" i="1"/>
  <c r="K41" i="9"/>
  <c r="J153" i="1" s="1"/>
  <c r="F66" i="7" s="1"/>
  <c r="K43" i="9"/>
  <c r="K42" i="9"/>
  <c r="J161" i="1"/>
  <c r="J4" i="10"/>
  <c r="X35" i="9"/>
  <c r="Y35" i="9" s="1"/>
  <c r="Z35" i="9" s="1"/>
  <c r="Z37" i="9" s="1"/>
  <c r="J27" i="1"/>
  <c r="J18" i="1"/>
  <c r="I9" i="8" s="1"/>
  <c r="I6" i="7" s="1"/>
  <c r="E129" i="1"/>
  <c r="E123" i="1"/>
  <c r="F236" i="3"/>
  <c r="E272" i="3"/>
  <c r="C270" i="3"/>
  <c r="H132" i="1"/>
  <c r="L4" i="4"/>
  <c r="M4" i="4" s="1"/>
  <c r="L6" i="4"/>
  <c r="M6" i="4" s="1"/>
  <c r="L5" i="4"/>
  <c r="M5" i="4" s="1"/>
  <c r="C272" i="3"/>
  <c r="Q132" i="1"/>
  <c r="F238" i="3"/>
  <c r="E236" i="3"/>
  <c r="C236" i="3"/>
  <c r="K58" i="4"/>
  <c r="N8" i="4"/>
  <c r="N10" i="4"/>
  <c r="K37" i="4"/>
  <c r="K59" i="4" s="1"/>
  <c r="F270" i="3"/>
  <c r="F304" i="3"/>
  <c r="D306" i="3"/>
  <c r="D270" i="3"/>
  <c r="G36" i="4"/>
  <c r="D31" i="4"/>
  <c r="F53" i="4"/>
  <c r="J132" i="1"/>
  <c r="C202" i="3"/>
  <c r="E304" i="3"/>
  <c r="E202" i="3"/>
  <c r="O132" i="1"/>
  <c r="D236" i="3"/>
  <c r="F132" i="1"/>
  <c r="D202" i="3"/>
  <c r="F202" i="3"/>
  <c r="C304" i="3"/>
  <c r="I62" i="8" l="1"/>
  <c r="R132" i="1"/>
  <c r="H62" i="8"/>
  <c r="P132" i="1"/>
  <c r="G62" i="8"/>
  <c r="K132" i="1"/>
  <c r="F62" i="8"/>
  <c r="I132" i="1"/>
  <c r="E62" i="8"/>
  <c r="G132" i="1"/>
  <c r="G83" i="8"/>
  <c r="E161" i="3"/>
  <c r="G161" i="3"/>
  <c r="C161" i="3"/>
  <c r="F182" i="3"/>
  <c r="F161" i="3"/>
  <c r="H161" i="3"/>
  <c r="D161" i="3"/>
  <c r="H30" i="3"/>
  <c r="C35" i="9"/>
  <c r="K35" i="9" s="1"/>
  <c r="J25" i="1" s="1"/>
  <c r="H36" i="3" s="1"/>
  <c r="O144" i="1"/>
  <c r="H72" i="8" s="1"/>
  <c r="F153" i="1"/>
  <c r="D66" i="7" s="1"/>
  <c r="D153" i="1"/>
  <c r="C66" i="7" s="1"/>
  <c r="K25" i="1"/>
  <c r="H153" i="1"/>
  <c r="E66" i="7" s="1"/>
  <c r="C34" i="9"/>
  <c r="K34" i="9" s="1"/>
  <c r="C36" i="9"/>
  <c r="K36" i="9" s="1"/>
  <c r="C37" i="9"/>
  <c r="K37" i="9" s="1"/>
  <c r="E132" i="1"/>
  <c r="E283" i="3"/>
  <c r="F306" i="3"/>
  <c r="D204" i="3"/>
  <c r="D238" i="3"/>
  <c r="D53" i="4"/>
  <c r="D36" i="4"/>
  <c r="Q144" i="1"/>
  <c r="I72" i="8" s="1"/>
  <c r="G37" i="4"/>
  <c r="F59" i="4" s="1"/>
  <c r="F58" i="4"/>
  <c r="E37" i="4"/>
  <c r="E59" i="4" s="1"/>
  <c r="F37" i="4"/>
  <c r="C37" i="4"/>
  <c r="C59" i="4" s="1"/>
  <c r="D144" i="1"/>
  <c r="F272" i="3"/>
  <c r="C288" i="3"/>
  <c r="C283" i="3"/>
  <c r="E204" i="3"/>
  <c r="E306" i="3"/>
  <c r="L8" i="4"/>
  <c r="L9" i="4"/>
  <c r="L11" i="4"/>
  <c r="L10" i="4"/>
  <c r="F204" i="3"/>
  <c r="F249" i="3"/>
  <c r="F254" i="3"/>
  <c r="C306" i="3"/>
  <c r="C238" i="3"/>
  <c r="H144" i="1"/>
  <c r="E58" i="7" s="1"/>
  <c r="C204" i="3"/>
  <c r="F144" i="1"/>
  <c r="D58" i="7" s="1"/>
  <c r="D317" i="3"/>
  <c r="D322" i="3"/>
  <c r="E238" i="3"/>
  <c r="D272" i="3"/>
  <c r="J144" i="1"/>
  <c r="F58" i="7" s="1"/>
  <c r="C58" i="7" l="1"/>
  <c r="D162" i="1"/>
  <c r="D72" i="8"/>
  <c r="G72" i="8"/>
  <c r="F72" i="8"/>
  <c r="E72" i="8"/>
  <c r="F83" i="8"/>
  <c r="D83" i="8"/>
  <c r="E83" i="8"/>
  <c r="H173" i="3"/>
  <c r="D182" i="3"/>
  <c r="C173" i="3"/>
  <c r="C182" i="3"/>
  <c r="E173" i="3"/>
  <c r="G173" i="3"/>
  <c r="F173" i="3"/>
  <c r="E182" i="3"/>
  <c r="D173" i="3"/>
  <c r="J162" i="1"/>
  <c r="F70" i="7" s="1"/>
  <c r="F73" i="7" s="1"/>
  <c r="H162" i="1"/>
  <c r="E70" i="7" s="1"/>
  <c r="E73" i="7" s="1"/>
  <c r="F162" i="1"/>
  <c r="D70" i="7" s="1"/>
  <c r="D73" i="7" s="1"/>
  <c r="I36" i="3"/>
  <c r="F152" i="1"/>
  <c r="D65" i="7" s="1"/>
  <c r="D152" i="1"/>
  <c r="C65" i="7" s="1"/>
  <c r="H152" i="1"/>
  <c r="E65" i="7" s="1"/>
  <c r="J152" i="1"/>
  <c r="F65" i="7" s="1"/>
  <c r="Q152" i="1"/>
  <c r="I82" i="8" s="1"/>
  <c r="O152" i="1"/>
  <c r="H82" i="8" s="1"/>
  <c r="O153" i="1"/>
  <c r="H83" i="8" s="1"/>
  <c r="Q153" i="1"/>
  <c r="I83" i="8" s="1"/>
  <c r="E288" i="3"/>
  <c r="D58" i="4"/>
  <c r="D37" i="4"/>
  <c r="D59" i="4" s="1"/>
  <c r="L12" i="4"/>
  <c r="N11" i="4" s="1"/>
  <c r="N12" i="4" s="1"/>
  <c r="E317" i="3"/>
  <c r="E322" i="3"/>
  <c r="D249" i="3"/>
  <c r="D254" i="3"/>
  <c r="C215" i="3"/>
  <c r="C220" i="3"/>
  <c r="D215" i="3"/>
  <c r="D220" i="3"/>
  <c r="C249" i="3"/>
  <c r="C254" i="3"/>
  <c r="F322" i="3"/>
  <c r="F317" i="3"/>
  <c r="E249" i="3"/>
  <c r="E254" i="3"/>
  <c r="F220" i="3"/>
  <c r="F215" i="3"/>
  <c r="E215" i="3"/>
  <c r="E220" i="3"/>
  <c r="C322" i="3"/>
  <c r="C317" i="3"/>
  <c r="D288" i="3"/>
  <c r="D283" i="3"/>
  <c r="F283" i="3"/>
  <c r="F288" i="3"/>
  <c r="D188" i="1" l="1"/>
  <c r="C70" i="7"/>
  <c r="C73" i="7" s="1"/>
  <c r="G82" i="8"/>
  <c r="F82" i="8"/>
  <c r="E82" i="8"/>
  <c r="D82" i="8"/>
  <c r="E89" i="8"/>
  <c r="D89" i="8"/>
  <c r="F89" i="8"/>
  <c r="G89" i="8"/>
  <c r="H181" i="3"/>
  <c r="G181" i="3"/>
  <c r="F181" i="3"/>
  <c r="E181" i="3"/>
  <c r="D181" i="3"/>
  <c r="C181" i="3"/>
  <c r="H182" i="3"/>
  <c r="G182" i="3"/>
  <c r="J188" i="1"/>
  <c r="F188" i="1"/>
  <c r="H188" i="1"/>
  <c r="I18" i="1" l="1"/>
  <c r="H9" i="8" s="1"/>
  <c r="H6" i="7" s="1"/>
  <c r="H18" i="1"/>
  <c r="G9" i="8" s="1"/>
  <c r="G6" i="7" s="1"/>
  <c r="F30" i="3" l="1"/>
  <c r="G30" i="3"/>
  <c r="C30" i="9"/>
  <c r="K30" i="9" s="1"/>
  <c r="C28" i="9"/>
  <c r="K28" i="9" s="1"/>
  <c r="C31" i="9"/>
  <c r="K31" i="9" s="1"/>
  <c r="C29" i="9"/>
  <c r="K29" i="9" s="1"/>
  <c r="J151" i="1" s="1"/>
  <c r="F64" i="7" s="1"/>
  <c r="C25" i="9"/>
  <c r="K25" i="9" s="1"/>
  <c r="C24" i="9"/>
  <c r="K24" i="9" s="1"/>
  <c r="C22" i="9"/>
  <c r="K22" i="9" s="1"/>
  <c r="C23" i="9"/>
  <c r="K23" i="9" s="1"/>
  <c r="J150" i="1" s="1"/>
  <c r="F63" i="7" s="1"/>
  <c r="G81" i="8" l="1"/>
  <c r="G80" i="8"/>
  <c r="F180" i="3"/>
  <c r="F179" i="3"/>
  <c r="H151" i="1"/>
  <c r="E64" i="7" s="1"/>
  <c r="F151" i="1"/>
  <c r="D64" i="7" s="1"/>
  <c r="D151" i="1"/>
  <c r="C64" i="7" s="1"/>
  <c r="D150" i="1"/>
  <c r="C63" i="7" s="1"/>
  <c r="I25" i="1"/>
  <c r="G36" i="3" s="1"/>
  <c r="H150" i="1"/>
  <c r="E63" i="7" s="1"/>
  <c r="F150" i="1"/>
  <c r="D63" i="7" s="1"/>
  <c r="H25" i="1"/>
  <c r="F36" i="3" s="1"/>
  <c r="F81" i="8" l="1"/>
  <c r="E81" i="8"/>
  <c r="D81" i="8"/>
  <c r="D80" i="8"/>
  <c r="F80" i="8"/>
  <c r="E80" i="8"/>
  <c r="E180" i="3"/>
  <c r="D180" i="3"/>
  <c r="C180" i="3"/>
  <c r="D179" i="3"/>
  <c r="E179" i="3"/>
  <c r="C179" i="3"/>
  <c r="O150" i="1"/>
  <c r="H80" i="8" s="1"/>
  <c r="Q150" i="1"/>
  <c r="I80" i="8" s="1"/>
  <c r="O151" i="1"/>
  <c r="H81" i="8" s="1"/>
  <c r="Q151" i="1"/>
  <c r="I81" i="8" s="1"/>
  <c r="H180" i="3" l="1"/>
  <c r="G180" i="3"/>
  <c r="G179" i="3"/>
  <c r="H179" i="3"/>
  <c r="D18" i="1"/>
  <c r="C9" i="8" s="1"/>
  <c r="C6" i="7" s="1"/>
  <c r="K27" i="1" l="1"/>
  <c r="G55" i="1" l="1"/>
  <c r="F37" i="8" l="1"/>
  <c r="F33" i="7" s="1"/>
  <c r="Q14" i="9"/>
  <c r="Q15" i="9" s="1"/>
  <c r="Q19" i="9" s="1"/>
  <c r="R23" i="3"/>
  <c r="X17" i="9"/>
  <c r="Y17" i="9" s="1"/>
  <c r="Z17" i="9" s="1"/>
  <c r="Z19" i="9" s="1"/>
  <c r="G27" i="1" s="1"/>
  <c r="G18" i="1"/>
  <c r="F9" i="8" s="1"/>
  <c r="F6" i="7" s="1"/>
  <c r="C19" i="9" l="1"/>
  <c r="K19" i="9" s="1"/>
  <c r="E30" i="3"/>
  <c r="Q18" i="9"/>
  <c r="Q17" i="9"/>
  <c r="Q16" i="9"/>
  <c r="C16" i="9"/>
  <c r="K16" i="9" s="1"/>
  <c r="C18" i="9"/>
  <c r="K18" i="9" s="1"/>
  <c r="C17" i="9"/>
  <c r="K17" i="9" s="1"/>
  <c r="F149" i="1" s="1"/>
  <c r="D62" i="7" s="1"/>
  <c r="E79" i="8" l="1"/>
  <c r="D178" i="3"/>
  <c r="U18" i="9"/>
  <c r="T19" i="9" s="1"/>
  <c r="G26" i="1" s="1"/>
  <c r="J149" i="1"/>
  <c r="F62" i="7" s="1"/>
  <c r="D149" i="1"/>
  <c r="C62" i="7" s="1"/>
  <c r="G25" i="1"/>
  <c r="E36" i="3" s="1"/>
  <c r="H149" i="1"/>
  <c r="E62" i="7" s="1"/>
  <c r="G79" i="8" l="1"/>
  <c r="F79" i="8"/>
  <c r="D79" i="8"/>
  <c r="F178" i="3"/>
  <c r="E178" i="3"/>
  <c r="C178" i="3"/>
  <c r="O149" i="1"/>
  <c r="H79" i="8" s="1"/>
  <c r="Q149" i="1"/>
  <c r="I79" i="8" s="1"/>
  <c r="AJ78" i="1" l="1"/>
  <c r="H178" i="3"/>
  <c r="G178" i="3"/>
  <c r="Q42" i="1" l="1"/>
  <c r="N20" i="3" l="1"/>
  <c r="F54" i="1" l="1"/>
  <c r="F53" i="1" s="1"/>
  <c r="Z41" i="1"/>
  <c r="AA41" i="1" s="1"/>
  <c r="F55" i="1" l="1"/>
  <c r="Q8" i="9" s="1"/>
  <c r="Q9" i="9" s="1"/>
  <c r="Q13" i="9" s="1"/>
  <c r="Q21" i="3"/>
  <c r="Z49" i="1"/>
  <c r="AA49" i="1" s="1"/>
  <c r="Z46" i="1"/>
  <c r="AA46" i="1" s="1"/>
  <c r="AA39" i="1"/>
  <c r="E35" i="8"/>
  <c r="E31" i="7" s="1"/>
  <c r="Q22" i="3"/>
  <c r="Z52" i="1"/>
  <c r="AA52" i="1" s="1"/>
  <c r="E36" i="8"/>
  <c r="E32" i="7" s="1"/>
  <c r="Z51" i="1"/>
  <c r="AA51" i="1" s="1"/>
  <c r="E37" i="8"/>
  <c r="E33" i="7" s="1"/>
  <c r="X11" i="9"/>
  <c r="Y11" i="9" s="1"/>
  <c r="Z11" i="9" s="1"/>
  <c r="Z13" i="9" s="1"/>
  <c r="F27" i="1" s="1"/>
  <c r="F18" i="1"/>
  <c r="C11" i="9" s="1"/>
  <c r="K11" i="9" s="1"/>
  <c r="Q23" i="3"/>
  <c r="Z45" i="1"/>
  <c r="AA45" i="1" s="1"/>
  <c r="Z43" i="1"/>
  <c r="AA43" i="1" s="1"/>
  <c r="Z40" i="1"/>
  <c r="AA40" i="1" s="1"/>
  <c r="Z50" i="1"/>
  <c r="AA50" i="1" s="1"/>
  <c r="Z44" i="1"/>
  <c r="AA44" i="1" s="1"/>
  <c r="Z48" i="1"/>
  <c r="AA48" i="1" s="1"/>
  <c r="Z42" i="1"/>
  <c r="AA42" i="1" s="1"/>
  <c r="Z47" i="1"/>
  <c r="AA47" i="1" s="1"/>
  <c r="Q12" i="9" l="1"/>
  <c r="Q11" i="9"/>
  <c r="C13" i="9"/>
  <c r="K13" i="9" s="1"/>
  <c r="C12" i="9"/>
  <c r="K12" i="9" s="1"/>
  <c r="C10" i="9"/>
  <c r="K10" i="9" s="1"/>
  <c r="Q10" i="9"/>
  <c r="AA53" i="1"/>
  <c r="D30" i="3"/>
  <c r="E9" i="8"/>
  <c r="E6" i="7" s="1"/>
  <c r="E65" i="3"/>
  <c r="H148" i="1"/>
  <c r="D148" i="1"/>
  <c r="F25" i="1"/>
  <c r="J148" i="1"/>
  <c r="F148" i="1"/>
  <c r="U12" i="9" l="1"/>
  <c r="T13" i="9" s="1"/>
  <c r="F26" i="1" s="1"/>
  <c r="F177" i="3"/>
  <c r="F61" i="7"/>
  <c r="G78" i="8"/>
  <c r="F65" i="3"/>
  <c r="D36" i="3"/>
  <c r="O148" i="1"/>
  <c r="Q148" i="1"/>
  <c r="E177" i="3"/>
  <c r="F78" i="8"/>
  <c r="E61" i="7"/>
  <c r="D78" i="8"/>
  <c r="C177" i="3"/>
  <c r="C61" i="7"/>
  <c r="E78" i="8"/>
  <c r="D177" i="3"/>
  <c r="D61" i="7"/>
  <c r="H177" i="3" l="1"/>
  <c r="I78" i="8"/>
  <c r="G177" i="3"/>
  <c r="H78" i="8"/>
  <c r="AK53" i="1" l="1"/>
  <c r="AL76" i="1"/>
  <c r="AJ30" i="1"/>
  <c r="E54" i="1"/>
  <c r="AI76" i="1"/>
  <c r="AI53" i="1"/>
  <c r="AI77" i="1"/>
  <c r="AI54" i="1"/>
  <c r="E53" i="1" l="1"/>
  <c r="E55" i="1" s="1"/>
  <c r="AI31" i="1"/>
  <c r="AK77" i="1"/>
  <c r="AL77" i="1"/>
  <c r="AJ31" i="1"/>
  <c r="AK54" i="1"/>
  <c r="AG54" i="1" s="1"/>
  <c r="P22" i="3"/>
  <c r="D36" i="8"/>
  <c r="D32" i="7" s="1"/>
  <c r="C54" i="1"/>
  <c r="AI55" i="1"/>
  <c r="AG53" i="1"/>
  <c r="AG31" i="1" l="1"/>
  <c r="AL78" i="1"/>
  <c r="AK78" i="1"/>
  <c r="Q2" i="9"/>
  <c r="AI30" i="1"/>
  <c r="AG30" i="1" s="1"/>
  <c r="AG32" i="1" s="1"/>
  <c r="AG33" i="1" s="1"/>
  <c r="AK76" i="1"/>
  <c r="P21" i="3"/>
  <c r="D35" i="8"/>
  <c r="D31" i="7" s="1"/>
  <c r="C53" i="1"/>
  <c r="AJ32" i="1"/>
  <c r="AK55" i="1"/>
  <c r="AG55" i="1"/>
  <c r="AG77" i="1"/>
  <c r="N22" i="3"/>
  <c r="K36" i="8"/>
  <c r="K32" i="7" s="1"/>
  <c r="AI78" i="1"/>
  <c r="D37" i="8"/>
  <c r="D33" i="7" s="1"/>
  <c r="E18" i="1"/>
  <c r="P23" i="3"/>
  <c r="C208" i="1"/>
  <c r="X5" i="9"/>
  <c r="Y5" i="9" s="1"/>
  <c r="Z5" i="9" s="1"/>
  <c r="Z7" i="9" s="1"/>
  <c r="E27" i="1" s="1"/>
  <c r="AH33" i="1" l="1"/>
  <c r="AK56" i="1"/>
  <c r="AI33" i="1"/>
  <c r="N21" i="3"/>
  <c r="G18" i="3" s="1" a="1"/>
  <c r="G18" i="3" s="1"/>
  <c r="C55" i="1"/>
  <c r="K35" i="8"/>
  <c r="K31" i="7" s="1"/>
  <c r="AG76" i="1"/>
  <c r="Q3" i="9"/>
  <c r="Q7" i="9" s="1"/>
  <c r="Q6" i="9"/>
  <c r="AJ33" i="1"/>
  <c r="AI56" i="1"/>
  <c r="AH56" i="1"/>
  <c r="AJ56" i="1"/>
  <c r="AG56" i="1"/>
  <c r="AH10" i="1"/>
  <c r="C6" i="9"/>
  <c r="K6" i="9" s="1"/>
  <c r="C4" i="9"/>
  <c r="K4" i="9" s="1"/>
  <c r="E64" i="3"/>
  <c r="C5" i="9"/>
  <c r="K5" i="9" s="1"/>
  <c r="C7" i="9"/>
  <c r="K7" i="9" s="1"/>
  <c r="C30" i="3"/>
  <c r="P50" i="1" a="1"/>
  <c r="P50" i="1" s="1"/>
  <c r="D9" i="8"/>
  <c r="D6" i="7" s="1"/>
  <c r="C210" i="1"/>
  <c r="K209" i="1"/>
  <c r="H96" i="3" s="1"/>
  <c r="K208" i="1"/>
  <c r="H95" i="3" s="1"/>
  <c r="H209" i="1"/>
  <c r="D96" i="3" s="1"/>
  <c r="H208" i="1"/>
  <c r="D95" i="3" s="1"/>
  <c r="D18" i="3" a="1"/>
  <c r="D18" i="3" s="1"/>
  <c r="J22" i="3" a="1"/>
  <c r="J22" i="3" s="1"/>
  <c r="F20" i="3" a="1"/>
  <c r="F20" i="3" s="1"/>
  <c r="J20" i="3" a="1"/>
  <c r="J20" i="3" s="1"/>
  <c r="J6" i="3" a="1"/>
  <c r="J6" i="3" s="1"/>
  <c r="F19" i="3" a="1"/>
  <c r="F19" i="3" s="1"/>
  <c r="J23" i="3" a="1"/>
  <c r="J23" i="3" s="1"/>
  <c r="K20" i="3" a="1"/>
  <c r="K20" i="3" s="1"/>
  <c r="G20" i="3" a="1"/>
  <c r="G20" i="3" s="1"/>
  <c r="I18" i="3" a="1"/>
  <c r="I18" i="3" s="1"/>
  <c r="B22" i="3" a="1"/>
  <c r="B22" i="3" s="1"/>
  <c r="H20" i="3" a="1"/>
  <c r="H20" i="3" s="1"/>
  <c r="G24" i="3" a="1"/>
  <c r="G24" i="3" s="1"/>
  <c r="E24" i="3" a="1"/>
  <c r="E24" i="3" s="1"/>
  <c r="K24" i="3" a="1"/>
  <c r="K24" i="3" s="1"/>
  <c r="G7" i="3" a="1"/>
  <c r="G7" i="3" s="1"/>
  <c r="D20" i="3" a="1"/>
  <c r="D20" i="3" s="1"/>
  <c r="D23" i="3" a="1"/>
  <c r="D23" i="3" s="1"/>
  <c r="I6" i="3" a="1"/>
  <c r="I6" i="3" s="1"/>
  <c r="B9" i="3" a="1"/>
  <c r="B9" i="3" s="1"/>
  <c r="B17" i="3" a="1"/>
  <c r="B17" i="3" s="1"/>
  <c r="G6" i="3" a="1"/>
  <c r="G6" i="3" s="1"/>
  <c r="B20" i="3" a="1"/>
  <c r="B20" i="3" s="1"/>
  <c r="B7" i="3" a="1"/>
  <c r="B7" i="3" s="1"/>
  <c r="I23" i="3" a="1"/>
  <c r="I23" i="3" s="1"/>
  <c r="K22" i="3" a="1"/>
  <c r="K22" i="3" s="1"/>
  <c r="K19" i="3" a="1"/>
  <c r="K19" i="3" s="1"/>
  <c r="E23" i="3" a="1"/>
  <c r="E23" i="3" s="1"/>
  <c r="C24" i="3" a="1"/>
  <c r="C24" i="3" s="1"/>
  <c r="I22" i="3" a="1"/>
  <c r="I22" i="3" s="1"/>
  <c r="C19" i="3" a="1"/>
  <c r="C19" i="3" s="1"/>
  <c r="G22" i="3" a="1"/>
  <c r="G22" i="3" s="1"/>
  <c r="E6" i="3" a="1"/>
  <c r="E6" i="3" s="1"/>
  <c r="D21" i="3" l="1" a="1"/>
  <c r="D21" i="3" s="1"/>
  <c r="H19" i="3" a="1"/>
  <c r="H19" i="3" s="1"/>
  <c r="D6" i="3" a="1"/>
  <c r="D6" i="3" s="1"/>
  <c r="I7" i="3" a="1"/>
  <c r="I7" i="3" s="1"/>
  <c r="E21" i="3" a="1"/>
  <c r="E21" i="3" s="1"/>
  <c r="C23" i="3" a="1"/>
  <c r="C23" i="3" s="1"/>
  <c r="F7" i="3" a="1"/>
  <c r="F7" i="3" s="1"/>
  <c r="B19" i="3" a="1"/>
  <c r="B19" i="3" s="1"/>
  <c r="B23" i="3" a="1"/>
  <c r="B23" i="3" s="1"/>
  <c r="B18" i="3" a="1"/>
  <c r="B18" i="3" s="1"/>
  <c r="D7" i="3" a="1"/>
  <c r="D7" i="3" s="1"/>
  <c r="B11" i="3" a="1"/>
  <c r="B11" i="3" s="1"/>
  <c r="H21" i="3" a="1"/>
  <c r="H21" i="3" s="1"/>
  <c r="J21" i="3" a="1"/>
  <c r="J21" i="3" s="1"/>
  <c r="F21" i="3" a="1"/>
  <c r="F21" i="3" s="1"/>
  <c r="E22" i="3" a="1"/>
  <c r="E22" i="3" s="1"/>
  <c r="B21" i="3" a="1"/>
  <c r="B21" i="3" s="1"/>
  <c r="D24" i="3" a="1"/>
  <c r="D24" i="3" s="1"/>
  <c r="D19" i="3" a="1"/>
  <c r="D19" i="3" s="1"/>
  <c r="B12" i="3" a="1"/>
  <c r="B12" i="3" s="1"/>
  <c r="B6" i="3" a="1"/>
  <c r="B6" i="3" s="1"/>
  <c r="B15" i="3" a="1"/>
  <c r="B15" i="3" s="1"/>
  <c r="K21" i="3" a="1"/>
  <c r="K21" i="3" s="1"/>
  <c r="E7" i="3" a="1"/>
  <c r="E7" i="3" s="1"/>
  <c r="H22" i="3" a="1"/>
  <c r="H22" i="3" s="1"/>
  <c r="F22" i="3" a="1"/>
  <c r="F22" i="3" s="1"/>
  <c r="B24" i="3" a="1"/>
  <c r="B24" i="3" s="1"/>
  <c r="K23" i="3" a="1"/>
  <c r="K23" i="3" s="1"/>
  <c r="H23" i="3" a="1"/>
  <c r="H23" i="3" s="1"/>
  <c r="F23" i="3" a="1"/>
  <c r="F23" i="3" s="1"/>
  <c r="J7" i="3" a="1"/>
  <c r="J7" i="3" s="1"/>
  <c r="J19" i="3" a="1"/>
  <c r="J19" i="3" s="1"/>
  <c r="C6" i="3" a="1"/>
  <c r="C6" i="3" s="1"/>
  <c r="F6" i="3" a="1"/>
  <c r="F6" i="3" s="1"/>
  <c r="E20" i="3" a="1"/>
  <c r="E20" i="3" s="1"/>
  <c r="K18" i="3" a="1"/>
  <c r="K18" i="3" s="1"/>
  <c r="I21" i="3" a="1"/>
  <c r="I21" i="3" s="1"/>
  <c r="I20" i="3" a="1"/>
  <c r="I20" i="3" s="1"/>
  <c r="J18" i="3" a="1"/>
  <c r="J18" i="3" s="1"/>
  <c r="H7" i="3" a="1"/>
  <c r="H7" i="3" s="1"/>
  <c r="B10" i="3" a="1"/>
  <c r="B10" i="3" s="1"/>
  <c r="C18" i="3" a="1"/>
  <c r="C18" i="3" s="1"/>
  <c r="G21" i="3" a="1"/>
  <c r="G21" i="3" s="1"/>
  <c r="J24" i="3" a="1"/>
  <c r="J24" i="3" s="1"/>
  <c r="I19" i="3" a="1"/>
  <c r="I19" i="3" s="1"/>
  <c r="C20" i="3" a="1"/>
  <c r="C20" i="3" s="1"/>
  <c r="H6" i="3" a="1"/>
  <c r="H6" i="3" s="1"/>
  <c r="F18" i="3" a="1"/>
  <c r="F18" i="3" s="1"/>
  <c r="F24" i="3" a="1"/>
  <c r="F24" i="3" s="1"/>
  <c r="B13" i="3" a="1"/>
  <c r="B13" i="3" s="1"/>
  <c r="G23" i="3" a="1"/>
  <c r="G23" i="3" s="1"/>
  <c r="D22" i="3" a="1"/>
  <c r="D22" i="3" s="1"/>
  <c r="B8" i="3" a="1"/>
  <c r="B8" i="3" s="1"/>
  <c r="B16" i="3" a="1"/>
  <c r="B16" i="3" s="1"/>
  <c r="G19" i="3" a="1"/>
  <c r="G19" i="3" s="1"/>
  <c r="K6" i="3" a="1"/>
  <c r="K6" i="3" s="1"/>
  <c r="E18" i="3" a="1"/>
  <c r="E18" i="3" s="1"/>
  <c r="B14" i="3" a="1"/>
  <c r="B14" i="3" s="1"/>
  <c r="K7" i="3" a="1"/>
  <c r="K7" i="3" s="1"/>
  <c r="H18" i="3" a="1"/>
  <c r="H18" i="3" s="1"/>
  <c r="H24" i="3" a="1"/>
  <c r="H24" i="3" s="1"/>
  <c r="C21" i="3" a="1"/>
  <c r="C21" i="3" s="1"/>
  <c r="E19" i="3" a="1"/>
  <c r="E19" i="3" s="1"/>
  <c r="Q5" i="9"/>
  <c r="C22" i="3" a="1"/>
  <c r="C22" i="3" s="1"/>
  <c r="I24" i="3" a="1"/>
  <c r="I24" i="3" s="1"/>
  <c r="Q4" i="9"/>
  <c r="O45" i="1"/>
  <c r="K37" i="8"/>
  <c r="K33" i="7" s="1"/>
  <c r="Q30" i="1"/>
  <c r="P57" i="3" s="1"/>
  <c r="I56" i="1"/>
  <c r="AJ79" i="1" s="1"/>
  <c r="C56" i="1"/>
  <c r="K56" i="1"/>
  <c r="H56" i="1"/>
  <c r="AG78" i="1"/>
  <c r="AG79" i="1" s="1"/>
  <c r="N23" i="3"/>
  <c r="C7" i="3" s="1" a="1"/>
  <c r="C7" i="3" s="1"/>
  <c r="E56" i="1"/>
  <c r="AH79" i="1"/>
  <c r="D56" i="1"/>
  <c r="F56" i="1"/>
  <c r="G56" i="1"/>
  <c r="AI79" i="1" s="1"/>
  <c r="J56" i="1"/>
  <c r="E66" i="3"/>
  <c r="G66" i="3" s="1"/>
  <c r="E25" i="1"/>
  <c r="F147" i="1"/>
  <c r="D147" i="1"/>
  <c r="J147" i="1"/>
  <c r="H147" i="1"/>
  <c r="D72" i="3"/>
  <c r="Q52" i="1"/>
  <c r="U6" i="9" l="1"/>
  <c r="T7" i="9" s="1"/>
  <c r="E26" i="1" s="1"/>
  <c r="R24" i="3"/>
  <c r="F38" i="8"/>
  <c r="F34" i="7" s="1"/>
  <c r="E38" i="8"/>
  <c r="E34" i="7" s="1"/>
  <c r="Q24" i="3"/>
  <c r="C38" i="8"/>
  <c r="C34" i="7" s="1"/>
  <c r="O24" i="3"/>
  <c r="AL79" i="1"/>
  <c r="AK79" i="1"/>
  <c r="D38" i="8"/>
  <c r="D34" i="7" s="1"/>
  <c r="P24" i="3"/>
  <c r="G38" i="8"/>
  <c r="G34" i="7" s="1"/>
  <c r="S24" i="3"/>
  <c r="J38" i="8"/>
  <c r="J34" i="7" s="1"/>
  <c r="V24" i="3"/>
  <c r="K38" i="8"/>
  <c r="K34" i="7" s="1"/>
  <c r="N24" i="3"/>
  <c r="T24" i="3"/>
  <c r="H38" i="8"/>
  <c r="H34" i="7" s="1"/>
  <c r="U24" i="3"/>
  <c r="I38" i="8"/>
  <c r="I34" i="7" s="1"/>
  <c r="O47" i="1"/>
  <c r="Q47" i="1" s="1" a="1"/>
  <c r="Q47" i="1" s="1"/>
  <c r="AH8" i="1" s="1"/>
  <c r="O48" i="1"/>
  <c r="Q48" i="1" s="1"/>
  <c r="AH9" i="1" s="1"/>
  <c r="O46" i="1"/>
  <c r="P52" i="1" s="1"/>
  <c r="E176" i="3"/>
  <c r="F77" i="8"/>
  <c r="E60" i="7"/>
  <c r="H154" i="1"/>
  <c r="G77" i="8"/>
  <c r="F60" i="7"/>
  <c r="J154" i="1"/>
  <c r="F176" i="3"/>
  <c r="F154" i="1"/>
  <c r="D176" i="3"/>
  <c r="D60" i="7"/>
  <c r="E77" i="8"/>
  <c r="D154" i="1"/>
  <c r="D77" i="8"/>
  <c r="C176" i="3"/>
  <c r="C60" i="7"/>
  <c r="D73" i="3"/>
  <c r="F64" i="3"/>
  <c r="F66" i="3" s="1"/>
  <c r="Q147" i="1"/>
  <c r="C36" i="3"/>
  <c r="O147" i="1"/>
  <c r="H16" i="3" l="1" a="1"/>
  <c r="H16" i="3" s="1"/>
  <c r="H17" i="3" a="1"/>
  <c r="H17" i="3" s="1"/>
  <c r="D16" i="3" a="1"/>
  <c r="D16" i="3" s="1"/>
  <c r="D17" i="3" a="1"/>
  <c r="D17" i="3" s="1"/>
  <c r="E16" i="3" a="1"/>
  <c r="E16" i="3" s="1"/>
  <c r="E17" i="3" a="1"/>
  <c r="E17" i="3" s="1"/>
  <c r="C16" i="3" a="1"/>
  <c r="C16" i="3" s="1"/>
  <c r="C17" i="3" a="1"/>
  <c r="C17" i="3" s="1"/>
  <c r="J16" i="3" a="1"/>
  <c r="J16" i="3" s="1"/>
  <c r="J17" i="3" a="1"/>
  <c r="J17" i="3" s="1"/>
  <c r="F16" i="3" a="1"/>
  <c r="F16" i="3" s="1"/>
  <c r="F17" i="3" a="1"/>
  <c r="F17" i="3" s="1"/>
  <c r="I16" i="3" a="1"/>
  <c r="I16" i="3" s="1"/>
  <c r="I17" i="3" a="1"/>
  <c r="I17" i="3" s="1"/>
  <c r="G16" i="3" a="1"/>
  <c r="G16" i="3" s="1"/>
  <c r="G17" i="3" a="1"/>
  <c r="G17" i="3" s="1"/>
  <c r="K16" i="3" a="1"/>
  <c r="K16" i="3" s="1"/>
  <c r="K17" i="3" a="1"/>
  <c r="K17" i="3" s="1"/>
  <c r="H14" i="3" a="1"/>
  <c r="H14" i="3" s="1"/>
  <c r="H15" i="3" a="1"/>
  <c r="H15" i="3" s="1"/>
  <c r="E14" i="3" a="1"/>
  <c r="E14" i="3" s="1"/>
  <c r="E15" i="3" a="1"/>
  <c r="E15" i="3" s="1"/>
  <c r="D14" i="3" a="1"/>
  <c r="D14" i="3" s="1"/>
  <c r="D15" i="3" a="1"/>
  <c r="D15" i="3" s="1"/>
  <c r="J14" i="3" a="1"/>
  <c r="J14" i="3" s="1"/>
  <c r="J15" i="3" a="1"/>
  <c r="J15" i="3" s="1"/>
  <c r="F14" i="3" a="1"/>
  <c r="F14" i="3" s="1"/>
  <c r="F15" i="3" a="1"/>
  <c r="F15" i="3" s="1"/>
  <c r="C14" i="3" a="1"/>
  <c r="C14" i="3" s="1"/>
  <c r="C15" i="3" a="1"/>
  <c r="C15" i="3" s="1"/>
  <c r="I14" i="3" a="1"/>
  <c r="I14" i="3" s="1"/>
  <c r="I15" i="3" a="1"/>
  <c r="I15" i="3" s="1"/>
  <c r="G14" i="3" a="1"/>
  <c r="G14" i="3" s="1"/>
  <c r="G15" i="3" a="1"/>
  <c r="G15" i="3" s="1"/>
  <c r="K14" i="3" a="1"/>
  <c r="K14" i="3" s="1"/>
  <c r="K15" i="3" a="1"/>
  <c r="K15" i="3" s="1"/>
  <c r="J12" i="3" a="1"/>
  <c r="J12" i="3" s="1"/>
  <c r="J13" i="3" a="1"/>
  <c r="J13" i="3" s="1"/>
  <c r="H12" i="3" a="1"/>
  <c r="H12" i="3" s="1"/>
  <c r="H13" i="3" a="1"/>
  <c r="H13" i="3" s="1"/>
  <c r="E12" i="3" a="1"/>
  <c r="E12" i="3" s="1"/>
  <c r="E13" i="3" a="1"/>
  <c r="E13" i="3" s="1"/>
  <c r="D12" i="3" a="1"/>
  <c r="D12" i="3" s="1"/>
  <c r="D13" i="3" a="1"/>
  <c r="D13" i="3" s="1"/>
  <c r="F12" i="3" a="1"/>
  <c r="F12" i="3" s="1"/>
  <c r="F13" i="3" a="1"/>
  <c r="F13" i="3" s="1"/>
  <c r="I12" i="3" a="1"/>
  <c r="I12" i="3" s="1"/>
  <c r="I13" i="3" a="1"/>
  <c r="I13" i="3" s="1"/>
  <c r="C12" i="3" a="1"/>
  <c r="C12" i="3" s="1"/>
  <c r="C13" i="3" a="1"/>
  <c r="C13" i="3" s="1"/>
  <c r="G12" i="3" a="1"/>
  <c r="G12" i="3" s="1"/>
  <c r="G13" i="3" a="1"/>
  <c r="G13" i="3" s="1"/>
  <c r="K12" i="3" a="1"/>
  <c r="K12" i="3" s="1"/>
  <c r="K13" i="3" a="1"/>
  <c r="K13" i="3" s="1"/>
  <c r="H10" i="3" a="1"/>
  <c r="H10" i="3" s="1"/>
  <c r="H11" i="3" a="1"/>
  <c r="H11" i="3" s="1"/>
  <c r="E10" i="3" a="1"/>
  <c r="E10" i="3" s="1"/>
  <c r="E11" i="3" a="1"/>
  <c r="E11" i="3" s="1"/>
  <c r="D10" i="3" a="1"/>
  <c r="D10" i="3" s="1"/>
  <c r="D11" i="3" a="1"/>
  <c r="D11" i="3" s="1"/>
  <c r="I10" i="3" a="1"/>
  <c r="I10" i="3" s="1"/>
  <c r="I11" i="3" a="1"/>
  <c r="I11" i="3" s="1"/>
  <c r="J10" i="3" a="1"/>
  <c r="J10" i="3" s="1"/>
  <c r="J11" i="3" a="1"/>
  <c r="J11" i="3" s="1"/>
  <c r="F10" i="3" a="1"/>
  <c r="F10" i="3" s="1"/>
  <c r="F11" i="3" a="1"/>
  <c r="F11" i="3" s="1"/>
  <c r="C10" i="3" a="1"/>
  <c r="C10" i="3" s="1"/>
  <c r="C11" i="3" a="1"/>
  <c r="C11" i="3" s="1"/>
  <c r="G10" i="3" a="1"/>
  <c r="G10" i="3" s="1"/>
  <c r="G11" i="3" a="1"/>
  <c r="G11" i="3" s="1"/>
  <c r="K10" i="3" a="1"/>
  <c r="K10" i="3" s="1"/>
  <c r="K11" i="3" a="1"/>
  <c r="K11" i="3" s="1"/>
  <c r="H8" i="3" a="1"/>
  <c r="H8" i="3" s="1"/>
  <c r="H9" i="3" a="1"/>
  <c r="H9" i="3" s="1"/>
  <c r="E8" i="3" a="1"/>
  <c r="E8" i="3" s="1"/>
  <c r="E9" i="3" a="1"/>
  <c r="E9" i="3" s="1"/>
  <c r="J8" i="3" a="1"/>
  <c r="J8" i="3" s="1"/>
  <c r="J9" i="3" a="1"/>
  <c r="J9" i="3" s="1"/>
  <c r="K8" i="3" a="1"/>
  <c r="K8" i="3" s="1"/>
  <c r="K9" i="3" a="1"/>
  <c r="K9" i="3" s="1"/>
  <c r="D8" i="3" a="1"/>
  <c r="D8" i="3" s="1"/>
  <c r="D9" i="3" a="1"/>
  <c r="D9" i="3" s="1"/>
  <c r="F8" i="3" a="1"/>
  <c r="F8" i="3" s="1"/>
  <c r="F9" i="3" a="1"/>
  <c r="F9" i="3" s="1"/>
  <c r="I8" i="3" a="1"/>
  <c r="I8" i="3" s="1"/>
  <c r="I9" i="3" a="1"/>
  <c r="I9" i="3" s="1"/>
  <c r="C8" i="3" a="1"/>
  <c r="C8" i="3" s="1"/>
  <c r="C9" i="3" a="1"/>
  <c r="C9" i="3" s="1"/>
  <c r="G8" i="3" a="1"/>
  <c r="G8" i="3" s="1"/>
  <c r="G9" i="3" a="1"/>
  <c r="G9" i="3" s="1"/>
  <c r="Q46" i="1" a="1"/>
  <c r="Q46" i="1" s="1"/>
  <c r="AH7" i="1" s="1"/>
  <c r="Q53" i="1"/>
  <c r="Q55" i="1"/>
  <c r="D76" i="3" s="1"/>
  <c r="Q54" i="1"/>
  <c r="D75" i="3" s="1"/>
  <c r="D67" i="7"/>
  <c r="D183" i="3"/>
  <c r="F189" i="1"/>
  <c r="F156" i="1"/>
  <c r="E84" i="8"/>
  <c r="E92" i="8"/>
  <c r="G92" i="8"/>
  <c r="J156" i="1"/>
  <c r="F183" i="3"/>
  <c r="J189" i="1"/>
  <c r="G84" i="8"/>
  <c r="F67" i="7"/>
  <c r="D84" i="8"/>
  <c r="D156" i="1"/>
  <c r="C67" i="7"/>
  <c r="D92" i="8"/>
  <c r="D189" i="1"/>
  <c r="C183" i="3"/>
  <c r="H176" i="3"/>
  <c r="Q154" i="1"/>
  <c r="I77" i="8"/>
  <c r="F92" i="8"/>
  <c r="E183" i="3"/>
  <c r="E67" i="7"/>
  <c r="H189" i="1"/>
  <c r="H156" i="1"/>
  <c r="F84" i="8"/>
  <c r="G176" i="3"/>
  <c r="O154" i="1"/>
  <c r="H77" i="8"/>
  <c r="C73" i="3"/>
  <c r="P56" i="1"/>
  <c r="C77" i="3" s="1"/>
  <c r="D74" i="3" l="1"/>
  <c r="Q56" i="1"/>
  <c r="F185" i="3"/>
  <c r="F68" i="7"/>
  <c r="G86" i="8"/>
  <c r="C185" i="3"/>
  <c r="D86" i="8"/>
  <c r="C68" i="7"/>
  <c r="C74" i="7"/>
  <c r="C75" i="7" s="1"/>
  <c r="D191" i="1"/>
  <c r="D74" i="7"/>
  <c r="D75" i="7" s="1"/>
  <c r="F191" i="1"/>
  <c r="E74" i="7"/>
  <c r="E75" i="7" s="1"/>
  <c r="H191" i="1"/>
  <c r="F74" i="7"/>
  <c r="F75" i="7" s="1"/>
  <c r="J191" i="1"/>
  <c r="Q156" i="1"/>
  <c r="I84" i="8"/>
  <c r="H186" i="3"/>
  <c r="H183" i="3"/>
  <c r="E86" i="8"/>
  <c r="D68" i="7"/>
  <c r="D185" i="3"/>
  <c r="E185" i="3"/>
  <c r="E68" i="7"/>
  <c r="F86" i="8"/>
  <c r="O156" i="1"/>
  <c r="G186" i="3"/>
  <c r="H84" i="8"/>
  <c r="G183" i="3"/>
  <c r="D77" i="3" l="1"/>
  <c r="Q57" i="1"/>
  <c r="E186" i="3"/>
  <c r="F94" i="8"/>
  <c r="H86" i="8"/>
  <c r="G185" i="3"/>
  <c r="E94" i="8"/>
  <c r="D186" i="3"/>
  <c r="D94" i="8"/>
  <c r="C186" i="3"/>
  <c r="I86" i="8"/>
  <c r="H185" i="3"/>
  <c r="G94" i="8"/>
  <c r="F186" i="3"/>
  <c r="O27" i="1" l="1"/>
  <c r="D78" i="3"/>
  <c r="Q27" i="1" l="1"/>
  <c r="N54" i="3"/>
  <c r="P54" i="3" l="1"/>
  <c r="Q31" i="1"/>
  <c r="P58" i="3" l="1"/>
  <c r="N32" i="1"/>
  <c r="O29" i="1"/>
  <c r="N56" i="3" l="1"/>
  <c r="Q29" i="1"/>
  <c r="P56" i="3" s="1"/>
  <c r="B45" i="3" l="1" a="1"/>
  <c r="B45" i="3" s="1"/>
  <c r="E45" i="3" a="1"/>
  <c r="E45" i="3" s="1"/>
  <c r="D56" i="3" a="1"/>
  <c r="D56" i="3" s="1"/>
  <c r="E53" i="3" a="1"/>
  <c r="E53" i="3" s="1"/>
  <c r="E44" i="3" a="1"/>
  <c r="E44" i="3" s="1"/>
  <c r="E52" i="3" a="1"/>
  <c r="E52" i="3" s="1"/>
  <c r="D52" i="3" a="1"/>
  <c r="D52" i="3" s="1"/>
  <c r="B46" i="3" a="1"/>
  <c r="B46" i="3" s="1"/>
  <c r="E46" i="3" a="1"/>
  <c r="E46" i="3" s="1"/>
  <c r="B47" i="3" a="1"/>
  <c r="B47" i="3" s="1"/>
  <c r="C56" i="3" a="1"/>
  <c r="C56" i="3" s="1"/>
  <c r="C57" i="3" a="1"/>
  <c r="C57" i="3" s="1"/>
  <c r="C47" i="3" a="1"/>
  <c r="C47" i="3" s="1"/>
  <c r="B54" i="3" a="1"/>
  <c r="B54" i="3" s="1"/>
  <c r="C51" i="3" a="1"/>
  <c r="C51" i="3" s="1"/>
  <c r="B49" i="3" a="1"/>
  <c r="B49" i="3" s="1"/>
  <c r="C49" i="3" a="1"/>
  <c r="C49" i="3" s="1"/>
  <c r="D47" i="3" a="1"/>
  <c r="D47" i="3" s="1"/>
  <c r="C43" i="3" a="1"/>
  <c r="C43" i="3" s="1"/>
  <c r="E51" i="3" a="1"/>
  <c r="E51" i="3" s="1"/>
  <c r="C44" i="3" a="1"/>
  <c r="C44" i="3" s="1"/>
  <c r="D45" i="3" a="1"/>
  <c r="D45" i="3" s="1"/>
  <c r="D44" i="3" a="1"/>
  <c r="D44" i="3" s="1"/>
  <c r="C48" i="3" a="1"/>
  <c r="C48" i="3" s="1"/>
  <c r="D58" i="3" a="1"/>
  <c r="D58" i="3" s="1"/>
  <c r="D49" i="3" a="1"/>
  <c r="D49" i="3" s="1"/>
  <c r="B43" i="3" a="1"/>
  <c r="B43" i="3" s="1"/>
  <c r="B50" i="3" a="1"/>
  <c r="B50" i="3" s="1"/>
  <c r="D57" i="3" a="1"/>
  <c r="D57" i="3" s="1"/>
  <c r="B55" i="3" a="1"/>
  <c r="B55" i="3" s="1"/>
  <c r="B52" i="3" a="1"/>
  <c r="B52" i="3" s="1"/>
  <c r="D53" i="3" a="1"/>
  <c r="D53" i="3" s="1"/>
  <c r="C42" i="3" a="1"/>
  <c r="C42" i="3" s="1"/>
  <c r="B44" i="3" a="1"/>
  <c r="B44" i="3" s="1"/>
  <c r="E55" i="3" a="1"/>
  <c r="E55" i="3" s="1"/>
  <c r="C45" i="3" a="1"/>
  <c r="C45" i="3" s="1"/>
  <c r="B42" i="3" a="1"/>
  <c r="B42" i="3" s="1"/>
  <c r="C58" i="3" a="1"/>
  <c r="C58" i="3" s="1"/>
  <c r="B56" i="3" a="1"/>
  <c r="B56" i="3" s="1"/>
  <c r="D43" i="3" a="1"/>
  <c r="D43" i="3" s="1"/>
  <c r="B51" i="3" a="1"/>
  <c r="B51" i="3" s="1"/>
  <c r="B57" i="3" a="1"/>
  <c r="B57" i="3" s="1"/>
  <c r="D50" i="3" a="1"/>
  <c r="D50" i="3" s="1"/>
  <c r="E57" i="3" a="1"/>
  <c r="E57" i="3" s="1"/>
  <c r="C54" i="3" a="1"/>
  <c r="C54" i="3" s="1"/>
  <c r="B48" i="3" a="1"/>
  <c r="B48" i="3" s="1"/>
  <c r="E43" i="3" a="1"/>
  <c r="E43" i="3" s="1"/>
  <c r="C50" i="3" a="1"/>
  <c r="C50" i="3" s="1"/>
  <c r="E56" i="3" a="1"/>
  <c r="E56" i="3" s="1"/>
  <c r="C52" i="3" a="1"/>
  <c r="C52" i="3" s="1"/>
  <c r="E49" i="3" a="1"/>
  <c r="E49" i="3" s="1"/>
  <c r="E50" i="3" a="1"/>
  <c r="E50" i="3" s="1"/>
  <c r="D51" i="3" a="1"/>
  <c r="D51" i="3" s="1"/>
  <c r="B58" i="3" a="1"/>
  <c r="B58" i="3" s="1"/>
  <c r="B53" i="3" a="1"/>
  <c r="B53" i="3" s="1"/>
  <c r="C55" i="3" a="1"/>
  <c r="C55" i="3" s="1"/>
  <c r="D55" i="3" a="1"/>
  <c r="D55" i="3" s="1"/>
  <c r="C53" i="3" a="1"/>
  <c r="C53" i="3" s="1"/>
  <c r="D46" i="3" a="1"/>
  <c r="D46" i="3" s="1"/>
  <c r="D54" i="3" a="1"/>
  <c r="D54" i="3" s="1"/>
  <c r="E58" i="3" a="1"/>
  <c r="E58" i="3" s="1"/>
  <c r="E47" i="3" a="1"/>
  <c r="E47" i="3" s="1"/>
  <c r="C46" i="3" a="1"/>
  <c r="C46" i="3" s="1"/>
  <c r="E54" i="3" a="1"/>
  <c r="E54" i="3" s="1"/>
  <c r="E48" i="3" a="1"/>
  <c r="E48" i="3" s="1"/>
  <c r="E42" i="3" a="1"/>
  <c r="E42" i="3" s="1"/>
  <c r="D42" i="3" a="1"/>
  <c r="D42" i="3" s="1"/>
  <c r="D48" i="3" a="1"/>
  <c r="D48"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<sst xmlns="http://schemas.openxmlformats.org/spreadsheetml/2006/main" count="1613" uniqueCount="566">
  <si>
    <t xml:space="preserve">  </t>
  </si>
  <si>
    <t>BDO Prequalification</t>
  </si>
  <si>
    <t>BDO:</t>
  </si>
  <si>
    <t>Cooperating BDO:</t>
  </si>
  <si>
    <t>Loan Terms</t>
  </si>
  <si>
    <t>Closing Costs</t>
  </si>
  <si>
    <t>Cost</t>
  </si>
  <si>
    <t>Quantity</t>
  </si>
  <si>
    <t>Total</t>
  </si>
  <si>
    <t>Loan Packaging Fee</t>
  </si>
  <si>
    <t>$1.5M - 2.5M</t>
  </si>
  <si>
    <t>Borrower</t>
  </si>
  <si>
    <t>Seller Note</t>
  </si>
  <si>
    <t>3rd Party</t>
  </si>
  <si>
    <t>Title Insurance</t>
  </si>
  <si>
    <t>0.5%-1% of CRE value (FL &amp; NY +)</t>
  </si>
  <si>
    <t>Real Estate Tax Fee</t>
  </si>
  <si>
    <t>Loan Amount/Injection</t>
  </si>
  <si>
    <t>Survey Charges</t>
  </si>
  <si>
    <t>$1M - $3M</t>
  </si>
  <si>
    <t>Base Rate</t>
  </si>
  <si>
    <t>CRE Appraisal</t>
  </si>
  <si>
    <t>$3.5M - $6.0M</t>
  </si>
  <si>
    <t>Spread</t>
  </si>
  <si>
    <t>Equipment Appraisal</t>
  </si>
  <si>
    <t>$1.5M - $3.5M</t>
  </si>
  <si>
    <t>Indicative Rate</t>
  </si>
  <si>
    <t>Appraisal Review</t>
  </si>
  <si>
    <t>Amortization Basis</t>
  </si>
  <si>
    <t>Actual/365</t>
  </si>
  <si>
    <t>Business Valuation</t>
  </si>
  <si>
    <t>Site Visit</t>
  </si>
  <si>
    <t>Term (years)</t>
  </si>
  <si>
    <t>Environmental Investigation</t>
  </si>
  <si>
    <t>$2M</t>
  </si>
  <si>
    <t>Amortization (mos)</t>
  </si>
  <si>
    <t>$2.5M - $3M</t>
  </si>
  <si>
    <t>Estimated Payment</t>
  </si>
  <si>
    <t>Residential Appr / Valuation</t>
  </si>
  <si>
    <t>$500 - $700</t>
  </si>
  <si>
    <t>Est Const Period (mths)</t>
  </si>
  <si>
    <t>Attorney Doc Prep</t>
  </si>
  <si>
    <t>$3.5M-$6.0M</t>
  </si>
  <si>
    <t>No</t>
  </si>
  <si>
    <t>Interim Loan Fee / Origination</t>
  </si>
  <si>
    <t>1.0% -2.0% Conv/USDA Loans</t>
  </si>
  <si>
    <t>Construction Monitoring</t>
  </si>
  <si>
    <t>See Partner ESI pricing sheet</t>
  </si>
  <si>
    <t>Rounding</t>
  </si>
  <si>
    <t>Sources and Uses of Proceeds</t>
  </si>
  <si>
    <t>Other:  UCCs and Misc Closing</t>
  </si>
  <si>
    <t>Total Estimated Closing Costs</t>
  </si>
  <si>
    <t>%</t>
  </si>
  <si>
    <t>Wgt</t>
  </si>
  <si>
    <t>Direct Project Costs</t>
  </si>
  <si>
    <t>Miscellaneous Closing Costs</t>
  </si>
  <si>
    <t>Real Estate Acquisition</t>
  </si>
  <si>
    <t>Business Credit Report</t>
  </si>
  <si>
    <t>Debt Refi - CRE</t>
  </si>
  <si>
    <t>Personal Credit Report</t>
  </si>
  <si>
    <t>Debt Refi - Non-CRE</t>
  </si>
  <si>
    <t>IRS Transcript Service</t>
  </si>
  <si>
    <t>Machinery &amp; Equipment</t>
  </si>
  <si>
    <t>UCC Searches</t>
  </si>
  <si>
    <t>Loan Amount</t>
  </si>
  <si>
    <t>Furniture &amp; Fixtures (TIs)</t>
  </si>
  <si>
    <t>Certificate of Good Standing</t>
  </si>
  <si>
    <t>Guaranteed Portion</t>
  </si>
  <si>
    <t>Inventory</t>
  </si>
  <si>
    <t>Flood Certification</t>
  </si>
  <si>
    <t>Guaranty Fee</t>
  </si>
  <si>
    <t>Working Capital</t>
  </si>
  <si>
    <t>Filing &amp; Recording Fees</t>
  </si>
  <si>
    <t>avg $100</t>
  </si>
  <si>
    <t>Working Capital - Pre Opening</t>
  </si>
  <si>
    <t>FedEx Charges</t>
  </si>
  <si>
    <t>avg $50</t>
  </si>
  <si>
    <t>Total Gty Fee (Rounded)</t>
  </si>
  <si>
    <t>Business Acquisition</t>
  </si>
  <si>
    <t>Other: rounding</t>
  </si>
  <si>
    <t>Franchise Fees</t>
  </si>
  <si>
    <t>Total Misc. Closing Costs</t>
  </si>
  <si>
    <t>Construction Hard Costs</t>
  </si>
  <si>
    <t>&lt;</t>
  </si>
  <si>
    <t>Interim Interest Reserve</t>
  </si>
  <si>
    <t>Const Contigency</t>
  </si>
  <si>
    <t>Total Project</t>
  </si>
  <si>
    <t>(difference)</t>
  </si>
  <si>
    <t>Construction Contingency</t>
  </si>
  <si>
    <t>Bank Loan %</t>
  </si>
  <si>
    <t>Other Construction Soft Costs</t>
  </si>
  <si>
    <t>CDC Loan %</t>
  </si>
  <si>
    <t>Borrower %</t>
  </si>
  <si>
    <t>SBA Gty Fee</t>
  </si>
  <si>
    <t>Weighted Term</t>
  </si>
  <si>
    <t>Bank Interim Loan Fee %</t>
  </si>
  <si>
    <t>SBA TPL Fee %</t>
  </si>
  <si>
    <t>Referral Fee %</t>
  </si>
  <si>
    <t>Participant Fee %</t>
  </si>
  <si>
    <t>Liquidity Review</t>
  </si>
  <si>
    <t>Origination Fee Total</t>
  </si>
  <si>
    <t>Amount</t>
  </si>
  <si>
    <t>Interim Loan</t>
  </si>
  <si>
    <t>Operating Company Liquidity</t>
  </si>
  <si>
    <t>Affiliate 1</t>
  </si>
  <si>
    <t>Rounded Fee</t>
  </si>
  <si>
    <t>Affiliate 2</t>
  </si>
  <si>
    <t>Affiliate 3</t>
  </si>
  <si>
    <t>Blended Rate</t>
  </si>
  <si>
    <t>Affiliate 4</t>
  </si>
  <si>
    <t>Affiliate 5</t>
  </si>
  <si>
    <t>From UOP</t>
  </si>
  <si>
    <t>Sum</t>
  </si>
  <si>
    <t>Guaranty Fee @ 3.0%</t>
  </si>
  <si>
    <t>Total Available Liquidity</t>
  </si>
  <si>
    <t>Expected Injection</t>
  </si>
  <si>
    <t>Total USDA Guaranty Fee</t>
  </si>
  <si>
    <t>Basis</t>
  </si>
  <si>
    <t>Interest Rate</t>
  </si>
  <si>
    <t>Term (mo)</t>
  </si>
  <si>
    <t>Amo (mo)</t>
  </si>
  <si>
    <t>Start Month</t>
  </si>
  <si>
    <t>End Month</t>
  </si>
  <si>
    <t># days</t>
  </si>
  <si>
    <t>Interest Rate Conversion</t>
  </si>
  <si>
    <t>Pmt</t>
  </si>
  <si>
    <t>Income Statement Spreads</t>
  </si>
  <si>
    <t>30/360</t>
  </si>
  <si>
    <t>{Insert business name which represents PSOR}</t>
  </si>
  <si>
    <t>Include in Global?</t>
  </si>
  <si>
    <t>Yes</t>
  </si>
  <si>
    <t>Actual/360</t>
  </si>
  <si>
    <t>Statement Date</t>
  </si>
  <si>
    <t>Projections</t>
  </si>
  <si>
    <t>Months Covered</t>
  </si>
  <si>
    <t>Customer</t>
  </si>
  <si>
    <t>Statement Type</t>
  </si>
  <si>
    <t>Tax Returns</t>
  </si>
  <si>
    <t>Internal</t>
  </si>
  <si>
    <t xml:space="preserve">Year </t>
  </si>
  <si>
    <t>Revenue Recognition</t>
  </si>
  <si>
    <t>Total Revenue</t>
  </si>
  <si>
    <t>Total COGS</t>
  </si>
  <si>
    <t>Total Gross Margin</t>
  </si>
  <si>
    <t>Officer's Compensation</t>
  </si>
  <si>
    <t>Salaries &amp; Wages</t>
  </si>
  <si>
    <t>Repairs &amp; Maintenance</t>
  </si>
  <si>
    <t>Bad Debts</t>
  </si>
  <si>
    <t>Rents</t>
  </si>
  <si>
    <t>Taxes &amp; Licenses</t>
  </si>
  <si>
    <t>Interest</t>
  </si>
  <si>
    <t>Depreciation &amp; Amortization</t>
  </si>
  <si>
    <t>Advertising</t>
  </si>
  <si>
    <t>Other</t>
  </si>
  <si>
    <t>Total Operating Expenses</t>
  </si>
  <si>
    <t>Ordinary Income</t>
  </si>
  <si>
    <t>Other Income</t>
  </si>
  <si>
    <t>Total Other Income (Expenses)</t>
  </si>
  <si>
    <t>Net Income Before Taxes</t>
  </si>
  <si>
    <t>Income Taxes</t>
  </si>
  <si>
    <t>NET INCOME AFTER TAXES</t>
  </si>
  <si>
    <t>Add Backs :</t>
  </si>
  <si>
    <t>Cash Available</t>
  </si>
  <si>
    <t>Existing Debt</t>
  </si>
  <si>
    <t>Total Debt</t>
  </si>
  <si>
    <t>DCR</t>
  </si>
  <si>
    <t>Global Debt Coverage</t>
  </si>
  <si>
    <t>Operating Cash Available</t>
  </si>
  <si>
    <t>Operating Debt Service</t>
  </si>
  <si>
    <t>Total Cash Available</t>
  </si>
  <si>
    <t>Global DCR</t>
  </si>
  <si>
    <t>Lender</t>
  </si>
  <si>
    <t>Current Balance</t>
  </si>
  <si>
    <t>Collateral</t>
  </si>
  <si>
    <t>Refinance?</t>
  </si>
  <si>
    <t>Affiliate Analysis</t>
  </si>
  <si>
    <t>{Insert business name which represents Affiliate 1}</t>
  </si>
  <si>
    <t>Existing Monthly Debt</t>
  </si>
  <si>
    <t>{Insert business name which represents Affiliate 2}</t>
  </si>
  <si>
    <t>{Insert business name which represents Affiliate 3}</t>
  </si>
  <si>
    <t>{Insert business name which represents Affiliate 4}</t>
  </si>
  <si>
    <t>{Insert business name which represents Affiliate 5}</t>
  </si>
  <si>
    <t>Personal Financial Analysis</t>
  </si>
  <si>
    <t>Collateral Analysis</t>
  </si>
  <si>
    <t>Collateral Summary</t>
  </si>
  <si>
    <t xml:space="preserve">Address </t>
  </si>
  <si>
    <t>Gross Value</t>
  </si>
  <si>
    <t>Discounted
 Value</t>
  </si>
  <si>
    <t>Senior Liens</t>
  </si>
  <si>
    <t>Liquidation 
Value</t>
  </si>
  <si>
    <t>Accounts Receivable</t>
  </si>
  <si>
    <t>Miscellaneous</t>
  </si>
  <si>
    <t>Totals</t>
  </si>
  <si>
    <t>Gross LTV</t>
  </si>
  <si>
    <t>Net LTV</t>
  </si>
  <si>
    <t>Discounted Collateral Value</t>
  </si>
  <si>
    <t>Gross Coverage</t>
  </si>
  <si>
    <t>Net Coverage</t>
  </si>
  <si>
    <t>Gross Exposure Amount</t>
  </si>
  <si>
    <t>T Bank, N.A. SCORING GRID</t>
  </si>
  <si>
    <t>Total Score</t>
  </si>
  <si>
    <t>REPAYMENT</t>
  </si>
  <si>
    <t>MANAGEMENT</t>
  </si>
  <si>
    <t>CREDIT</t>
  </si>
  <si>
    <t>EQUITY</t>
  </si>
  <si>
    <t>COLLATERAL</t>
  </si>
  <si>
    <t>Working Capital/Liquidity</t>
  </si>
  <si>
    <t>Pro forma DSC of 1.40x  in the most recent year and 1.25x or better for the prior 2 years plus stable/positive trends in the  interim.  Stable is considered + - 0.05 change in DSC.</t>
  </si>
  <si>
    <t xml:space="preserve">3 or more years ownership in SBC or  3 years as primary responsible employee in SBC or 5 years recent experience in near identical type business as Principal Manager with P&amp;L and HR responsibility.   </t>
  </si>
  <si>
    <t>N/A</t>
  </si>
  <si>
    <t>25% cash equity from personal sources
Expansions:  pro forma tangible D/W of 4:1 or less.</t>
  </si>
  <si>
    <t>Secured 120% of the loan on a discounted basis with any collateral or 100% secured with 1st lien on RE.
504 1st lien No construction</t>
  </si>
  <si>
    <t>Pro forma DSC of 1.40x or better for most recent years plus 1.25x for the 1 prior year plus stable/positive trends in the  interim.  Stable is considered + - 0.05 change in DSC.</t>
  </si>
  <si>
    <t>2 or more years ownership in SBC or  3 years experience in near identical type business.  
For startups - this experience, must have been within the last 5 years AND one of the guarantors will devote 100% of time to SBC</t>
  </si>
  <si>
    <t>FICO Score greater than 750.</t>
  </si>
  <si>
    <t>25% cash equity from any source or 20% from personal sources
Expansions:  pro forma tangible D/W of 5:1 or less.</t>
  </si>
  <si>
    <t>Secured 100% of the loan on a discounted basis with any collateral or 75% with 1st lien on RE.
504 1st Lien Construction</t>
  </si>
  <si>
    <t>Pro forma DSC of an  1.25x or better in most recent FYE and interim plus stable/positive trends in the  interim.  Stable is considered + - 0.05 change in DSC.
Regardless of DSC declining revenue or profitability trends in the most recent year and/or interim.</t>
  </si>
  <si>
    <t>2 years ownership in any industry or 3 years of transferable management experience in any industry, or approved franchise
For startups - this experience, must have been within the last 5 years AND one of the guarantors will devote 100% of time to SBC.</t>
  </si>
  <si>
    <t>FICO Score of 700 to 749.
Regardless of any higher FICO score BK between 3 and 5 years in time.
Regardless of any higher FICO score expected continuing income of between $5500 and $6000 for every $1000 of CC debt</t>
  </si>
  <si>
    <t>20% cash equity from any source or 15% from personal sources   Expansions:  pro forma tangible D/W of 6:1 or less.</t>
  </si>
  <si>
    <t>Secured 75% of the loan on a discounted basis with any collateral or 50% with 1st lien on RE.</t>
  </si>
  <si>
    <t>No or minimal working capital requirement 
OR 
Borrower has 1.5X working capital from own liquid resources. 
Minimal is the lesser of 5% of loan amount or $50K. None is included in loan.</t>
  </si>
  <si>
    <t>Pro forma DSC of 1.15x or better in most recent FYE and interim plus positive trends in the interim.
Regardless of DSC declining revenue or profitability trends in all periods
Projection Based or Start Up with Approved Franchise.</t>
  </si>
  <si>
    <t>2 years transferable management experience not specific to this industry or non-approved franchise.
For startups - this experience must have been within the last 3 years AND one of the guarantors will 100% of time devoted to SBC</t>
  </si>
  <si>
    <t>FICO Score 650 to 699
Regardless of any higher FICO score expected continuing income of between $5000 and $5499 for every $1000 of CC debt</t>
  </si>
  <si>
    <t>10% cash equity from any source
 Expansions:  pro forma tangible D/W of 8:1 or less.</t>
  </si>
  <si>
    <t>Secured 50% of the loan on a discounted basis with any collateral or 25% with 1st lien on RE.</t>
  </si>
  <si>
    <t>Borrower has sufficient documented working Capital to inject from own resources (WC as calculated by U/W). 
In loan is OK as long as borrower has 1x or greater residual liquidity.</t>
  </si>
  <si>
    <t xml:space="preserve">Projection based or start-up. </t>
  </si>
  <si>
    <t>Less than 2 years transferable management experience OR reliant on prior owner or franchisor for training.
For startups - the experience was over 3 years ago.</t>
  </si>
  <si>
    <t>FICO Score less than 650
Regardless of any higher FICO score expected continuing income of between $4500 and $4999 for every $1000 of CC debt</t>
  </si>
  <si>
    <t>Less than 10% injection and/or
50% or more Equity is from Seller note on full standby</t>
  </si>
  <si>
    <t>&lt; 50% secured with any collateral or less than 25% 1st lien on RE.</t>
  </si>
  <si>
    <t>All, or substantially all of W/C is included in loan or companion loan and borrower has little or no residual liquidity.</t>
  </si>
  <si>
    <t>Remote management or long distance management with no prior experience of remote management.</t>
  </si>
  <si>
    <t>BK in the last 3 years.
Regardless of any higher FICO score expected continuing income of less than $4500 for every $1000 of CC debt</t>
  </si>
  <si>
    <t>Any other allowable SBA SOP structure that does not require injection.</t>
  </si>
  <si>
    <t>No CRE included in collateral or only junior liens on residential.</t>
  </si>
  <si>
    <t>Working capital included in loan proceeds exceeds 50% of borrower cash injection.</t>
  </si>
  <si>
    <t>Income</t>
  </si>
  <si>
    <t>CC Debt</t>
  </si>
  <si>
    <t>Income Needed $4,500</t>
  </si>
  <si>
    <t>Income Needed $4,999</t>
  </si>
  <si>
    <t>Income Needed $5,499</t>
  </si>
  <si>
    <t>Income Needed $6,000+</t>
  </si>
  <si>
    <t>Loan Request</t>
  </si>
  <si>
    <t>Project Total</t>
  </si>
  <si>
    <t>Percentages</t>
  </si>
  <si>
    <t>Structure Table</t>
  </si>
  <si>
    <t>Adjustment / Fix</t>
  </si>
  <si>
    <t>Quarterly</t>
  </si>
  <si>
    <t>Fixed</t>
  </si>
  <si>
    <t>Blended Rate Table</t>
  </si>
  <si>
    <t xml:space="preserve">Bank Loan with CDC Loan </t>
  </si>
  <si>
    <t xml:space="preserve">Loan </t>
  </si>
  <si>
    <t>Est. Payment</t>
  </si>
  <si>
    <t>Rate</t>
  </si>
  <si>
    <t>Total/Blend</t>
  </si>
  <si>
    <t>Liquidity Analysis</t>
  </si>
  <si>
    <t>Post Close Liquidity</t>
  </si>
  <si>
    <t>Stand-Alone DSCR</t>
  </si>
  <si>
    <t>Year 1</t>
  </si>
  <si>
    <t>Year 2</t>
  </si>
  <si>
    <t>Affiliate 1 DSCR</t>
  </si>
  <si>
    <t>Affiliate 2 DSCR</t>
  </si>
  <si>
    <t>Affiliate 3 DSCR</t>
  </si>
  <si>
    <t>Affiliate 4 DSCR</t>
  </si>
  <si>
    <t>Affiliate 5 DSCR</t>
  </si>
  <si>
    <t>T Bank  7(a)</t>
  </si>
  <si>
    <t>T Bank 504</t>
  </si>
  <si>
    <t>CDC 504</t>
  </si>
  <si>
    <t>Fee % to Interim</t>
  </si>
  <si>
    <t>504 Loan Project</t>
  </si>
  <si>
    <t>Residential Appr/Valuation</t>
  </si>
  <si>
    <t>Sources and Uses of Proceeds - 7(a)</t>
  </si>
  <si>
    <t>Sources and Uses of Proceeds - 504</t>
  </si>
  <si>
    <t>SBA TPL Fee</t>
  </si>
  <si>
    <t>Loan Type</t>
  </si>
  <si>
    <t>Basics</t>
  </si>
  <si>
    <t>BDO</t>
  </si>
  <si>
    <t>Audrey Wendel</t>
  </si>
  <si>
    <t>Ben Eakin</t>
  </si>
  <si>
    <t>Glenn Giro</t>
  </si>
  <si>
    <t>P&amp;E</t>
  </si>
  <si>
    <t>Greg Swett</t>
  </si>
  <si>
    <t>Conventional</t>
  </si>
  <si>
    <t>True/False</t>
  </si>
  <si>
    <t>Kandace Moon</t>
  </si>
  <si>
    <t>True</t>
  </si>
  <si>
    <t>Kevin Coffman</t>
  </si>
  <si>
    <t>False</t>
  </si>
  <si>
    <t>Mike Ramsay</t>
  </si>
  <si>
    <t>Patrick Phillips</t>
  </si>
  <si>
    <t>Rod Rodriguez</t>
  </si>
  <si>
    <t>Cash</t>
  </si>
  <si>
    <t>Steve Jones</t>
  </si>
  <si>
    <t>Audited</t>
  </si>
  <si>
    <t>Accrual</t>
  </si>
  <si>
    <t>Reviewed</t>
  </si>
  <si>
    <t>Hybrid</t>
  </si>
  <si>
    <t>Compiled</t>
  </si>
  <si>
    <t>Schedule C</t>
  </si>
  <si>
    <t>Form 10K</t>
  </si>
  <si>
    <t>Form 10Q</t>
  </si>
  <si>
    <t>Rate Type</t>
  </si>
  <si>
    <t>X/O</t>
  </si>
  <si>
    <t>x</t>
  </si>
  <si>
    <t>Equity</t>
  </si>
  <si>
    <t>Financing Structure</t>
  </si>
  <si>
    <t>Source 1</t>
  </si>
  <si>
    <t>Source 2</t>
  </si>
  <si>
    <t>Source 3</t>
  </si>
  <si>
    <t>Source 4</t>
  </si>
  <si>
    <t>Source 5</t>
  </si>
  <si>
    <t>Source 6</t>
  </si>
  <si>
    <t>Guarantee %</t>
  </si>
  <si>
    <t>Term Yrs</t>
  </si>
  <si>
    <t>Amortization (Months)</t>
  </si>
  <si>
    <t>Total Rate</t>
  </si>
  <si>
    <t>Percentage of Project</t>
  </si>
  <si>
    <t>Period 1</t>
  </si>
  <si>
    <t>Period 2</t>
  </si>
  <si>
    <t>Period 3</t>
  </si>
  <si>
    <t>Period 4</t>
  </si>
  <si>
    <t>Statement Type (Tax Returns / Internal)</t>
  </si>
  <si>
    <t>Revenue Recognition (Cash / Accrual)</t>
  </si>
  <si>
    <t>GROSS INCOME</t>
  </si>
  <si>
    <t xml:space="preserve">   Total Revenue</t>
  </si>
  <si>
    <t xml:space="preserve">   Total COGS</t>
  </si>
  <si>
    <t xml:space="preserve">   Total Gross Margin</t>
  </si>
  <si>
    <t>NET INCOME</t>
  </si>
  <si>
    <t xml:space="preserve">   Total Operating Expenses</t>
  </si>
  <si>
    <t xml:space="preserve">   Ordinary Income</t>
  </si>
  <si>
    <t xml:space="preserve">   Total Other Income/Expenses</t>
  </si>
  <si>
    <t xml:space="preserve">   Net Income Before Taxes</t>
  </si>
  <si>
    <t>ADD BACKS &amp; ADJUSTMENTS</t>
  </si>
  <si>
    <t xml:space="preserve">   Standard Add Backs</t>
  </si>
  <si>
    <t xml:space="preserve">   Other Add Back 1</t>
  </si>
  <si>
    <t xml:space="preserve">   Other Add Back 2</t>
  </si>
  <si>
    <t>DEBT COVERAGE</t>
  </si>
  <si>
    <t xml:space="preserve">   Cash Available</t>
  </si>
  <si>
    <t xml:space="preserve">   Existing Debt Service</t>
  </si>
  <si>
    <t xml:space="preserve">   Total Debt Service</t>
  </si>
  <si>
    <t xml:space="preserve">   Debt Coverage Ratio</t>
  </si>
  <si>
    <t>GLOBAL DEBT COVERAGE</t>
  </si>
  <si>
    <t xml:space="preserve">   Total Affiliate Cash Available</t>
  </si>
  <si>
    <t xml:space="preserve">   Total Subject Business Cash Available</t>
  </si>
  <si>
    <t xml:space="preserve">   Total Global Cash Available</t>
  </si>
  <si>
    <t xml:space="preserve">   Total Subject Business Debt Service</t>
  </si>
  <si>
    <t xml:space="preserve">   Global Debt Coverage Ratio</t>
  </si>
  <si>
    <t>Loan ID</t>
  </si>
  <si>
    <t>Terms</t>
  </si>
  <si>
    <t>Financing Type</t>
  </si>
  <si>
    <t xml:space="preserve">Income Statement Spreads - Subject Business </t>
  </si>
  <si>
    <t>Standard Add Backs</t>
  </si>
  <si>
    <t>Subject Business Cash Flow</t>
  </si>
  <si>
    <t>Existing Debt Service</t>
  </si>
  <si>
    <t>Proposed Debt Payments</t>
  </si>
  <si>
    <t>Source 7</t>
  </si>
  <si>
    <t>Source 8</t>
  </si>
  <si>
    <t>SBA 504</t>
  </si>
  <si>
    <t>Debenture</t>
  </si>
  <si>
    <t>SBA Express Line</t>
  </si>
  <si>
    <t>SBA CAPLine</t>
  </si>
  <si>
    <t xml:space="preserve">USDA </t>
  </si>
  <si>
    <t>SBA 7(a)</t>
  </si>
  <si>
    <t>0.5% of T Bank Perm. Loan (504)</t>
  </si>
  <si>
    <t>Contribution</t>
  </si>
  <si>
    <t>Marc Gilson</t>
  </si>
  <si>
    <t>Investor</t>
  </si>
  <si>
    <t>SBA 7(a) Guarantee Fee</t>
  </si>
  <si>
    <t>Type</t>
  </si>
  <si>
    <t>USDA Guarantee Fee</t>
  </si>
  <si>
    <t>Guaranty Fee @ 3.5% - Const.</t>
  </si>
  <si>
    <t>Type:</t>
  </si>
  <si>
    <t>Guarantee %:</t>
  </si>
  <si>
    <t>USDA Gty Fee</t>
  </si>
  <si>
    <t>Interest-Only</t>
  </si>
  <si>
    <t>Becca Gilson</t>
  </si>
  <si>
    <t>Matthew Alm</t>
  </si>
  <si>
    <t>Full Standby</t>
  </si>
  <si>
    <t>Amort Basis - I/O - Standby</t>
  </si>
  <si>
    <t>Project</t>
  </si>
  <si>
    <t>Business Name:</t>
  </si>
  <si>
    <t>Compensation of Officers</t>
  </si>
  <si>
    <t>Depreciation/Amortization</t>
  </si>
  <si>
    <t>Interest Expense</t>
  </si>
  <si>
    <t>Estimated Property Tax</t>
  </si>
  <si>
    <t>Required Owner's Draw</t>
  </si>
  <si>
    <t>SBA 7a Guarantee %</t>
  </si>
  <si>
    <t>USDA Guarantee %</t>
  </si>
  <si>
    <t>Construction Soft Costs</t>
  </si>
  <si>
    <t>Furniture &amp; Fixtures</t>
  </si>
  <si>
    <t>Blended Term Calculator</t>
  </si>
  <si>
    <t>Include Interest Reserve?</t>
  </si>
  <si>
    <t>ADJUSTMENTS</t>
  </si>
  <si>
    <t>Rent Adjustment</t>
  </si>
  <si>
    <t>Affiliate 6</t>
  </si>
  <si>
    <t>{Insert business name which represents Affiliate 6}</t>
  </si>
  <si>
    <t>Affiliate 7</t>
  </si>
  <si>
    <t>{Insert business name which represents Affiliate 7}</t>
  </si>
  <si>
    <t>Affiliate 8</t>
  </si>
  <si>
    <t>{Insert business name which represents Affiliate 8}</t>
  </si>
  <si>
    <t>Affiliate 9</t>
  </si>
  <si>
    <t>{Insert business name which represents Affiliate 9}</t>
  </si>
  <si>
    <t>Affiliate 10</t>
  </si>
  <si>
    <t>{Insert business name which represents Affiliate 10}</t>
  </si>
  <si>
    <t>Affiliate 11</t>
  </si>
  <si>
    <t>{Insert business name which represents Affiliate 11}</t>
  </si>
  <si>
    <t>Affiliate 12</t>
  </si>
  <si>
    <t>{Insert business name which represents Affiliate 12}</t>
  </si>
  <si>
    <t>Advance Rate</t>
  </si>
  <si>
    <t>Primary Real Estate</t>
  </si>
  <si>
    <t>Secondary Real Estate</t>
  </si>
  <si>
    <t xml:space="preserve">Furniture and Fixtures </t>
  </si>
  <si>
    <t>Leasehold Improvements</t>
  </si>
  <si>
    <t>Rolling Stock</t>
  </si>
  <si>
    <t>Collateral Types</t>
  </si>
  <si>
    <t>Advance Rates</t>
  </si>
  <si>
    <t>Color Scheme</t>
  </si>
  <si>
    <t>Title Bar</t>
  </si>
  <si>
    <t>Drop Down</t>
  </si>
  <si>
    <t>Calculated Cell</t>
  </si>
  <si>
    <t>Background</t>
  </si>
  <si>
    <t>Module Backing</t>
  </si>
  <si>
    <t>Affiliate 1 - Cash Available</t>
  </si>
  <si>
    <t>Affiliate 1 - Debt Service</t>
  </si>
  <si>
    <t>Affiliate 2 - Cash Available</t>
  </si>
  <si>
    <t>Affiliate 2 - Debt Service</t>
  </si>
  <si>
    <t>Affiliate 3 - Cash Available</t>
  </si>
  <si>
    <t>Affiliate 3 - Debt Service</t>
  </si>
  <si>
    <t>Affiliate 4 - Cash Available</t>
  </si>
  <si>
    <t>Affiliate 4 - Debt Service</t>
  </si>
  <si>
    <t>Affiliate 5 - Cash Available</t>
  </si>
  <si>
    <t>Affiliate 5 - Debt Service</t>
  </si>
  <si>
    <t>Affiliate 6 - Cash Available</t>
  </si>
  <si>
    <t>Affiliate 6 - Debt Service</t>
  </si>
  <si>
    <t>Affiliate 7 - Cash Available</t>
  </si>
  <si>
    <t>Affiliate 7 - Debt Service</t>
  </si>
  <si>
    <t>Affiliate 8 - Cash Available</t>
  </si>
  <si>
    <t>Affiliate 8 - Debt Service</t>
  </si>
  <si>
    <t>Affiliate 9 - Cash Available</t>
  </si>
  <si>
    <t>Affiliate 9 - Debt Service</t>
  </si>
  <si>
    <t>Affiliate 10 - Cash Available</t>
  </si>
  <si>
    <t>Affiliate 10 - Debt Service</t>
  </si>
  <si>
    <t>Affiliate 11 - Cash Available</t>
  </si>
  <si>
    <t>Affiliate 11 - Debt Service</t>
  </si>
  <si>
    <t>Affiliate 12 - Cash Available</t>
  </si>
  <si>
    <t>Affiliate 12 - Debt Service</t>
  </si>
  <si>
    <t>Other Income / Expense</t>
  </si>
  <si>
    <t>Affiliate 6 DSCR</t>
  </si>
  <si>
    <t>Affiliate 7 DSCR</t>
  </si>
  <si>
    <t>Affiliate 8 DSCR</t>
  </si>
  <si>
    <t>Affiliate 9 DSCR</t>
  </si>
  <si>
    <t>Affiliate 10 DSCR</t>
  </si>
  <si>
    <t>Affiliate 11 DSCR</t>
  </si>
  <si>
    <t>Affiliate 12 DSCR</t>
  </si>
  <si>
    <t>Other Liquidity</t>
  </si>
  <si>
    <t>Closing Doc Prep</t>
  </si>
  <si>
    <t>$166 for 1st $500M, $10 for every $100M after</t>
  </si>
  <si>
    <t>SBA TPL Fee (Third Party Lender)</t>
  </si>
  <si>
    <t>Customer 6</t>
  </si>
  <si>
    <t>Customer 7</t>
  </si>
  <si>
    <t>Customer 8</t>
  </si>
  <si>
    <t>Customer 9</t>
  </si>
  <si>
    <t>Customer 10</t>
  </si>
  <si>
    <t>Include Draw?</t>
  </si>
  <si>
    <t>Construction Contingency %</t>
  </si>
  <si>
    <t>Party</t>
  </si>
  <si>
    <t>T Bank</t>
  </si>
  <si>
    <t>Seller</t>
  </si>
  <si>
    <t>CDC</t>
  </si>
  <si>
    <t>Bridge / Interim Loan</t>
  </si>
  <si>
    <t>504 / USDA Calculations</t>
  </si>
  <si>
    <t>Estimated Construction / Interest Only Period</t>
  </si>
  <si>
    <t>Loan Considered</t>
  </si>
  <si>
    <t>Product</t>
  </si>
  <si>
    <t>TOTAL</t>
  </si>
  <si>
    <t>Term (yrs)</t>
  </si>
  <si>
    <t>Interim Loan Fee % to Perm Loan</t>
  </si>
  <si>
    <t>Bank Interim Loan Fee % &gt;&gt;&gt;</t>
  </si>
  <si>
    <t>Business Debt Schedule - Subject Company</t>
  </si>
  <si>
    <t>Monthly Payments</t>
  </si>
  <si>
    <t>Rent</t>
  </si>
  <si>
    <t>Credit Card</t>
  </si>
  <si>
    <t>Draw Needed</t>
  </si>
  <si>
    <t>Include Minimum Draw?</t>
  </si>
  <si>
    <t>Draw Required</t>
  </si>
  <si>
    <t xml:space="preserve">AVG. FICO </t>
  </si>
  <si>
    <t>Projections  ---&gt; Expand/Collapse Above ---&gt;</t>
  </si>
  <si>
    <t>Total Monthly Liabilities</t>
  </si>
  <si>
    <r>
      <t xml:space="preserve">&lt;&lt;&lt; click the </t>
    </r>
    <r>
      <rPr>
        <b/>
        <sz val="11"/>
        <rFont val="Aptos Narrow"/>
        <family val="2"/>
      </rPr>
      <t>+</t>
    </r>
    <r>
      <rPr>
        <sz val="11"/>
        <rFont val="Aptos Narrow"/>
        <family val="2"/>
      </rPr>
      <t xml:space="preserve"> to the left to expand sections below</t>
    </r>
  </si>
  <si>
    <t>Working Capital in Loan</t>
  </si>
  <si>
    <t>Monthly Payment</t>
  </si>
  <si>
    <t>% Change</t>
  </si>
  <si>
    <t>New Rate</t>
  </si>
  <si>
    <t>Payment After</t>
  </si>
  <si>
    <t>Total Existing Debt + Refi Payments</t>
  </si>
  <si>
    <t>New Term (mo.)</t>
  </si>
  <si>
    <t>Adjust/Fix</t>
  </si>
  <si>
    <t>Monthly</t>
  </si>
  <si>
    <t>Annual</t>
  </si>
  <si>
    <t xml:space="preserve">Fixed </t>
  </si>
  <si>
    <t>Loan #2 Considered</t>
  </si>
  <si>
    <t>Loan #1 Considered</t>
  </si>
  <si>
    <t>GLOBAL</t>
  </si>
  <si>
    <t>Origination / TPL / Referral Chart</t>
  </si>
  <si>
    <t>% Factor</t>
  </si>
  <si>
    <t>$</t>
  </si>
  <si>
    <t>Add Backs</t>
  </si>
  <si>
    <t>Affiliate - Total Net Cash Available</t>
  </si>
  <si>
    <t>Guarantor - Total Net Cash Available</t>
  </si>
  <si>
    <t xml:space="preserve">   Total Guarantor Cash Available</t>
  </si>
  <si>
    <t>SBA 7(a) Project</t>
  </si>
  <si>
    <t>SBA 504 Project</t>
  </si>
  <si>
    <t>Hybrid 504-7(a) Chart</t>
  </si>
  <si>
    <t>Closing Cost Calculator  ---&gt;                                                                                                               Expand/Collapse Above ---&gt;</t>
  </si>
  <si>
    <t>507 / 7(a) Hybrid Planning  ---&gt;                                                                                                            Expand/Collapse Above ---&gt;</t>
  </si>
  <si>
    <t>Loan Term Calculator  ---&gt;                                                                                                                  Expand/Collapse Above ---&gt;</t>
  </si>
  <si>
    <t>Estimated Closing Costs</t>
  </si>
  <si>
    <t>Borrower Equity</t>
  </si>
  <si>
    <t>CDC Debenture</t>
  </si>
  <si>
    <t>T Bank Loan</t>
  </si>
  <si>
    <t>%'s</t>
  </si>
  <si>
    <t>504 - Project</t>
  </si>
  <si>
    <t>Difference</t>
  </si>
  <si>
    <t>***Any working capital, inventory, or franchise fee is considered ineligible for UOP in 504 loan projects.  Please move to SBA 7(a) project.</t>
  </si>
  <si>
    <t>REFERENCE CHARTS</t>
  </si>
  <si>
    <t>↓↓↓↓↓↓↓↓↓↓↓↓↓↓↓↓↓↓↓↓↓↓↓↓↓↓↓↓↓↓↓↓↓↓↓↓↓↓↓↓↓↓↓↓↓↓↓↓↓↓↓↓↓</t>
  </si>
  <si>
    <t>↑↑↑↑↑↑↑↑↑↑↑↑↑↑↑↑↑↑↑↑↑↑↑↑↑↑↑↑↑↑↑↑↑↑↑↑↑↑↑↑↑↑↑↑↑↑↑↑↑↑↑↑↑</t>
  </si>
  <si>
    <t>Cont.</t>
  </si>
  <si>
    <t>Int Res.</t>
  </si>
  <si>
    <t>Additional Interest Reserve $</t>
  </si>
  <si>
    <t>Additional Contingecy $</t>
  </si>
  <si>
    <t>Add</t>
  </si>
  <si>
    <t>Net Cashflow</t>
  </si>
  <si>
    <t>DTI%</t>
  </si>
  <si>
    <t>Liquidity</t>
  </si>
  <si>
    <t>Guarantor Highlights</t>
  </si>
  <si>
    <t>Owner %</t>
  </si>
  <si>
    <t>Total Outside Annual Income</t>
  </si>
  <si>
    <t>Outside Annual Income</t>
  </si>
  <si>
    <t>Income from Borrowing Entities</t>
  </si>
  <si>
    <t>DTI% 
(All Income)</t>
  </si>
  <si>
    <t>Owner 
%</t>
  </si>
  <si>
    <t>Personal 
Liquidity</t>
  </si>
  <si>
    <t>Outside 
Income</t>
  </si>
  <si>
    <t>Spouse
Income</t>
  </si>
  <si>
    <t>Interest 
Income</t>
  </si>
  <si>
    <t>Rental 
Income</t>
  </si>
  <si>
    <t>Loan 
Payments</t>
  </si>
  <si>
    <t>Child Support, 
Alimony
&amp; Other</t>
  </si>
  <si>
    <t>DTI % (Outside Income)</t>
  </si>
  <si>
    <t>AVG. FICO</t>
  </si>
  <si>
    <t>*Guarantee Fees and Closing Costs are excluded from this calculation.</t>
  </si>
  <si>
    <t>Annual Liablities</t>
  </si>
  <si>
    <t>Outside Income</t>
  </si>
  <si>
    <t>Net Before Living Expenses</t>
  </si>
  <si>
    <t>Actuals</t>
  </si>
  <si>
    <t>Total Existing Debt w/o Refi Payments</t>
  </si>
  <si>
    <t>Jeff Able</t>
  </si>
  <si>
    <t>Lisa McClure</t>
  </si>
  <si>
    <t>Brandon Johnson</t>
  </si>
  <si>
    <t>Riku Patel</t>
  </si>
  <si>
    <t>Divy Patel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</si>
</sst>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6">
    <numFmt numFmtId="42" formatCode="_(&quot;$&quot;* #,##0_);_(&quot;$&quot;* \(#,##0\);_(&quot;$&quot;* &quot;-&quot;_);_(@_)"/>
    <numFmt numFmtId="44" formatCode="_(&quot;$&quot;* #,##0.00_);_(&quot;$&quot;* \(#,##0.00\);_(&quot;$&quot;* &quot;-&quot;??_);_(@_)"/>
    <numFmt numFmtId="43" formatCode="_(* #,##0.00_);_(* \(#,##0.00\);_(* &quot;-&quot;??_);_(@_)"/>
    <numFmt numFmtId="164" formatCode="mm/dd/yyyy"/>
    <numFmt numFmtId="165" formatCode="#0.00%"/>
    <numFmt numFmtId="166" formatCode="#0.0%"/>
    <numFmt numFmtId="167" formatCode="[&gt;=0]&quot;$&quot;#,##0_);\(&quot;$&quot;#,##0\)"/>
    <numFmt numFmtId="168" formatCode="[&gt;0]_(&quot;$&quot;* #,##0_);[&lt;0]_(&quot;$&quot;* \(#,##0\);_(&quot;$&quot;* &quot;-&quot;_);_(@_)"/>
    <numFmt numFmtId="169" formatCode="#0"/>
    <numFmt numFmtId="170" formatCode="#0%"/>
    <numFmt numFmtId="171" formatCode="[&gt;0]_(&quot;$&quot;* #,##0_);[&lt;0]_(&quot;$&quot;* \(#,##0\);_(&quot;$&quot;* &quot;-&quot;#??_);_(@_)"/>
    <numFmt numFmtId="172" formatCode="[&gt;0]_(&quot;$&quot;* #,##0.00_);[&lt;0]_(&quot;$&quot;* \(#,##0.00\);_(&quot;$&quot;* &quot;-&quot;#??_);_(@_)"/>
    <numFmt numFmtId="173" formatCode="#0.00"/>
    <numFmt numFmtId="174" formatCode="[&gt;=0]&quot;$&quot;#,##0_);[Red]\(&quot;$&quot;#,##0\)"/>
    <numFmt numFmtId="175" formatCode="[&gt;=0]&quot;$&quot;#,##0.00_);[Red]\(&quot;$&quot;#,##0.00\)"/>
    <numFmt numFmtId="176" formatCode="[&gt;0]_(* #,##0.00_);[&lt;0]_(* \(#,##0.00\);_(* &quot;-&quot;#??_);_(@_)"/>
    <numFmt numFmtId="177" formatCode="[&gt;0]_(* #,##0_);[&lt;0]_(* \(#,##0\);_(* &quot;-&quot;#??_);_(@_)"/>
    <numFmt numFmtId="178" formatCode="&quot;$&quot;#,##0"/>
    <numFmt numFmtId="179" formatCode="[&gt;=0]&quot;&quot;mmm\-yy;@"/>
    <numFmt numFmtId="180" formatCode="#0.000%"/>
    <numFmt numFmtId="181" formatCode="[&gt;=0]m/d/yy;@"/>
    <numFmt numFmtId="182" formatCode="mm/dd/yy"/>
    <numFmt numFmtId="183" formatCode="_(&quot;$&quot;* #,##0_);_(&quot;$&quot;* \(#,##0\);_(&quot;$&quot;* &quot;-&quot;??_);_(@_)"/>
    <numFmt numFmtId="184" formatCode="m/d/yy;@"/>
    <numFmt numFmtId="185" formatCode="0_);\(0\)"/>
    <numFmt numFmtId="186" formatCode="0.0%"/>
  </numFmts>
  <fonts count="76" x14ac:knownFonts="1">
    <font>
      <sz val="11"/>
      <color rgb="FF000000"/>
      <name val="Calibri"/>
    </font>
    <font>
      <sz val="11"/>
      <color theme="1"/>
      <name val="Aptos Narrow"/>
      <family val="2"/>
      <scheme val="minor"/>
    </font>
    <font>
      <sz val="11"/>
      <name val="Calibri"/>
      <family val="2"/>
    </font>
    <font>
      <b/>
      <sz val="12"/>
      <name val="Aptos Narrow"/>
      <family val="2"/>
    </font>
    <font>
      <b/>
      <sz val="11"/>
      <name val="Aptos Narrow"/>
      <family val="2"/>
    </font>
    <font>
      <sz val="11"/>
      <name val="Aptos Narrow"/>
      <family val="2"/>
    </font>
    <font>
      <b/>
      <sz val="10"/>
      <name val="Aptos Narrow"/>
      <family val="2"/>
    </font>
    <font>
      <sz val="8"/>
      <name val="Calibri"/>
      <family val="2"/>
    </font>
    <font>
      <sz val="11"/>
      <color rgb="FF385723"/>
      <name val="Aptos Narrow"/>
      <family val="2"/>
    </font>
    <font>
      <b/>
      <sz val="11"/>
      <color rgb="FFFF0000"/>
      <name val="Aptos Narrow"/>
      <family val="2"/>
    </font>
    <font>
      <b/>
      <sz val="11"/>
      <name val="Calibri"/>
      <family val="2"/>
    </font>
    <font>
      <sz val="12"/>
      <name val="Aptos Narrow"/>
      <family val="2"/>
    </font>
    <font>
      <b/>
      <sz val="11"/>
      <color rgb="FF3366FF"/>
      <name val="Aptos Narrow"/>
      <family val="2"/>
    </font>
    <font>
      <sz val="10"/>
      <name val="Arial"/>
      <family val="2"/>
    </font>
    <font>
      <sz val="10"/>
      <name val="Calibri"/>
      <family val="2"/>
    </font>
    <font>
      <b/>
      <sz val="10"/>
      <name val="Calibri"/>
      <family val="2"/>
    </font>
    <font>
      <sz val="11"/>
      <color rgb="FF0563C1"/>
      <name val="Calibri"/>
      <family val="2"/>
    </font>
    <font>
      <sz val="11"/>
      <color rgb="FF000000"/>
      <name val="Calibri"/>
      <family val="2"/>
    </font>
    <font>
      <sz val="10"/>
      <name val="Arial"/>
      <family val="2"/>
    </font>
    <font>
      <b/>
      <sz val="12"/>
      <color theme="0"/>
      <name val="Aptos Narrow"/>
      <family val="2"/>
      <scheme val="minor"/>
    </font>
    <font>
      <b/>
      <sz val="12"/>
      <name val="Aptos Narrow"/>
      <family val="2"/>
      <scheme val="minor"/>
    </font>
    <font>
      <sz val="8"/>
      <name val="Calibri"/>
      <family val="2"/>
    </font>
    <font>
      <b/>
      <sz val="11"/>
      <color rgb="FF000000"/>
      <name val="Calibri"/>
      <family val="2"/>
    </font>
    <font>
      <b/>
      <i/>
      <sz val="11"/>
      <name val="Calibri"/>
      <family val="2"/>
    </font>
    <font>
      <b/>
      <u/>
      <sz val="11"/>
      <color rgb="FF000000"/>
      <name val="Calibri"/>
      <family val="2"/>
    </font>
    <font>
      <sz val="11"/>
      <color rgb="FF3366FF"/>
      <name val="Aptos Narrow"/>
      <family val="2"/>
    </font>
    <font>
      <sz val="11"/>
      <color rgb="FF000000"/>
      <name val="Aptos Narrow"/>
      <family val="2"/>
      <scheme val="minor"/>
    </font>
    <font>
      <sz val="20"/>
      <name val="Aptos Narrow"/>
      <family val="2"/>
      <scheme val="minor"/>
    </font>
    <font>
      <sz val="11"/>
      <name val="Aptos Narrow"/>
      <family val="2"/>
      <scheme val="minor"/>
    </font>
    <font>
      <b/>
      <sz val="10"/>
      <name val="Aptos Narrow"/>
      <family val="2"/>
      <scheme val="minor"/>
    </font>
    <font>
      <b/>
      <sz val="11"/>
      <name val="Aptos Narrow"/>
      <family val="2"/>
      <scheme val="minor"/>
    </font>
    <font>
      <sz val="8"/>
      <name val="Aptos Narrow"/>
      <family val="2"/>
      <scheme val="minor"/>
    </font>
    <font>
      <sz val="11"/>
      <color rgb="FF385723"/>
      <name val="Aptos Narrow"/>
      <family val="2"/>
      <scheme val="minor"/>
    </font>
    <font>
      <b/>
      <u/>
      <sz val="11"/>
      <color rgb="FF000000"/>
      <name val="Aptos Narrow"/>
      <family val="2"/>
      <scheme val="minor"/>
    </font>
    <font>
      <b/>
      <sz val="11"/>
      <color rgb="FF000000"/>
      <name val="Aptos Narrow"/>
      <family val="2"/>
      <scheme val="minor"/>
    </font>
    <font>
      <b/>
      <sz val="11"/>
      <color rgb="FF0070C0"/>
      <name val="Aptos Narrow"/>
      <family val="2"/>
      <scheme val="minor"/>
    </font>
    <font>
      <sz val="10"/>
      <name val="Aptos Narrow"/>
      <family val="2"/>
      <scheme val="minor"/>
    </font>
    <font>
      <i/>
      <sz val="11"/>
      <name val="Aptos Narrow"/>
      <family val="2"/>
      <scheme val="minor"/>
    </font>
    <font>
      <sz val="12"/>
      <name val="Aptos Narrow"/>
      <family val="2"/>
      <scheme val="minor"/>
    </font>
    <font>
      <b/>
      <sz val="11"/>
      <color rgb="FF3366FF"/>
      <name val="Aptos Narrow"/>
      <family val="2"/>
      <scheme val="minor"/>
    </font>
    <font>
      <sz val="11"/>
      <color rgb="FF3366FF"/>
      <name val="Aptos Narrow"/>
      <family val="2"/>
      <scheme val="minor"/>
    </font>
    <font>
      <b/>
      <sz val="12"/>
      <color rgb="FFFFFFFF"/>
      <name val="Aptos Narrow"/>
      <family val="2"/>
      <scheme val="minor"/>
    </font>
    <font>
      <b/>
      <i/>
      <sz val="12"/>
      <name val="Aptos Narrow"/>
      <family val="2"/>
      <scheme val="minor"/>
    </font>
    <font>
      <i/>
      <sz val="12"/>
      <name val="Aptos Narrow"/>
      <family val="2"/>
      <scheme val="minor"/>
    </font>
    <font>
      <sz val="10"/>
      <color theme="2" tint="-9.9978637043366805E-2"/>
      <name val="Aptos Narrow"/>
      <family val="2"/>
      <scheme val="minor"/>
    </font>
    <font>
      <sz val="9"/>
      <name val="Aptos Narrow"/>
      <family val="2"/>
      <scheme val="minor"/>
    </font>
    <font>
      <b/>
      <u/>
      <sz val="11"/>
      <name val="Calibri"/>
      <family val="2"/>
    </font>
    <font>
      <u/>
      <sz val="11"/>
      <color rgb="FF000000"/>
      <name val="Calibri"/>
      <family val="2"/>
    </font>
    <font>
      <sz val="10"/>
      <color rgb="FFC00000"/>
      <name val="Aptos Narrow"/>
      <family val="2"/>
      <scheme val="minor"/>
    </font>
    <font>
      <b/>
      <sz val="11"/>
      <color theme="0"/>
      <name val="Aptos Narrow"/>
      <family val="2"/>
      <scheme val="minor"/>
    </font>
    <font>
      <b/>
      <sz val="11"/>
      <color theme="1"/>
      <name val="Aptos Narrow"/>
      <family val="2"/>
      <scheme val="minor"/>
    </font>
    <font>
      <b/>
      <sz val="10"/>
      <color rgb="FFFFFFFF"/>
      <name val="Aptos Narrow"/>
      <family val="2"/>
      <scheme val="minor"/>
    </font>
    <font>
      <sz val="10"/>
      <color rgb="FFFFFFFF"/>
      <name val="Aptos Narrow"/>
      <family val="2"/>
      <scheme val="minor"/>
    </font>
    <font>
      <b/>
      <i/>
      <sz val="10"/>
      <name val="Aptos Narrow"/>
      <family val="2"/>
      <scheme val="minor"/>
    </font>
    <font>
      <i/>
      <sz val="10"/>
      <name val="Aptos Narrow"/>
      <family val="2"/>
      <scheme val="minor"/>
    </font>
    <font>
      <b/>
      <sz val="10"/>
      <color rgb="FF3366FF"/>
      <name val="Aptos Narrow"/>
      <family val="2"/>
      <scheme val="minor"/>
    </font>
    <font>
      <sz val="10"/>
      <color rgb="FF000000"/>
      <name val="Aptos Narrow"/>
      <family val="2"/>
      <scheme val="minor"/>
    </font>
    <font>
      <sz val="11"/>
      <color theme="4" tint="-0.499984740745262"/>
      <name val="Aptos Narrow"/>
      <family val="2"/>
      <scheme val="minor"/>
    </font>
    <font>
      <b/>
      <sz val="11"/>
      <color indexed="48"/>
      <name val="Aptos Narrow"/>
      <family val="2"/>
      <scheme val="minor"/>
    </font>
    <font>
      <b/>
      <sz val="11"/>
      <color theme="4" tint="-0.499984740745262"/>
      <name val="Aptos Narrow"/>
      <family val="2"/>
      <scheme val="minor"/>
    </font>
    <font>
      <b/>
      <u/>
      <sz val="11"/>
      <color theme="1"/>
      <name val="Aptos Narrow"/>
      <family val="2"/>
      <scheme val="minor"/>
    </font>
    <font>
      <b/>
      <sz val="10"/>
      <color theme="0"/>
      <name val="Aptos Narrow"/>
      <family val="2"/>
      <scheme val="minor"/>
    </font>
    <font>
      <sz val="10"/>
      <color theme="1"/>
      <name val="Aptos Narrow"/>
      <family val="2"/>
      <scheme val="minor"/>
    </font>
    <font>
      <b/>
      <sz val="10"/>
      <color theme="1"/>
      <name val="Aptos Narrow"/>
      <family val="2"/>
      <scheme val="minor"/>
    </font>
    <font>
      <sz val="10"/>
      <color rgb="FF964B00"/>
      <name val="Aptos Narrow"/>
      <family val="2"/>
      <scheme val="minor"/>
    </font>
    <font>
      <sz val="10"/>
      <color theme="0"/>
      <name val="Aptos Narrow"/>
      <family val="2"/>
      <scheme val="minor"/>
    </font>
    <font>
      <b/>
      <sz val="14"/>
      <name val="Aptos Narrow"/>
      <family val="2"/>
      <scheme val="minor"/>
    </font>
    <font>
      <sz val="11"/>
      <color rgb="FFFFFFFF"/>
      <name val="Aptos Narrow"/>
      <family val="2"/>
      <scheme val="minor"/>
    </font>
    <font>
      <sz val="14"/>
      <name val="Aptos Narrow"/>
      <family val="2"/>
      <scheme val="minor"/>
    </font>
    <font>
      <i/>
      <sz val="11"/>
      <color rgb="FFFF0000"/>
      <name val="Aptos Narrow"/>
      <family val="2"/>
      <scheme val="minor"/>
    </font>
    <font>
      <sz val="10"/>
      <color rgb="FFFFFFFF"/>
      <name val="Aptos Narrow"/>
      <family val="2"/>
    </font>
    <font>
      <sz val="10"/>
      <color rgb="FF000000"/>
      <name val="Aptos Narrow"/>
      <family val="2"/>
    </font>
    <font>
      <b/>
      <sz val="20"/>
      <color rgb="FFFFFFFF"/>
      <name val="Aptos Narrow"/>
      <family val="2"/>
      <scheme val="minor"/>
    </font>
    <font>
      <b/>
      <sz val="24"/>
      <color rgb="FF000080"/>
      <name val="Aptos Narrow"/>
      <family val="2"/>
      <scheme val="minor"/>
    </font>
    <font>
      <b/>
      <sz val="24"/>
      <name val="Aptos Narrow"/>
      <family val="2"/>
      <scheme val="minor"/>
    </font>
    <font>
      <b/>
      <sz val="20"/>
      <name val="Aptos Narrow"/>
      <family val="2"/>
      <scheme val="minor"/>
    </font>
  </fonts>
  <fills count="63">
    <fill>
      <patternFill patternType="none"/>
    </fill>
    <fill>
      <patternFill patternType="gray125"/>
    </fill>
    <fill>
      <patternFill patternType="solid">
        <fgColor rgb="FF83CCEB"/>
        <bgColor rgb="FF000000"/>
      </patternFill>
    </fill>
    <fill>
      <patternFill patternType="solid">
        <fgColor rgb="FFD0CECE"/>
        <bgColor rgb="FF000000"/>
      </patternFill>
    </fill>
    <fill>
      <patternFill patternType="solid">
        <fgColor rgb="FFC0E6F5"/>
        <bgColor rgb="FF000000"/>
      </patternFill>
    </fill>
    <fill>
      <patternFill patternType="solid">
        <fgColor rgb="FFFFFFFF"/>
        <bgColor rgb="FF000000"/>
      </patternFill>
    </fill>
    <fill>
      <patternFill patternType="solid">
        <fgColor rgb="FFD1F3D8"/>
        <bgColor rgb="FF000000"/>
      </patternFill>
    </fill>
    <fill>
      <patternFill patternType="solid">
        <fgColor rgb="FFFFFFFF"/>
        <bgColor rgb="FF000000"/>
      </patternFill>
    </fill>
    <fill>
      <patternFill patternType="solid">
        <fgColor rgb="FFDEEBF7"/>
        <bgColor rgb="FF000000"/>
      </patternFill>
    </fill>
    <fill>
      <patternFill patternType="darkTrellis">
        <bgColor rgb="FFAFABAB"/>
      </patternFill>
    </fill>
    <fill>
      <patternFill patternType="solid">
        <fgColor rgb="FF8DE39F"/>
        <bgColor rgb="FF000000"/>
      </patternFill>
    </fill>
    <fill>
      <patternFill patternType="solid">
        <fgColor rgb="FF000000"/>
        <bgColor rgb="FF000000"/>
      </patternFill>
    </fill>
    <fill>
      <patternFill patternType="solid">
        <fgColor rgb="FFF2F2F2"/>
        <bgColor rgb="FF000000"/>
      </patternFill>
    </fill>
    <fill>
      <patternFill patternType="solid">
        <fgColor rgb="FFE7E6E6"/>
        <bgColor rgb="FF000000"/>
      </patternFill>
    </fill>
    <fill>
      <patternFill patternType="solid">
        <fgColor rgb="FFD6DCE5"/>
        <bgColor rgb="FF000000"/>
      </patternFill>
    </fill>
    <fill>
      <patternFill patternType="solid">
        <fgColor rgb="FF000000"/>
        <bgColor rgb="FF000000"/>
      </patternFill>
    </fill>
    <fill>
      <patternFill patternType="solid">
        <fgColor rgb="FF1B2A4A"/>
        <bgColor rgb="FF1B2A4A"/>
      </patternFill>
    </fill>
    <fill>
      <patternFill patternType="solid">
        <fgColor rgb="FF82CCEB"/>
        <bgColor rgb="FFE8EEF4"/>
      </patternFill>
    </fill>
    <fill>
      <patternFill patternType="solid">
        <fgColor rgb="FFF0F4F8"/>
        <bgColor rgb="FFF0F4F8"/>
      </patternFill>
    </fill>
    <fill>
      <patternFill patternType="solid">
        <fgColor rgb="FFFFFFFF"/>
        <bgColor rgb="FFFFFFFF"/>
      </patternFill>
    </fill>
    <fill>
      <patternFill patternType="solid">
        <fgColor rgb="FFE8EEF4"/>
        <bgColor rgb="FFE8EEF4"/>
      </patternFill>
    </fill>
    <fill>
      <patternFill patternType="solid">
        <fgColor theme="0"/>
        <bgColor indexed="64"/>
      </patternFill>
    </fill>
    <fill>
      <patternFill patternType="solid">
        <fgColor rgb="FF3B5998"/>
        <bgColor rgb="FF3B5998"/>
      </patternFill>
    </fill>
    <fill>
      <patternFill patternType="solid">
        <fgColor theme="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EFF5FB"/>
        <bgColor rgb="FF000000"/>
      </patternFill>
    </fill>
    <fill>
      <patternFill patternType="solid">
        <fgColor theme="4" tint="0.79998168889431442"/>
        <bgColor rgb="FF000000"/>
      </patternFill>
    </fill>
    <fill>
      <patternFill patternType="solid">
        <fgColor theme="2" tint="-9.9978637043366805E-2"/>
        <bgColor indexed="9"/>
      </patternFill>
    </fill>
    <fill>
      <patternFill patternType="solid">
        <fgColor theme="9" tint="0.79998168889431442"/>
        <bgColor indexed="64"/>
      </patternFill>
    </fill>
    <fill>
      <patternFill patternType="solid">
        <fgColor rgb="FFE2EFDA"/>
        <bgColor rgb="FF000000"/>
      </patternFill>
    </fill>
    <fill>
      <patternFill patternType="solid">
        <fgColor theme="1"/>
        <bgColor rgb="FF000000"/>
      </patternFill>
    </fill>
    <fill>
      <patternFill patternType="solid">
        <fgColor theme="0"/>
        <bgColor rgb="FF000000"/>
      </patternFill>
    </fill>
    <fill>
      <patternFill patternType="solid">
        <fgColor theme="2" tint="-9.9978637043366805E-2"/>
        <bgColor rgb="FF000000"/>
      </patternFill>
    </fill>
    <fill>
      <patternFill patternType="solid">
        <fgColor theme="0" tint="-0.14999847407452621"/>
        <bgColor rgb="FF000000"/>
      </patternFill>
    </fill>
    <fill>
      <patternFill patternType="solid">
        <fgColor theme="0" tint="-4.9989318521683403E-2"/>
        <bgColor rgb="FF000000"/>
      </patternFill>
    </fill>
    <fill>
      <patternFill patternType="solid">
        <fgColor theme="3" tint="0.89999084444715716"/>
        <bgColor rgb="FF000000"/>
      </patternFill>
    </fill>
    <fill>
      <patternFill patternType="solid">
        <fgColor theme="3" tint="0.89999084444715716"/>
        <bgColor indexed="64"/>
      </patternFill>
    </fill>
    <fill>
      <patternFill patternType="solid">
        <fgColor theme="0" tint="-0.249977111117893"/>
        <bgColor rgb="FF000000"/>
      </patternFill>
    </fill>
    <fill>
      <patternFill patternType="solid">
        <fgColor theme="0" tint="-0.249977111117893"/>
        <bgColor indexed="64"/>
      </patternFill>
    </fill>
    <fill>
      <patternFill patternType="solid">
        <fgColor theme="7" tint="0.59999389629810485"/>
        <bgColor rgb="FF000000"/>
      </patternFill>
    </fill>
    <fill>
      <patternFill patternType="solid">
        <fgColor rgb="FFDEF2FA"/>
        <bgColor rgb="FF000000"/>
      </patternFill>
    </fill>
    <fill>
      <patternFill patternType="solid">
        <fgColor theme="2" tint="-0.249977111117893"/>
        <bgColor rgb="FF000000"/>
      </patternFill>
    </fill>
    <fill>
      <patternFill patternType="solid">
        <fgColor theme="0" tint="-0.14996795556505021"/>
        <bgColor indexed="64"/>
      </patternFill>
    </fill>
    <fill>
      <gradientFill>
        <stop position="0">
          <color theme="2" tint="-9.8025452436902985E-2"/>
        </stop>
        <stop position="0.5">
          <color theme="0"/>
        </stop>
        <stop position="1">
          <color theme="2" tint="-9.8025452436902985E-2"/>
        </stop>
      </gradientFill>
    </fill>
    <fill>
      <patternFill patternType="solid">
        <fgColor theme="0" tint="-0.34998626667073579"/>
        <bgColor rgb="FF000000"/>
      </patternFill>
    </fill>
    <fill>
      <gradientFill degree="270">
        <stop position="0">
          <color rgb="FFDEF2FA"/>
        </stop>
        <stop position="1">
          <color theme="4" tint="0.59999389629810485"/>
        </stop>
      </gradientFill>
    </fill>
    <fill>
      <patternFill patternType="solid">
        <fgColor rgb="FFDEF2FA"/>
        <bgColor indexed="64"/>
      </patternFill>
    </fill>
    <fill>
      <patternFill patternType="solid">
        <fgColor rgb="FFF1FAFD"/>
        <bgColor rgb="FF000000"/>
      </patternFill>
    </fill>
    <fill>
      <gradientFill degree="270">
        <stop position="0">
          <color rgb="FFF1FAFD"/>
        </stop>
        <stop position="1">
          <color theme="4" tint="0.59999389629810485"/>
        </stop>
      </gradientFill>
    </fill>
    <fill>
      <patternFill patternType="solid">
        <fgColor rgb="FFF1FAFD"/>
        <bgColor indexed="64"/>
      </patternFill>
    </fill>
    <fill>
      <patternFill patternType="solid">
        <fgColor theme="4" tint="0.59999389629810485"/>
        <bgColor indexed="64"/>
      </patternFill>
    </fill>
    <fill>
      <patternFill patternType="solid">
        <fgColor rgb="FFD0CECE"/>
        <bgColor indexed="64"/>
      </patternFill>
    </fill>
    <fill>
      <patternFill patternType="solid">
        <fgColor rgb="FFD0CECE"/>
        <bgColor auto="1"/>
      </patternFill>
    </fill>
    <fill>
      <patternFill patternType="solid">
        <fgColor rgb="FFFFFFFF"/>
        <bgColor indexed="64"/>
      </patternFill>
    </fill>
    <fill>
      <patternFill patternType="solid">
        <fgColor rgb="FFF2F2F2"/>
        <bgColor indexed="64"/>
      </patternFill>
    </fill>
    <fill>
      <patternFill patternType="solid">
        <fgColor theme="0" tint="-0.34998626667073579"/>
        <bgColor indexed="64"/>
      </patternFill>
    </fill>
    <fill>
      <patternFill patternType="solid">
        <fgColor rgb="FF000000"/>
        <bgColor indexed="64"/>
      </patternFill>
    </fill>
    <fill>
      <gradientFill>
        <stop position="0">
          <color rgb="FFF1FAFD"/>
        </stop>
        <stop position="0.5">
          <color theme="0"/>
        </stop>
        <stop position="1">
          <color rgb="FFF1FAFD"/>
        </stop>
      </gradientFill>
    </fill>
  </fills>
  <borders count="21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bottom style="thin">
        <color rgb="FF000000"/>
      </bottom>
      <diagonal/>
    </border>
    <border>
      <left/>
      <right/>
      <top style="thin">
        <color rgb="FF000000"/>
      </top>
      <bottom/>
      <diagonal/>
    </border>
    <border>
      <left/>
      <right style="medium">
        <color rgb="FF000000"/>
      </right>
      <top/>
      <bottom style="thin">
        <color rgb="FF000000"/>
      </bottom>
      <diagonal/>
    </border>
    <border>
      <left style="medium">
        <color rgb="FF000000"/>
      </left>
      <right/>
      <top style="double">
        <color rgb="FFE4E4E4"/>
      </top>
      <bottom style="medium">
        <color rgb="FF000000"/>
      </bottom>
      <diagonal/>
    </border>
    <border>
      <left/>
      <right style="medium">
        <color rgb="FF000000"/>
      </right>
      <top style="double">
        <color rgb="FFF2F2F2"/>
      </top>
      <bottom style="medium">
        <color rgb="FF000000"/>
      </bottom>
      <diagonal/>
    </border>
    <border>
      <left style="thin">
        <color rgb="FF000000"/>
      </left>
      <right/>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A9D18E"/>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medium">
        <color rgb="FF657D9D"/>
      </top>
      <bottom/>
      <diagonal/>
    </border>
    <border>
      <left/>
      <right style="medium">
        <color rgb="FF657D9D"/>
      </right>
      <top style="medium">
        <color rgb="FF657D9D"/>
      </top>
      <bottom/>
      <diagonal/>
    </border>
    <border>
      <left/>
      <right style="medium">
        <color rgb="FF657D9D"/>
      </right>
      <top/>
      <bottom/>
      <diagonal/>
    </border>
    <border>
      <left style="thin">
        <color rgb="FF000000"/>
      </left>
      <right style="thin">
        <color rgb="FF000000"/>
      </right>
      <top style="thin">
        <color rgb="FF000000"/>
      </top>
      <bottom style="thin">
        <color rgb="FFF2F2F2"/>
      </bottom>
      <diagonal/>
    </border>
    <border>
      <left style="thin">
        <color rgb="FF000000"/>
      </left>
      <right style="medium">
        <color rgb="FF000000"/>
      </right>
      <top/>
      <bottom/>
      <diagonal/>
    </border>
    <border>
      <left style="thin">
        <color rgb="FF000000"/>
      </left>
      <right style="thin">
        <color rgb="FF000000"/>
      </right>
      <top style="thin">
        <color rgb="FFF2F2F2"/>
      </top>
      <bottom style="thin">
        <color rgb="FF000000"/>
      </bottom>
      <diagonal/>
    </border>
    <border>
      <left style="thin">
        <color rgb="FF000000"/>
      </left>
      <right style="thin">
        <color rgb="FF000000"/>
      </right>
      <top style="thin">
        <color rgb="FFF2F2F2"/>
      </top>
      <bottom style="thin">
        <color rgb="FFF2F2F2"/>
      </bottom>
      <diagonal/>
    </border>
    <border>
      <left/>
      <right/>
      <top/>
      <bottom style="medium">
        <color rgb="FF657D9D"/>
      </bottom>
      <diagonal/>
    </border>
    <border>
      <left/>
      <right style="medium">
        <color rgb="FF657D9D"/>
      </right>
      <top/>
      <bottom style="medium">
        <color rgb="FF657D9D"/>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F2F2F2"/>
      </bottom>
      <diagonal/>
    </border>
    <border>
      <left style="thin">
        <color rgb="FF000000"/>
      </left>
      <right style="medium">
        <color rgb="FF000000"/>
      </right>
      <top style="thin">
        <color rgb="FFF2F2F2"/>
      </top>
      <bottom style="thin">
        <color rgb="FFF2F2F2"/>
      </bottom>
      <diagonal/>
    </border>
    <border>
      <left style="thin">
        <color rgb="FF000000"/>
      </left>
      <right style="medium">
        <color rgb="FF000000"/>
      </right>
      <top style="thin">
        <color rgb="FFF2F2F2"/>
      </top>
      <bottom style="thin">
        <color rgb="FF000000"/>
      </bottom>
      <diagonal/>
    </border>
    <border>
      <left style="thin">
        <color rgb="FF000000"/>
      </left>
      <right style="medium">
        <color rgb="FF000000"/>
      </right>
      <top style="thin">
        <color rgb="FF000000"/>
      </top>
      <bottom style="thin">
        <color rgb="FFF2F2F2"/>
      </bottom>
      <diagonal/>
    </border>
    <border>
      <left style="medium">
        <color rgb="FF000000"/>
      </left>
      <right style="thin">
        <color rgb="FF000000"/>
      </right>
      <top style="thin">
        <color rgb="FF000000"/>
      </top>
      <bottom style="thin">
        <color rgb="FFF2F2F2"/>
      </bottom>
      <diagonal/>
    </border>
    <border>
      <left style="medium">
        <color rgb="FF000000"/>
      </left>
      <right style="thin">
        <color rgb="FF000000"/>
      </right>
      <top style="thin">
        <color rgb="FFF2F2F2"/>
      </top>
      <bottom style="thin">
        <color rgb="FF000000"/>
      </bottom>
      <diagonal/>
    </border>
    <border>
      <left style="medium">
        <color rgb="FF000000"/>
      </left>
      <right style="thin">
        <color rgb="FF000000"/>
      </right>
      <top style="thin">
        <color rgb="FFF2F2F2"/>
      </top>
      <bottom style="thin">
        <color rgb="FFF2F2F2"/>
      </bottom>
      <diagonal/>
    </border>
    <border>
      <left style="medium">
        <color indexed="64"/>
      </left>
      <right/>
      <top style="medium">
        <color indexed="64"/>
      </top>
      <bottom style="thin">
        <color rgb="FFB0BEC5"/>
      </bottom>
      <diagonal/>
    </border>
    <border>
      <left/>
      <right/>
      <top style="medium">
        <color indexed="64"/>
      </top>
      <bottom style="thin">
        <color rgb="FFB0BEC5"/>
      </bottom>
      <diagonal/>
    </border>
    <border>
      <left/>
      <right style="medium">
        <color indexed="64"/>
      </right>
      <top style="medium">
        <color indexed="64"/>
      </top>
      <bottom style="thin">
        <color rgb="FFB0BEC5"/>
      </bottom>
      <diagonal/>
    </border>
    <border>
      <left style="medium">
        <color indexed="64"/>
      </left>
      <right style="thin">
        <color rgb="FFB0BEC5"/>
      </right>
      <top style="thin">
        <color rgb="FFB0BEC5"/>
      </top>
      <bottom style="thin">
        <color rgb="FFB0BEC5"/>
      </bottom>
      <diagonal/>
    </border>
    <border>
      <left style="thin">
        <color rgb="FFB0BEC5"/>
      </left>
      <right style="thin">
        <color rgb="FFB0BEC5"/>
      </right>
      <top style="thin">
        <color rgb="FFB0BEC5"/>
      </top>
      <bottom style="thin">
        <color rgb="FFB0BEC5"/>
      </bottom>
      <diagonal/>
    </border>
    <border>
      <left style="thin">
        <color rgb="FFB0BEC5"/>
      </left>
      <right style="medium">
        <color indexed="64"/>
      </right>
      <top style="thin">
        <color rgb="FFB0BEC5"/>
      </top>
      <bottom style="thin">
        <color rgb="FFB0BEC5"/>
      </bottom>
      <diagonal/>
    </border>
    <border>
      <left style="medium">
        <color indexed="64"/>
      </left>
      <right style="thin">
        <color rgb="FFB0BEC5"/>
      </right>
      <top style="thin">
        <color rgb="FFB0BEC5"/>
      </top>
      <bottom style="medium">
        <color indexed="64"/>
      </bottom>
      <diagonal/>
    </border>
    <border>
      <left style="thin">
        <color rgb="FFB0BEC5"/>
      </left>
      <right style="thin">
        <color rgb="FFB0BEC5"/>
      </right>
      <top style="thin">
        <color rgb="FFB0BEC5"/>
      </top>
      <bottom style="medium">
        <color indexed="64"/>
      </bottom>
      <diagonal/>
    </border>
    <border>
      <left style="thin">
        <color rgb="FFB0BEC5"/>
      </left>
      <right style="medium">
        <color indexed="64"/>
      </right>
      <top style="thin">
        <color rgb="FFB0BEC5"/>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1"/>
      </left>
      <right style="medium">
        <color indexed="64"/>
      </right>
      <top style="thin">
        <color theme="1"/>
      </top>
      <bottom style="thin">
        <color theme="1"/>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medium">
        <color indexed="64"/>
      </left>
      <right style="thin">
        <color indexed="64"/>
      </right>
      <top style="medium">
        <color rgb="FF000000"/>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thin">
        <color rgb="FF000000"/>
      </bottom>
      <diagonal/>
    </border>
    <border>
      <left style="thin">
        <color rgb="FF000000"/>
      </left>
      <right style="thin">
        <color rgb="FF000000"/>
      </right>
      <top style="medium">
        <color rgb="FF000000"/>
      </top>
      <bottom style="thin">
        <color rgb="FFF2F2F2"/>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indexed="64"/>
      </bottom>
      <diagonal/>
    </border>
    <border>
      <left style="medium">
        <color rgb="FF000000"/>
      </left>
      <right style="thin">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rgb="FF000000"/>
      </bottom>
      <diagonal/>
    </border>
    <border>
      <left style="thin">
        <color theme="0" tint="-0.24994659260841701"/>
      </left>
      <right style="thin">
        <color theme="0" tint="-0.24994659260841701"/>
      </right>
      <top style="thin">
        <color rgb="FF000000"/>
      </top>
      <bottom style="thin">
        <color rgb="FF000000"/>
      </bottom>
      <diagonal/>
    </border>
    <border>
      <left style="thin">
        <color theme="0" tint="-0.24994659260841701"/>
      </left>
      <right style="thin">
        <color theme="0" tint="-0.24994659260841701"/>
      </right>
      <top/>
      <bottom style="thin">
        <color rgb="FF000000"/>
      </bottom>
      <diagonal/>
    </border>
    <border>
      <left style="thin">
        <color theme="0" tint="-0.24994659260841701"/>
      </left>
      <right style="thin">
        <color theme="0" tint="-0.24994659260841701"/>
      </right>
      <top style="thin">
        <color rgb="FF000000"/>
      </top>
      <bottom style="medium">
        <color indexed="64"/>
      </bottom>
      <diagonal/>
    </border>
    <border>
      <left style="thin">
        <color theme="1"/>
      </left>
      <right style="thin">
        <color theme="1"/>
      </right>
      <top style="thin">
        <color indexed="64"/>
      </top>
      <bottom style="thin">
        <color rgb="FF000000"/>
      </bottom>
      <diagonal/>
    </border>
    <border>
      <left style="thin">
        <color theme="0" tint="-0.24994659260841701"/>
      </left>
      <right/>
      <top style="thin">
        <color indexed="64"/>
      </top>
      <bottom style="thin">
        <color rgb="FF000000"/>
      </bottom>
      <diagonal/>
    </border>
    <border>
      <left style="thin">
        <color theme="0" tint="-0.24994659260841701"/>
      </left>
      <right/>
      <top style="thin">
        <color rgb="FF000000"/>
      </top>
      <bottom style="thin">
        <color rgb="FF000000"/>
      </bottom>
      <diagonal/>
    </border>
    <border>
      <left style="thin">
        <color theme="0" tint="-0.24994659260841701"/>
      </left>
      <right/>
      <top style="thin">
        <color rgb="FF000000"/>
      </top>
      <bottom style="medium">
        <color indexed="64"/>
      </bottom>
      <diagonal/>
    </border>
    <border>
      <left style="thin">
        <color theme="0" tint="-0.24994659260841701"/>
      </left>
      <right/>
      <top/>
      <bottom style="thin">
        <color rgb="FF000000"/>
      </bottom>
      <diagonal/>
    </border>
    <border>
      <left/>
      <right/>
      <top style="thin">
        <color rgb="FF000000"/>
      </top>
      <bottom style="medium">
        <color indexed="64"/>
      </bottom>
      <diagonal/>
    </border>
    <border>
      <left style="thin">
        <color theme="1"/>
      </left>
      <right style="thin">
        <color theme="1"/>
      </right>
      <top style="thin">
        <color rgb="FF000000"/>
      </top>
      <bottom style="medium">
        <color theme="1"/>
      </bottom>
      <diagonal/>
    </border>
    <border>
      <left style="thin">
        <color theme="1"/>
      </left>
      <right style="thin">
        <color theme="1"/>
      </right>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medium">
        <color indexed="64"/>
      </bottom>
      <diagonal/>
    </border>
    <border>
      <left style="thin">
        <color rgb="FF000000"/>
      </left>
      <right style="thin">
        <color indexed="64"/>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385723"/>
      </top>
      <bottom/>
      <diagonal/>
    </border>
    <border>
      <left/>
      <right/>
      <top style="double">
        <color rgb="FFE4E4E4"/>
      </top>
      <bottom style="medium">
        <color rgb="FF000000"/>
      </bottom>
      <diagonal/>
    </border>
    <border>
      <left style="thin">
        <color rgb="FF000000"/>
      </left>
      <right style="thin">
        <color theme="0" tint="-0.24994659260841701"/>
      </right>
      <top style="thin">
        <color indexed="64"/>
      </top>
      <bottom style="thin">
        <color rgb="FF000000"/>
      </bottom>
      <diagonal/>
    </border>
    <border>
      <left style="thin">
        <color rgb="FF000000"/>
      </left>
      <right style="thin">
        <color theme="0" tint="-0.24994659260841701"/>
      </right>
      <top style="thin">
        <color rgb="FF000000"/>
      </top>
      <bottom style="thin">
        <color rgb="FF000000"/>
      </bottom>
      <diagonal/>
    </border>
    <border>
      <left style="thin">
        <color rgb="FF000000"/>
      </left>
      <right style="thin">
        <color theme="0" tint="-0.24994659260841701"/>
      </right>
      <top style="thin">
        <color rgb="FF000000"/>
      </top>
      <bottom style="medium">
        <color indexed="64"/>
      </bottom>
      <diagonal/>
    </border>
    <border>
      <left style="thin">
        <color rgb="FF000000"/>
      </left>
      <right style="thin">
        <color theme="0" tint="-0.24994659260841701"/>
      </right>
      <top/>
      <bottom style="thin">
        <color rgb="FF000000"/>
      </bottom>
      <diagonal/>
    </border>
    <border>
      <left/>
      <right style="thin">
        <color theme="1"/>
      </right>
      <top style="thin">
        <color rgb="FF000000"/>
      </top>
      <bottom/>
      <diagonal/>
    </border>
    <border>
      <left style="thin">
        <color theme="1"/>
      </left>
      <right style="thin">
        <color rgb="FF000000"/>
      </right>
      <top style="thin">
        <color rgb="FF000000"/>
      </top>
      <bottom style="medium">
        <color theme="1"/>
      </bottom>
      <diagonal/>
    </border>
    <border>
      <left style="thin">
        <color rgb="FF000000"/>
      </left>
      <right style="thin">
        <color theme="1"/>
      </right>
      <top style="thin">
        <color rgb="FF000000"/>
      </top>
      <bottom style="medium">
        <color rgb="FF000000"/>
      </bottom>
      <diagonal/>
    </border>
    <border>
      <left style="thin">
        <color theme="1"/>
      </left>
      <right style="thin">
        <color theme="1"/>
      </right>
      <top style="thin">
        <color theme="1"/>
      </top>
      <bottom style="thin">
        <color rgb="FF000000"/>
      </bottom>
      <diagonal/>
    </border>
    <border>
      <left style="thin">
        <color rgb="FF000000"/>
      </left>
      <right style="thin">
        <color rgb="FF000000"/>
      </right>
      <top style="thin">
        <color theme="4" tint="0.39997558519241921"/>
      </top>
      <bottom style="thin">
        <color rgb="FF000000"/>
      </bottom>
      <diagonal/>
    </border>
    <border>
      <left/>
      <right style="medium">
        <color theme="1"/>
      </right>
      <top style="double">
        <color rgb="FFE4E4E4"/>
      </top>
      <bottom style="medium">
        <color rgb="FF000000"/>
      </bottom>
      <diagonal/>
    </border>
    <border>
      <left/>
      <right style="medium">
        <color rgb="FF000000"/>
      </right>
      <top style="medium">
        <color rgb="FF000000"/>
      </top>
      <bottom style="thin">
        <color indexed="64"/>
      </bottom>
      <diagonal/>
    </border>
    <border>
      <left/>
      <right style="medium">
        <color rgb="FF000000"/>
      </right>
      <top style="medium">
        <color rgb="FF000000"/>
      </top>
      <bottom style="medium">
        <color indexed="64"/>
      </bottom>
      <diagonal/>
    </border>
    <border>
      <left style="thin">
        <color rgb="FF000000"/>
      </left>
      <right style="double">
        <color rgb="FF000000"/>
      </right>
      <top style="medium">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style="double">
        <color rgb="FF000000"/>
      </right>
      <top style="thin">
        <color rgb="FF000000"/>
      </top>
      <bottom style="medium">
        <color rgb="FF000000"/>
      </bottom>
      <diagonal/>
    </border>
    <border>
      <left style="thin">
        <color rgb="FFB0BEC5"/>
      </left>
      <right style="thin">
        <color rgb="FFB0BEC5"/>
      </right>
      <top style="thin">
        <color rgb="FFB0BEC5"/>
      </top>
      <bottom/>
      <diagonal/>
    </border>
    <border>
      <left style="thin">
        <color rgb="FFB0BEC5"/>
      </left>
      <right style="medium">
        <color indexed="64"/>
      </right>
      <top style="thin">
        <color rgb="FFB0BEC5"/>
      </top>
      <bottom/>
      <diagonal/>
    </border>
    <border>
      <left style="thin">
        <color rgb="FFB0BEC5"/>
      </left>
      <right style="thin">
        <color rgb="FFB0BEC5"/>
      </right>
      <top/>
      <bottom style="medium">
        <color indexed="64"/>
      </bottom>
      <diagonal/>
    </border>
    <border>
      <left style="thin">
        <color rgb="FFB0BEC5"/>
      </left>
      <right style="medium">
        <color theme="1"/>
      </right>
      <top/>
      <bottom style="medium">
        <color indexed="64"/>
      </bottom>
      <diagonal/>
    </border>
    <border>
      <left style="thin">
        <color indexed="64"/>
      </left>
      <right style="thin">
        <color rgb="FFB0BEC5"/>
      </right>
      <top style="thin">
        <color indexed="64"/>
      </top>
      <bottom style="thin">
        <color indexed="64"/>
      </bottom>
      <diagonal/>
    </border>
    <border>
      <left style="thin">
        <color rgb="FFB0BEC5"/>
      </left>
      <right style="thin">
        <color rgb="FFB0BEC5"/>
      </right>
      <top style="thin">
        <color indexed="64"/>
      </top>
      <bottom style="thin">
        <color indexed="64"/>
      </bottom>
      <diagonal/>
    </border>
    <border>
      <left style="thin">
        <color rgb="FFB0BEC5"/>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rgb="FF000000"/>
      </left>
      <right/>
      <top style="medium">
        <color auto="1"/>
      </top>
      <bottom/>
      <diagonal/>
    </border>
    <border>
      <left style="medium">
        <color rgb="FF000000"/>
      </left>
      <right style="medium">
        <color auto="1"/>
      </right>
      <top style="medium">
        <color auto="1"/>
      </top>
      <bottom/>
      <diagonal/>
    </border>
    <border>
      <left style="medium">
        <color rgb="FF000000"/>
      </left>
      <right style="medium">
        <color auto="1"/>
      </right>
      <top/>
      <bottom/>
      <diagonal/>
    </border>
    <border>
      <left style="thin">
        <color rgb="FF000000"/>
      </left>
      <right style="medium">
        <color indexed="64"/>
      </right>
      <top style="thin">
        <color rgb="FF000000"/>
      </top>
      <bottom style="thin">
        <color rgb="FF000000"/>
      </bottom>
      <diagonal/>
    </border>
    <border>
      <left style="thin">
        <color rgb="FF000000"/>
      </left>
      <right style="medium">
        <color auto="1"/>
      </right>
      <top style="medium">
        <color rgb="FF000000"/>
      </top>
      <bottom style="thin">
        <color rgb="FF000000"/>
      </bottom>
      <diagonal/>
    </border>
    <border>
      <left style="thin">
        <color rgb="FF000000"/>
      </left>
      <right style="medium">
        <color indexed="64"/>
      </right>
      <top style="thin">
        <color rgb="FF000000"/>
      </top>
      <bottom style="medium">
        <color rgb="FF000000"/>
      </bottom>
      <diagonal/>
    </border>
    <border>
      <left style="thin">
        <color rgb="FF000000"/>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double">
        <color rgb="FF000000"/>
      </left>
      <right/>
      <top style="medium">
        <color rgb="FF000000"/>
      </top>
      <bottom style="thin">
        <color rgb="FF000000"/>
      </bottom>
      <diagonal/>
    </border>
    <border>
      <left style="double">
        <color rgb="FF000000"/>
      </left>
      <right/>
      <top/>
      <bottom style="thin">
        <color rgb="FF000000"/>
      </bottom>
      <diagonal/>
    </border>
    <border>
      <left style="double">
        <color rgb="FF000000"/>
      </left>
      <right/>
      <top style="thin">
        <color rgb="FF000000"/>
      </top>
      <bottom style="thin">
        <color rgb="FF000000"/>
      </bottom>
      <diagonal/>
    </border>
    <border>
      <left style="double">
        <color rgb="FF000000"/>
      </left>
      <right/>
      <top style="thin">
        <color rgb="FF000000"/>
      </top>
      <bottom style="medium">
        <color rgb="FF000000"/>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rgb="FF000000"/>
      </left>
      <right/>
      <top style="thin">
        <color rgb="FF000000"/>
      </top>
      <bottom/>
      <diagonal/>
    </border>
    <border>
      <left style="thin">
        <color rgb="FF000000"/>
      </left>
      <right/>
      <top style="medium">
        <color rgb="FF000000"/>
      </top>
      <bottom/>
      <diagonal/>
    </border>
    <border>
      <left style="thin">
        <color auto="1"/>
      </left>
      <right style="thin">
        <color auto="1"/>
      </right>
      <top style="medium">
        <color auto="1"/>
      </top>
      <bottom style="thin">
        <color auto="1"/>
      </bottom>
      <diagonal/>
    </border>
    <border>
      <left style="medium">
        <color rgb="FF000000"/>
      </left>
      <right style="medium">
        <color auto="1"/>
      </right>
      <top style="thin">
        <color rgb="FF000000"/>
      </top>
      <bottom/>
      <diagonal/>
    </border>
    <border>
      <left style="medium">
        <color rgb="FF000000"/>
      </left>
      <right/>
      <top/>
      <bottom style="thin">
        <color auto="1"/>
      </bottom>
      <diagonal/>
    </border>
    <border>
      <left style="medium">
        <color rgb="FF000000"/>
      </left>
      <right style="medium">
        <color auto="1"/>
      </right>
      <top/>
      <bottom style="thin">
        <color auto="1"/>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F2F2F2"/>
      </bottom>
      <diagonal/>
    </border>
    <border>
      <left style="thin">
        <color indexed="64"/>
      </left>
      <right style="thin">
        <color indexed="64"/>
      </right>
      <top style="thin">
        <color indexed="64"/>
      </top>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indexed="64"/>
      </right>
      <top style="thin">
        <color indexed="64"/>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theme="1"/>
      </left>
      <right style="thin">
        <color theme="1"/>
      </right>
      <top style="medium">
        <color indexed="64"/>
      </top>
      <bottom style="thin">
        <color rgb="FF000000"/>
      </bottom>
      <diagonal/>
    </border>
  </borders>
  <cellStyleXfs count="9">
    <xf numFmtId="0" fontId="0"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0" fontId="18" fillId="0" borderId="0"/>
    <xf numFmtId="0" fontId="18" fillId="0" borderId="0"/>
    <xf numFmtId="0" fontId="18" fillId="0" borderId="0"/>
    <xf numFmtId="9" fontId="18" fillId="0" borderId="0" applyFont="0" applyFill="0" applyBorder="0" applyAlignment="0" applyProtection="0"/>
    <xf numFmtId="0" fontId="18" fillId="0" borderId="0"/>
  </cellStyleXfs>
  <cellXfs count="1345">
    <xf numFmtId="0" fontId="0" fillId="0" borderId="0" xfId="0"/>
    <xf numFmtId="0" fontId="5" fillId="3" borderId="0" xfId="0" applyFont="1" applyFill="1"/>
    <xf numFmtId="0" fontId="6" fillId="3" borderId="4" xfId="0" applyFont="1" applyFill="1" applyBorder="1" applyAlignment="1">
      <alignment horizontal="center" vertical="top"/>
    </xf>
    <xf numFmtId="0" fontId="6" fillId="3" borderId="0" xfId="0" applyFont="1" applyFill="1" applyAlignment="1">
      <alignment horizontal="center" vertical="top"/>
    </xf>
    <xf numFmtId="0" fontId="5" fillId="3" borderId="5" xfId="0" applyFont="1" applyFill="1" applyBorder="1"/>
    <xf numFmtId="165" fontId="5" fillId="0" borderId="14" xfId="0" applyNumberFormat="1" applyFont="1" applyBorder="1" applyAlignment="1">
      <alignment horizontal="center"/>
    </xf>
    <xf numFmtId="0" fontId="5" fillId="3" borderId="4" xfId="0" applyFont="1" applyFill="1" applyBorder="1"/>
    <xf numFmtId="0" fontId="5" fillId="3" borderId="8" xfId="0" applyFont="1" applyFill="1" applyBorder="1"/>
    <xf numFmtId="0" fontId="4" fillId="6" borderId="1" xfId="0" applyFont="1" applyFill="1" applyBorder="1"/>
    <xf numFmtId="167" fontId="4" fillId="6" borderId="2" xfId="0" applyNumberFormat="1" applyFont="1" applyFill="1" applyBorder="1" applyAlignment="1">
      <alignment horizontal="center"/>
    </xf>
    <xf numFmtId="167" fontId="4" fillId="6" borderId="3" xfId="0" applyNumberFormat="1" applyFont="1" applyFill="1" applyBorder="1" applyAlignment="1">
      <alignment horizontal="center"/>
    </xf>
    <xf numFmtId="0" fontId="5" fillId="5" borderId="0" xfId="0" applyFont="1" applyFill="1"/>
    <xf numFmtId="0" fontId="5" fillId="6" borderId="4" xfId="0" applyFont="1" applyFill="1" applyBorder="1"/>
    <xf numFmtId="168" fontId="8" fillId="7" borderId="14" xfId="0" applyNumberFormat="1" applyFont="1" applyFill="1" applyBorder="1"/>
    <xf numFmtId="169" fontId="8" fillId="0" borderId="14" xfId="0" applyNumberFormat="1" applyFont="1" applyBorder="1" applyAlignment="1">
      <alignment horizontal="center"/>
    </xf>
    <xf numFmtId="168" fontId="8" fillId="0" borderId="20" xfId="0" applyNumberFormat="1" applyFont="1" applyBorder="1"/>
    <xf numFmtId="0" fontId="6" fillId="3" borderId="21" xfId="0" applyFont="1" applyFill="1" applyBorder="1" applyAlignment="1">
      <alignment horizontal="center" vertical="top"/>
    </xf>
    <xf numFmtId="0" fontId="4" fillId="3" borderId="14" xfId="0" applyFont="1" applyFill="1" applyBorder="1" applyAlignment="1">
      <alignment horizontal="center" vertical="top" wrapText="1"/>
    </xf>
    <xf numFmtId="0" fontId="4" fillId="3" borderId="14" xfId="0" applyFont="1" applyFill="1" applyBorder="1" applyAlignment="1">
      <alignment horizontal="center" vertical="top"/>
    </xf>
    <xf numFmtId="0" fontId="5" fillId="3" borderId="4" xfId="0" applyFont="1" applyFill="1" applyBorder="1" applyAlignment="1">
      <alignment horizontal="right"/>
    </xf>
    <xf numFmtId="0" fontId="5" fillId="9" borderId="14" xfId="0" applyFont="1" applyFill="1" applyBorder="1"/>
    <xf numFmtId="170" fontId="5" fillId="9" borderId="22" xfId="0" applyNumberFormat="1" applyFont="1" applyFill="1" applyBorder="1" applyAlignment="1">
      <alignment horizontal="center"/>
    </xf>
    <xf numFmtId="170" fontId="5" fillId="9" borderId="23" xfId="0" applyNumberFormat="1" applyFont="1" applyFill="1" applyBorder="1" applyAlignment="1">
      <alignment horizontal="center"/>
    </xf>
    <xf numFmtId="165" fontId="5" fillId="3" borderId="14" xfId="0" applyNumberFormat="1" applyFont="1" applyFill="1" applyBorder="1" applyAlignment="1">
      <alignment horizontal="center"/>
    </xf>
    <xf numFmtId="173" fontId="5" fillId="8" borderId="14" xfId="0" applyNumberFormat="1" applyFont="1" applyFill="1" applyBorder="1" applyAlignment="1">
      <alignment horizontal="center" vertical="center"/>
    </xf>
    <xf numFmtId="170" fontId="5" fillId="9" borderId="14" xfId="0" applyNumberFormat="1" applyFont="1" applyFill="1" applyBorder="1" applyAlignment="1">
      <alignment horizontal="center"/>
    </xf>
    <xf numFmtId="169" fontId="5" fillId="0" borderId="14" xfId="0" applyNumberFormat="1" applyFont="1" applyBorder="1" applyAlignment="1">
      <alignment horizontal="center"/>
    </xf>
    <xf numFmtId="0" fontId="5" fillId="9" borderId="23" xfId="0" applyFont="1" applyFill="1" applyBorder="1" applyAlignment="1">
      <alignment horizontal="center"/>
    </xf>
    <xf numFmtId="169" fontId="9" fillId="0" borderId="14" xfId="0" applyNumberFormat="1" applyFont="1" applyBorder="1" applyAlignment="1">
      <alignment horizontal="center"/>
    </xf>
    <xf numFmtId="0" fontId="5" fillId="3" borderId="0" xfId="0" applyFont="1" applyFill="1" applyAlignment="1">
      <alignment horizontal="right"/>
    </xf>
    <xf numFmtId="175" fontId="5" fillId="3" borderId="0" xfId="0" applyNumberFormat="1" applyFont="1" applyFill="1" applyAlignment="1">
      <alignment horizontal="center"/>
    </xf>
    <xf numFmtId="175" fontId="5" fillId="3" borderId="0" xfId="0" applyNumberFormat="1" applyFont="1" applyFill="1"/>
    <xf numFmtId="0" fontId="5" fillId="3" borderId="6" xfId="0" applyFont="1" applyFill="1" applyBorder="1"/>
    <xf numFmtId="0" fontId="5" fillId="3" borderId="7" xfId="0" applyFont="1" applyFill="1" applyBorder="1"/>
    <xf numFmtId="0" fontId="5" fillId="6" borderId="25" xfId="0" applyFont="1" applyFill="1" applyBorder="1"/>
    <xf numFmtId="168" fontId="5" fillId="6" borderId="26" xfId="0" applyNumberFormat="1" applyFont="1" applyFill="1" applyBorder="1"/>
    <xf numFmtId="168" fontId="5" fillId="6" borderId="0" xfId="0" applyNumberFormat="1" applyFont="1" applyFill="1"/>
    <xf numFmtId="168" fontId="5" fillId="6" borderId="27" xfId="0" applyNumberFormat="1" applyFont="1" applyFill="1" applyBorder="1"/>
    <xf numFmtId="0" fontId="5" fillId="3" borderId="0" xfId="0" applyFont="1" applyFill="1" applyAlignment="1">
      <alignment vertical="top"/>
    </xf>
    <xf numFmtId="0" fontId="4" fillId="10" borderId="28" xfId="0" applyFont="1" applyFill="1" applyBorder="1"/>
    <xf numFmtId="168" fontId="4" fillId="10" borderId="7" xfId="0" applyNumberFormat="1" applyFont="1" applyFill="1" applyBorder="1"/>
    <xf numFmtId="168" fontId="4" fillId="10" borderId="29" xfId="0" applyNumberFormat="1" applyFont="1" applyFill="1" applyBorder="1"/>
    <xf numFmtId="0" fontId="5" fillId="3" borderId="21" xfId="0" applyFont="1" applyFill="1" applyBorder="1" applyAlignment="1">
      <alignment vertical="top"/>
    </xf>
    <xf numFmtId="0" fontId="4" fillId="3" borderId="25" xfId="0" applyFont="1" applyFill="1" applyBorder="1" applyAlignment="1">
      <alignment vertical="top"/>
    </xf>
    <xf numFmtId="0" fontId="4" fillId="3" borderId="26" xfId="0" applyFont="1" applyFill="1" applyBorder="1" applyAlignment="1">
      <alignment vertical="top"/>
    </xf>
    <xf numFmtId="0" fontId="5" fillId="3" borderId="13" xfId="0" applyFont="1" applyFill="1" applyBorder="1" applyAlignment="1">
      <alignment horizontal="right" vertical="top"/>
    </xf>
    <xf numFmtId="168" fontId="5" fillId="3" borderId="14" xfId="0" applyNumberFormat="1" applyFont="1" applyFill="1" applyBorder="1" applyAlignment="1">
      <alignment vertical="top"/>
    </xf>
    <xf numFmtId="168" fontId="5" fillId="0" borderId="14" xfId="0" applyNumberFormat="1" applyFont="1" applyBorder="1" applyAlignment="1">
      <alignment vertical="top"/>
    </xf>
    <xf numFmtId="170" fontId="5" fillId="3" borderId="14" xfId="0" applyNumberFormat="1" applyFont="1" applyFill="1" applyBorder="1" applyAlignment="1">
      <alignment vertical="top"/>
    </xf>
    <xf numFmtId="168" fontId="4" fillId="10" borderId="8" xfId="0" applyNumberFormat="1" applyFont="1" applyFill="1" applyBorder="1"/>
    <xf numFmtId="0" fontId="4" fillId="3" borderId="13" xfId="0" applyFont="1" applyFill="1" applyBorder="1" applyAlignment="1">
      <alignment horizontal="right" vertical="top"/>
    </xf>
    <xf numFmtId="0" fontId="4" fillId="3" borderId="5" xfId="0" applyFont="1" applyFill="1" applyBorder="1"/>
    <xf numFmtId="170" fontId="8" fillId="7" borderId="44" xfId="0" applyNumberFormat="1" applyFont="1" applyFill="1" applyBorder="1" applyAlignment="1">
      <alignment horizontal="center"/>
    </xf>
    <xf numFmtId="168" fontId="8" fillId="7" borderId="44" xfId="0" applyNumberFormat="1" applyFont="1" applyFill="1" applyBorder="1" applyAlignment="1">
      <alignment horizontal="center"/>
    </xf>
    <xf numFmtId="170" fontId="9" fillId="0" borderId="20" xfId="0" applyNumberFormat="1" applyFont="1" applyBorder="1" applyAlignment="1">
      <alignment horizontal="center" vertical="top"/>
    </xf>
    <xf numFmtId="170" fontId="8" fillId="7" borderId="14" xfId="0" applyNumberFormat="1" applyFont="1" applyFill="1" applyBorder="1" applyAlignment="1">
      <alignment horizontal="center"/>
    </xf>
    <xf numFmtId="168" fontId="8" fillId="7" borderId="14" xfId="0" applyNumberFormat="1" applyFont="1" applyFill="1" applyBorder="1" applyAlignment="1">
      <alignment horizontal="center"/>
    </xf>
    <xf numFmtId="0" fontId="4" fillId="3" borderId="13" xfId="0" applyFont="1" applyFill="1" applyBorder="1" applyAlignment="1">
      <alignment horizontal="right"/>
    </xf>
    <xf numFmtId="0" fontId="5" fillId="6" borderId="0" xfId="0" applyFont="1" applyFill="1"/>
    <xf numFmtId="0" fontId="5" fillId="6" borderId="19" xfId="0" applyFont="1" applyFill="1" applyBorder="1"/>
    <xf numFmtId="0" fontId="5" fillId="6" borderId="26" xfId="0" applyFont="1" applyFill="1" applyBorder="1"/>
    <xf numFmtId="0" fontId="5" fillId="3" borderId="31" xfId="0" applyFont="1" applyFill="1" applyBorder="1"/>
    <xf numFmtId="168" fontId="5" fillId="3" borderId="14" xfId="0" applyNumberFormat="1" applyFont="1" applyFill="1" applyBorder="1"/>
    <xf numFmtId="165" fontId="8" fillId="7" borderId="14" xfId="0" applyNumberFormat="1" applyFont="1" applyFill="1" applyBorder="1" applyAlignment="1">
      <alignment horizontal="center"/>
    </xf>
    <xf numFmtId="0" fontId="2" fillId="5" borderId="0" xfId="0" applyFont="1" applyFill="1"/>
    <xf numFmtId="0" fontId="5" fillId="6" borderId="21" xfId="0" applyFont="1" applyFill="1" applyBorder="1"/>
    <xf numFmtId="0" fontId="5" fillId="6" borderId="5" xfId="0" applyFont="1" applyFill="1" applyBorder="1"/>
    <xf numFmtId="0" fontId="14" fillId="3" borderId="69" xfId="0" applyFont="1" applyFill="1" applyBorder="1" applyAlignment="1">
      <alignment vertical="top"/>
    </xf>
    <xf numFmtId="0" fontId="15" fillId="3" borderId="44" xfId="0" applyFont="1" applyFill="1" applyBorder="1" applyAlignment="1">
      <alignment horizontal="center" vertical="top" wrapText="1"/>
    </xf>
    <xf numFmtId="0" fontId="15" fillId="3" borderId="44" xfId="0" applyFont="1" applyFill="1" applyBorder="1" applyAlignment="1">
      <alignment horizontal="center" vertical="top"/>
    </xf>
    <xf numFmtId="0" fontId="15" fillId="3" borderId="70" xfId="0" applyFont="1" applyFill="1" applyBorder="1" applyAlignment="1">
      <alignment horizontal="center" vertical="top"/>
    </xf>
    <xf numFmtId="0" fontId="14" fillId="0" borderId="18" xfId="0" applyFont="1" applyBorder="1" applyAlignment="1">
      <alignment vertical="top"/>
    </xf>
    <xf numFmtId="168" fontId="14" fillId="0" borderId="14" xfId="0" applyNumberFormat="1" applyFont="1" applyBorder="1" applyAlignment="1">
      <alignment vertical="top"/>
    </xf>
    <xf numFmtId="168" fontId="14" fillId="0" borderId="20" xfId="0" applyNumberFormat="1" applyFont="1" applyBorder="1" applyAlignment="1">
      <alignment vertical="top"/>
    </xf>
    <xf numFmtId="0" fontId="15" fillId="3" borderId="18" xfId="0" applyFont="1" applyFill="1" applyBorder="1" applyAlignment="1">
      <alignment horizontal="right" vertical="top"/>
    </xf>
    <xf numFmtId="171" fontId="15" fillId="3" borderId="14" xfId="0" applyNumberFormat="1" applyFont="1" applyFill="1" applyBorder="1" applyAlignment="1">
      <alignment vertical="top"/>
    </xf>
    <xf numFmtId="171" fontId="15" fillId="3" borderId="20" xfId="0" applyNumberFormat="1" applyFont="1" applyFill="1" applyBorder="1"/>
    <xf numFmtId="0" fontId="15" fillId="3" borderId="39" xfId="0" applyFont="1" applyFill="1" applyBorder="1" applyAlignment="1">
      <alignment vertical="top"/>
    </xf>
    <xf numFmtId="166" fontId="15" fillId="3" borderId="51" xfId="0" applyNumberFormat="1" applyFont="1" applyFill="1" applyBorder="1" applyAlignment="1">
      <alignment vertical="top"/>
    </xf>
    <xf numFmtId="166" fontId="15" fillId="3" borderId="49" xfId="0" applyNumberFormat="1" applyFont="1" applyFill="1" applyBorder="1" applyAlignment="1">
      <alignment vertical="top"/>
    </xf>
    <xf numFmtId="0" fontId="5" fillId="6" borderId="45" xfId="0" applyFont="1" applyFill="1" applyBorder="1" applyAlignment="1">
      <alignment horizontal="right"/>
    </xf>
    <xf numFmtId="0" fontId="5" fillId="6" borderId="2" xfId="0" applyFont="1" applyFill="1" applyBorder="1"/>
    <xf numFmtId="0" fontId="5" fillId="6" borderId="3" xfId="0" applyFont="1" applyFill="1" applyBorder="1"/>
    <xf numFmtId="0" fontId="6" fillId="3" borderId="5" xfId="0" applyFont="1" applyFill="1" applyBorder="1" applyAlignment="1">
      <alignment horizontal="center" vertical="top"/>
    </xf>
    <xf numFmtId="0" fontId="5" fillId="6" borderId="0" xfId="0" applyFont="1" applyFill="1" applyAlignment="1">
      <alignment horizontal="right"/>
    </xf>
    <xf numFmtId="0" fontId="5" fillId="6" borderId="30" xfId="0" applyFont="1" applyFill="1" applyBorder="1" applyAlignment="1">
      <alignment horizontal="right"/>
    </xf>
    <xf numFmtId="0" fontId="2" fillId="5" borderId="0" xfId="0" applyFont="1" applyFill="1" applyAlignment="1">
      <alignment horizontal="right"/>
    </xf>
    <xf numFmtId="0" fontId="3" fillId="2" borderId="9" xfId="0" applyFont="1" applyFill="1" applyBorder="1" applyAlignment="1">
      <alignment vertical="top"/>
    </xf>
    <xf numFmtId="0" fontId="3" fillId="2" borderId="10" xfId="0" applyFont="1" applyFill="1" applyBorder="1" applyAlignment="1">
      <alignment vertical="top"/>
    </xf>
    <xf numFmtId="0" fontId="3" fillId="2" borderId="11" xfId="0" applyFont="1" applyFill="1" applyBorder="1" applyAlignment="1">
      <alignment vertical="top"/>
    </xf>
    <xf numFmtId="168" fontId="5" fillId="5" borderId="14" xfId="0" applyNumberFormat="1" applyFont="1" applyFill="1" applyBorder="1" applyAlignment="1">
      <alignment vertical="top"/>
    </xf>
    <xf numFmtId="0" fontId="10" fillId="39" borderId="1" xfId="0" applyFont="1" applyFill="1" applyBorder="1" applyAlignment="1">
      <alignment horizontal="left"/>
    </xf>
    <xf numFmtId="0" fontId="2" fillId="39" borderId="2" xfId="0" applyFont="1" applyFill="1" applyBorder="1" applyAlignment="1">
      <alignment horizontal="left"/>
    </xf>
    <xf numFmtId="0" fontId="2" fillId="39" borderId="2" xfId="0" applyFont="1" applyFill="1" applyBorder="1"/>
    <xf numFmtId="0" fontId="2" fillId="39" borderId="3" xfId="0" applyFont="1" applyFill="1" applyBorder="1"/>
    <xf numFmtId="0" fontId="2" fillId="39" borderId="4" xfId="0" applyFont="1" applyFill="1" applyBorder="1"/>
    <xf numFmtId="0" fontId="2" fillId="39" borderId="0" xfId="0" applyFont="1" applyFill="1"/>
    <xf numFmtId="0" fontId="2" fillId="39" borderId="5" xfId="0" applyFont="1" applyFill="1" applyBorder="1"/>
    <xf numFmtId="178" fontId="2" fillId="39" borderId="0" xfId="0" applyNumberFormat="1" applyFont="1" applyFill="1" applyAlignment="1">
      <alignment horizontal="center"/>
    </xf>
    <xf numFmtId="165" fontId="2" fillId="39" borderId="0" xfId="0" applyNumberFormat="1" applyFont="1" applyFill="1" applyAlignment="1">
      <alignment horizontal="center"/>
    </xf>
    <xf numFmtId="0" fontId="2" fillId="39" borderId="0" xfId="0" applyFont="1" applyFill="1" applyAlignment="1">
      <alignment horizontal="center"/>
    </xf>
    <xf numFmtId="169" fontId="2" fillId="39" borderId="0" xfId="0" applyNumberFormat="1" applyFont="1" applyFill="1" applyAlignment="1">
      <alignment horizontal="center"/>
    </xf>
    <xf numFmtId="179" fontId="2" fillId="39" borderId="0" xfId="0" applyNumberFormat="1" applyFont="1" applyFill="1" applyAlignment="1">
      <alignment horizontal="center"/>
    </xf>
    <xf numFmtId="180" fontId="2" fillId="39" borderId="0" xfId="0" applyNumberFormat="1" applyFont="1" applyFill="1" applyAlignment="1">
      <alignment horizontal="center"/>
    </xf>
    <xf numFmtId="175" fontId="2" fillId="39" borderId="0" xfId="0" applyNumberFormat="1" applyFont="1" applyFill="1" applyAlignment="1">
      <alignment horizontal="left"/>
    </xf>
    <xf numFmtId="0" fontId="2" fillId="39" borderId="6" xfId="0" applyFont="1" applyFill="1" applyBorder="1"/>
    <xf numFmtId="178" fontId="2" fillId="39" borderId="7" xfId="0" applyNumberFormat="1" applyFont="1" applyFill="1" applyBorder="1" applyAlignment="1">
      <alignment horizontal="center"/>
    </xf>
    <xf numFmtId="165" fontId="2" fillId="39" borderId="7" xfId="0" applyNumberFormat="1" applyFont="1" applyFill="1" applyBorder="1" applyAlignment="1">
      <alignment horizontal="center"/>
    </xf>
    <xf numFmtId="0" fontId="2" fillId="39" borderId="7" xfId="0" applyFont="1" applyFill="1" applyBorder="1" applyAlignment="1">
      <alignment horizontal="center"/>
    </xf>
    <xf numFmtId="169" fontId="2" fillId="39" borderId="7" xfId="0" applyNumberFormat="1" applyFont="1" applyFill="1" applyBorder="1" applyAlignment="1">
      <alignment horizontal="center"/>
    </xf>
    <xf numFmtId="179" fontId="2" fillId="39" borderId="7" xfId="0" applyNumberFormat="1" applyFont="1" applyFill="1" applyBorder="1" applyAlignment="1">
      <alignment horizontal="center"/>
    </xf>
    <xf numFmtId="180" fontId="2" fillId="39" borderId="7" xfId="0" applyNumberFormat="1" applyFont="1" applyFill="1" applyBorder="1" applyAlignment="1">
      <alignment horizontal="center"/>
    </xf>
    <xf numFmtId="175" fontId="2" fillId="39" borderId="7" xfId="0" applyNumberFormat="1" applyFont="1" applyFill="1" applyBorder="1" applyAlignment="1">
      <alignment horizontal="left"/>
    </xf>
    <xf numFmtId="0" fontId="2" fillId="39" borderId="8" xfId="0" applyFont="1" applyFill="1" applyBorder="1"/>
    <xf numFmtId="44" fontId="2" fillId="39" borderId="2" xfId="0" applyNumberFormat="1" applyFont="1" applyFill="1" applyBorder="1"/>
    <xf numFmtId="0" fontId="0" fillId="29" borderId="2" xfId="0" applyFill="1" applyBorder="1"/>
    <xf numFmtId="0" fontId="22" fillId="29" borderId="2" xfId="0" applyFont="1" applyFill="1" applyBorder="1" applyAlignment="1">
      <alignment horizontal="right"/>
    </xf>
    <xf numFmtId="0" fontId="0" fillId="29" borderId="3" xfId="0" applyFill="1" applyBorder="1" applyAlignment="1">
      <alignment horizontal="center"/>
    </xf>
    <xf numFmtId="44" fontId="2" fillId="39" borderId="0" xfId="0" applyNumberFormat="1" applyFont="1" applyFill="1"/>
    <xf numFmtId="170" fontId="0" fillId="29" borderId="0" xfId="0" applyNumberFormat="1" applyFill="1"/>
    <xf numFmtId="0" fontId="0" fillId="29" borderId="0" xfId="0" applyFill="1"/>
    <xf numFmtId="0" fontId="22" fillId="29" borderId="0" xfId="0" applyFont="1" applyFill="1" applyAlignment="1">
      <alignment horizontal="right"/>
    </xf>
    <xf numFmtId="170" fontId="0" fillId="29" borderId="5" xfId="0" applyNumberFormat="1" applyFill="1" applyBorder="1" applyAlignment="1">
      <alignment horizontal="center"/>
    </xf>
    <xf numFmtId="177" fontId="2" fillId="39" borderId="18" xfId="0" applyNumberFormat="1" applyFont="1" applyFill="1" applyBorder="1" applyAlignment="1">
      <alignment horizontal="right"/>
    </xf>
    <xf numFmtId="42" fontId="2" fillId="39" borderId="19" xfId="0" applyNumberFormat="1" applyFont="1" applyFill="1" applyBorder="1" applyAlignment="1">
      <alignment horizontal="center"/>
    </xf>
    <xf numFmtId="44" fontId="2" fillId="39" borderId="0" xfId="0" applyNumberFormat="1" applyFont="1" applyFill="1" applyAlignment="1">
      <alignment horizontal="center"/>
    </xf>
    <xf numFmtId="0" fontId="0" fillId="29" borderId="5" xfId="0" applyFill="1" applyBorder="1"/>
    <xf numFmtId="42" fontId="2" fillId="39" borderId="46" xfId="0" applyNumberFormat="1" applyFont="1" applyFill="1" applyBorder="1" applyAlignment="1">
      <alignment vertical="center"/>
    </xf>
    <xf numFmtId="42" fontId="2" fillId="39" borderId="32" xfId="0" applyNumberFormat="1" applyFont="1" applyFill="1" applyBorder="1" applyAlignment="1">
      <alignment horizontal="center" vertical="center"/>
    </xf>
    <xf numFmtId="0" fontId="0" fillId="29" borderId="38" xfId="0" applyFill="1" applyBorder="1"/>
    <xf numFmtId="0" fontId="0" fillId="29" borderId="27" xfId="0" applyFill="1" applyBorder="1"/>
    <xf numFmtId="0" fontId="2" fillId="39" borderId="30" xfId="0" applyFont="1" applyFill="1" applyBorder="1"/>
    <xf numFmtId="171" fontId="2" fillId="39" borderId="0" xfId="0" applyNumberFormat="1" applyFont="1" applyFill="1"/>
    <xf numFmtId="172" fontId="2" fillId="39" borderId="5" xfId="0" applyNumberFormat="1" applyFont="1" applyFill="1" applyBorder="1"/>
    <xf numFmtId="3" fontId="2" fillId="39" borderId="6" xfId="0" applyNumberFormat="1" applyFont="1" applyFill="1" applyBorder="1" applyAlignment="1">
      <alignment vertical="center"/>
    </xf>
    <xf numFmtId="3" fontId="2" fillId="39" borderId="47" xfId="0" applyNumberFormat="1" applyFont="1" applyFill="1" applyBorder="1" applyAlignment="1">
      <alignment vertical="center"/>
    </xf>
    <xf numFmtId="44" fontId="2" fillId="39" borderId="7" xfId="0" applyNumberFormat="1" applyFont="1" applyFill="1" applyBorder="1" applyAlignment="1">
      <alignment horizontal="center"/>
    </xf>
    <xf numFmtId="0" fontId="2" fillId="39" borderId="42" xfId="0" applyFont="1" applyFill="1" applyBorder="1"/>
    <xf numFmtId="0" fontId="2" fillId="39" borderId="40" xfId="0" applyFont="1" applyFill="1" applyBorder="1"/>
    <xf numFmtId="165" fontId="2" fillId="40" borderId="22" xfId="0" applyNumberFormat="1" applyFont="1" applyFill="1" applyBorder="1"/>
    <xf numFmtId="165" fontId="2" fillId="40" borderId="48" xfId="0" applyNumberFormat="1" applyFont="1" applyFill="1" applyBorder="1"/>
    <xf numFmtId="0" fontId="5" fillId="39" borderId="1" xfId="0" applyFont="1" applyFill="1" applyBorder="1" applyAlignment="1">
      <alignment horizontal="right"/>
    </xf>
    <xf numFmtId="165" fontId="4" fillId="39" borderId="2" xfId="0" applyNumberFormat="1" applyFont="1" applyFill="1" applyBorder="1"/>
    <xf numFmtId="0" fontId="5" fillId="39" borderId="4" xfId="0" applyFont="1" applyFill="1" applyBorder="1" applyAlignment="1">
      <alignment horizontal="right"/>
    </xf>
    <xf numFmtId="0" fontId="5" fillId="39" borderId="0" xfId="0" applyFont="1" applyFill="1"/>
    <xf numFmtId="0" fontId="5" fillId="39" borderId="5" xfId="0" applyFont="1" applyFill="1" applyBorder="1"/>
    <xf numFmtId="0" fontId="5" fillId="39" borderId="4" xfId="0" applyFont="1" applyFill="1" applyBorder="1"/>
    <xf numFmtId="0" fontId="5" fillId="39" borderId="50" xfId="0" applyFont="1" applyFill="1" applyBorder="1"/>
    <xf numFmtId="0" fontId="5" fillId="39" borderId="6" xfId="0" applyFont="1" applyFill="1" applyBorder="1"/>
    <xf numFmtId="168" fontId="5" fillId="39" borderId="10" xfId="0" applyNumberFormat="1" applyFont="1" applyFill="1" applyBorder="1"/>
    <xf numFmtId="168" fontId="5" fillId="39" borderId="11" xfId="0" applyNumberFormat="1" applyFont="1" applyFill="1" applyBorder="1"/>
    <xf numFmtId="0" fontId="5" fillId="39" borderId="2" xfId="0" applyFont="1" applyFill="1" applyBorder="1" applyAlignment="1">
      <alignment horizontal="right"/>
    </xf>
    <xf numFmtId="0" fontId="5" fillId="39" borderId="5" xfId="0" applyFont="1" applyFill="1" applyBorder="1" applyAlignment="1">
      <alignment horizontal="right"/>
    </xf>
    <xf numFmtId="0" fontId="5" fillId="38" borderId="14" xfId="0" applyFont="1" applyFill="1" applyBorder="1" applyAlignment="1">
      <alignment horizontal="center"/>
    </xf>
    <xf numFmtId="170" fontId="5" fillId="38" borderId="20" xfId="0" applyNumberFormat="1" applyFont="1" applyFill="1" applyBorder="1" applyAlignment="1">
      <alignment horizontal="center"/>
    </xf>
    <xf numFmtId="0" fontId="5" fillId="38" borderId="52" xfId="0" applyFont="1" applyFill="1" applyBorder="1" applyAlignment="1">
      <alignment horizontal="center"/>
    </xf>
    <xf numFmtId="168" fontId="5" fillId="41" borderId="24" xfId="0" applyNumberFormat="1" applyFont="1" applyFill="1" applyBorder="1"/>
    <xf numFmtId="168" fontId="5" fillId="41" borderId="36" xfId="0" applyNumberFormat="1" applyFont="1" applyFill="1" applyBorder="1"/>
    <xf numFmtId="168" fontId="5" fillId="41" borderId="27" xfId="0" applyNumberFormat="1" applyFont="1" applyFill="1" applyBorder="1"/>
    <xf numFmtId="168" fontId="5" fillId="41" borderId="51" xfId="0" applyNumberFormat="1" applyFont="1" applyFill="1" applyBorder="1"/>
    <xf numFmtId="168" fontId="5" fillId="41" borderId="49" xfId="0" applyNumberFormat="1" applyFont="1" applyFill="1" applyBorder="1"/>
    <xf numFmtId="168" fontId="5" fillId="41" borderId="53" xfId="0" applyNumberFormat="1" applyFont="1" applyFill="1" applyBorder="1"/>
    <xf numFmtId="168" fontId="5" fillId="41" borderId="12" xfId="0" applyNumberFormat="1" applyFont="1" applyFill="1" applyBorder="1"/>
    <xf numFmtId="170" fontId="4" fillId="39" borderId="38" xfId="0" applyNumberFormat="1" applyFont="1" applyFill="1" applyBorder="1" applyAlignment="1">
      <alignment horizontal="left"/>
    </xf>
    <xf numFmtId="0" fontId="4" fillId="39" borderId="3" xfId="0" applyFont="1" applyFill="1" applyBorder="1" applyAlignment="1">
      <alignment horizontal="right" indent="1"/>
    </xf>
    <xf numFmtId="0" fontId="0" fillId="21" borderId="0" xfId="0" applyFill="1"/>
    <xf numFmtId="0" fontId="5" fillId="21" borderId="0" xfId="0" applyFont="1" applyFill="1"/>
    <xf numFmtId="0" fontId="17" fillId="21" borderId="0" xfId="0" applyFont="1" applyFill="1"/>
    <xf numFmtId="0" fontId="20" fillId="44" borderId="9" xfId="0" applyFont="1" applyFill="1" applyBorder="1" applyAlignment="1">
      <alignment vertical="top"/>
    </xf>
    <xf numFmtId="0" fontId="20" fillId="44" borderId="10" xfId="0" applyFont="1" applyFill="1" applyBorder="1" applyAlignment="1">
      <alignment vertical="top"/>
    </xf>
    <xf numFmtId="0" fontId="20" fillId="44" borderId="11" xfId="0" applyFont="1" applyFill="1" applyBorder="1" applyAlignment="1">
      <alignment vertical="top"/>
    </xf>
    <xf numFmtId="0" fontId="26" fillId="21" borderId="0" xfId="0" applyFont="1" applyFill="1"/>
    <xf numFmtId="0" fontId="28" fillId="3" borderId="1" xfId="0" applyFont="1" applyFill="1" applyBorder="1" applyAlignment="1">
      <alignment horizontal="right"/>
    </xf>
    <xf numFmtId="0" fontId="28" fillId="3" borderId="2" xfId="0" applyFont="1" applyFill="1" applyBorder="1"/>
    <xf numFmtId="0" fontId="28" fillId="3" borderId="3" xfId="0" applyFont="1" applyFill="1" applyBorder="1"/>
    <xf numFmtId="0" fontId="28" fillId="3" borderId="4" xfId="0" applyFont="1" applyFill="1" applyBorder="1" applyAlignment="1">
      <alignment horizontal="right"/>
    </xf>
    <xf numFmtId="0" fontId="28" fillId="3" borderId="0" xfId="0" applyFont="1" applyFill="1"/>
    <xf numFmtId="0" fontId="28" fillId="3" borderId="38" xfId="0" applyFont="1" applyFill="1" applyBorder="1"/>
    <xf numFmtId="0" fontId="28" fillId="3" borderId="5" xfId="0" applyFont="1" applyFill="1" applyBorder="1"/>
    <xf numFmtId="0" fontId="28" fillId="49" borderId="130" xfId="0" applyFont="1" applyFill="1" applyBorder="1" applyAlignment="1">
      <alignment horizontal="center" vertical="center" wrapText="1"/>
    </xf>
    <xf numFmtId="0" fontId="28" fillId="3" borderId="23" xfId="0" applyFont="1" applyFill="1" applyBorder="1" applyAlignment="1">
      <alignment horizontal="center" vertical="center" wrapText="1"/>
    </xf>
    <xf numFmtId="0" fontId="28" fillId="49" borderId="14" xfId="0" applyFont="1" applyFill="1" applyBorder="1" applyAlignment="1">
      <alignment horizontal="center" vertical="center" wrapText="1"/>
    </xf>
    <xf numFmtId="0" fontId="28" fillId="49" borderId="22" xfId="0" applyFont="1" applyFill="1" applyBorder="1" applyAlignment="1">
      <alignment horizontal="center" vertical="center" wrapText="1"/>
    </xf>
    <xf numFmtId="0" fontId="28" fillId="49" borderId="63" xfId="0" applyFont="1" applyFill="1" applyBorder="1" applyAlignment="1">
      <alignment horizontal="center" vertical="center" wrapText="1"/>
    </xf>
    <xf numFmtId="0" fontId="30" fillId="37" borderId="58" xfId="0" applyFont="1" applyFill="1" applyBorder="1" applyAlignment="1">
      <alignment horizontal="center" wrapText="1"/>
    </xf>
    <xf numFmtId="0" fontId="30" fillId="3" borderId="23" xfId="0" applyFont="1" applyFill="1" applyBorder="1" applyAlignment="1">
      <alignment horizontal="center" wrapText="1"/>
    </xf>
    <xf numFmtId="0" fontId="30" fillId="3" borderId="30" xfId="0" applyFont="1" applyFill="1" applyBorder="1" applyAlignment="1">
      <alignment horizontal="center" wrapText="1"/>
    </xf>
    <xf numFmtId="168" fontId="38" fillId="25" borderId="137" xfId="0" applyNumberFormat="1" applyFont="1" applyFill="1" applyBorder="1"/>
    <xf numFmtId="0" fontId="30" fillId="37" borderId="58" xfId="0" applyFont="1" applyFill="1" applyBorder="1" applyAlignment="1">
      <alignment horizontal="center"/>
    </xf>
    <xf numFmtId="168" fontId="38" fillId="25" borderId="143" xfId="0" applyNumberFormat="1" applyFont="1" applyFill="1" applyBorder="1"/>
    <xf numFmtId="168" fontId="38" fillId="25" borderId="159" xfId="0" applyNumberFormat="1" applyFont="1" applyFill="1" applyBorder="1"/>
    <xf numFmtId="168" fontId="38" fillId="25" borderId="158" xfId="0" applyNumberFormat="1" applyFont="1" applyFill="1" applyBorder="1"/>
    <xf numFmtId="0" fontId="26" fillId="27" borderId="4" xfId="0" applyFont="1" applyFill="1" applyBorder="1" applyAlignment="1">
      <alignment horizontal="right" indent="1"/>
    </xf>
    <xf numFmtId="168" fontId="38" fillId="47" borderId="148" xfId="0" applyNumberFormat="1" applyFont="1" applyFill="1" applyBorder="1"/>
    <xf numFmtId="185" fontId="38" fillId="47" borderId="148" xfId="0" applyNumberFormat="1" applyFont="1" applyFill="1" applyBorder="1"/>
    <xf numFmtId="168" fontId="38" fillId="47" borderId="156" xfId="0" applyNumberFormat="1" applyFont="1" applyFill="1" applyBorder="1"/>
    <xf numFmtId="168" fontId="38" fillId="47" borderId="135" xfId="0" applyNumberFormat="1" applyFont="1" applyFill="1" applyBorder="1"/>
    <xf numFmtId="168" fontId="38" fillId="47" borderId="141" xfId="0" applyNumberFormat="1" applyFont="1" applyFill="1" applyBorder="1"/>
    <xf numFmtId="168" fontId="38" fillId="47" borderId="144" xfId="0" applyNumberFormat="1" applyFont="1" applyFill="1" applyBorder="1"/>
    <xf numFmtId="168" fontId="38" fillId="47" borderId="38" xfId="0" applyNumberFormat="1" applyFont="1" applyFill="1" applyBorder="1"/>
    <xf numFmtId="168" fontId="38" fillId="27" borderId="157" xfId="0" applyNumberFormat="1" applyFont="1" applyFill="1" applyBorder="1"/>
    <xf numFmtId="0" fontId="26" fillId="27" borderId="0" xfId="0" applyFont="1" applyFill="1"/>
    <xf numFmtId="0" fontId="28" fillId="3" borderId="26" xfId="0" applyFont="1" applyFill="1" applyBorder="1"/>
    <xf numFmtId="0" fontId="28" fillId="3" borderId="4" xfId="0" applyFont="1" applyFill="1" applyBorder="1"/>
    <xf numFmtId="0" fontId="28" fillId="3" borderId="0" xfId="0" applyFont="1" applyFill="1" applyAlignment="1">
      <alignment horizontal="right" indent="1"/>
    </xf>
    <xf numFmtId="0" fontId="28" fillId="3" borderId="6" xfId="0" applyFont="1" applyFill="1" applyBorder="1"/>
    <xf numFmtId="0" fontId="28" fillId="3" borderId="7" xfId="0" applyFont="1" applyFill="1" applyBorder="1"/>
    <xf numFmtId="0" fontId="28" fillId="3" borderId="8" xfId="0" applyFont="1" applyFill="1" applyBorder="1"/>
    <xf numFmtId="0" fontId="26" fillId="0" borderId="132" xfId="0" applyFont="1" applyBorder="1" applyAlignment="1" applyProtection="1">
      <alignment horizontal="left" indent="1"/>
      <protection locked="0"/>
    </xf>
    <xf numFmtId="168" fontId="38" fillId="0" borderId="145" xfId="0" applyNumberFormat="1" applyFont="1" applyBorder="1" applyProtection="1">
      <protection locked="0"/>
    </xf>
    <xf numFmtId="168" fontId="38" fillId="0" borderId="146" xfId="0" applyNumberFormat="1" applyFont="1" applyBorder="1" applyProtection="1">
      <protection locked="0"/>
    </xf>
    <xf numFmtId="168" fontId="38" fillId="0" borderId="147" xfId="0" applyNumberFormat="1" applyFont="1" applyBorder="1" applyProtection="1">
      <protection locked="0"/>
    </xf>
    <xf numFmtId="168" fontId="38" fillId="0" borderId="153" xfId="0" applyNumberFormat="1" applyFont="1" applyBorder="1" applyProtection="1">
      <protection locked="0"/>
    </xf>
    <xf numFmtId="168" fontId="38" fillId="0" borderId="133" xfId="0" applyNumberFormat="1" applyFont="1" applyBorder="1" applyProtection="1">
      <protection locked="0"/>
    </xf>
    <xf numFmtId="168" fontId="38" fillId="0" borderId="138" xfId="0" applyNumberFormat="1" applyFont="1" applyBorder="1" applyProtection="1">
      <protection locked="0"/>
    </xf>
    <xf numFmtId="168" fontId="38" fillId="0" borderId="154" xfId="0" applyNumberFormat="1" applyFont="1" applyBorder="1" applyProtection="1">
      <protection locked="0"/>
    </xf>
    <xf numFmtId="168" fontId="38" fillId="0" borderId="134" xfId="0" applyNumberFormat="1" applyFont="1" applyBorder="1" applyProtection="1">
      <protection locked="0"/>
    </xf>
    <xf numFmtId="168" fontId="38" fillId="0" borderId="139" xfId="0" applyNumberFormat="1" applyFont="1" applyBorder="1" applyProtection="1">
      <protection locked="0"/>
    </xf>
    <xf numFmtId="168" fontId="38" fillId="0" borderId="155" xfId="0" applyNumberFormat="1" applyFont="1" applyBorder="1" applyProtection="1">
      <protection locked="0"/>
    </xf>
    <xf numFmtId="168" fontId="38" fillId="0" borderId="136" xfId="0" applyNumberFormat="1" applyFont="1" applyBorder="1" applyProtection="1">
      <protection locked="0"/>
    </xf>
    <xf numFmtId="168" fontId="38" fillId="0" borderId="140" xfId="0" applyNumberFormat="1" applyFont="1" applyBorder="1" applyProtection="1">
      <protection locked="0"/>
    </xf>
    <xf numFmtId="168" fontId="38" fillId="0" borderId="120" xfId="0" applyNumberFormat="1" applyFont="1" applyBorder="1" applyProtection="1">
      <protection locked="0"/>
    </xf>
    <xf numFmtId="168" fontId="38" fillId="0" borderId="19" xfId="0" applyNumberFormat="1" applyFont="1" applyBorder="1" applyProtection="1">
      <protection locked="0"/>
    </xf>
    <xf numFmtId="168" fontId="38" fillId="0" borderId="142" xfId="0" applyNumberFormat="1" applyFont="1" applyBorder="1" applyProtection="1">
      <protection locked="0"/>
    </xf>
    <xf numFmtId="0" fontId="30" fillId="45" borderId="14" xfId="0" applyFont="1" applyFill="1" applyBorder="1" applyAlignment="1" applyProtection="1">
      <alignment horizontal="center"/>
      <protection locked="0"/>
    </xf>
    <xf numFmtId="168" fontId="38" fillId="47" borderId="160" xfId="0" applyNumberFormat="1" applyFont="1" applyFill="1" applyBorder="1" applyProtection="1">
      <protection locked="0"/>
    </xf>
    <xf numFmtId="168" fontId="38" fillId="47" borderId="144" xfId="0" applyNumberFormat="1" applyFont="1" applyFill="1" applyBorder="1" applyProtection="1">
      <protection locked="0"/>
    </xf>
    <xf numFmtId="0" fontId="3" fillId="44" borderId="9" xfId="0" applyFont="1" applyFill="1" applyBorder="1" applyAlignment="1">
      <alignment vertical="top"/>
    </xf>
    <xf numFmtId="0" fontId="3" fillId="44" borderId="10" xfId="0" applyFont="1" applyFill="1" applyBorder="1" applyAlignment="1">
      <alignment vertical="top"/>
    </xf>
    <xf numFmtId="0" fontId="3" fillId="44" borderId="11" xfId="0" applyFont="1" applyFill="1" applyBorder="1" applyAlignment="1">
      <alignment vertical="top"/>
    </xf>
    <xf numFmtId="0" fontId="3" fillId="46" borderId="9" xfId="0" applyFont="1" applyFill="1" applyBorder="1" applyAlignment="1">
      <alignment vertical="top"/>
    </xf>
    <xf numFmtId="0" fontId="3" fillId="46" borderId="10" xfId="0" applyFont="1" applyFill="1" applyBorder="1" applyAlignment="1">
      <alignment vertical="top"/>
    </xf>
    <xf numFmtId="181" fontId="5" fillId="0" borderId="129" xfId="0" applyNumberFormat="1" applyFont="1" applyBorder="1" applyAlignment="1">
      <alignment horizontal="center"/>
    </xf>
    <xf numFmtId="0" fontId="5" fillId="46" borderId="10" xfId="0" applyFont="1" applyFill="1" applyBorder="1"/>
    <xf numFmtId="0" fontId="3" fillId="46" borderId="11" xfId="0" applyFont="1" applyFill="1" applyBorder="1" applyAlignment="1">
      <alignment vertical="top"/>
    </xf>
    <xf numFmtId="0" fontId="5" fillId="3" borderId="1" xfId="0" applyFont="1" applyFill="1" applyBorder="1"/>
    <xf numFmtId="0" fontId="5" fillId="3" borderId="2" xfId="0" applyFont="1" applyFill="1" applyBorder="1" applyAlignment="1">
      <alignment horizontal="right" indent="1"/>
    </xf>
    <xf numFmtId="168" fontId="5" fillId="0" borderId="128" xfId="0" applyNumberFormat="1" applyFont="1" applyBorder="1"/>
    <xf numFmtId="0" fontId="5" fillId="3" borderId="2" xfId="0" applyFont="1" applyFill="1" applyBorder="1"/>
    <xf numFmtId="0" fontId="5" fillId="3" borderId="3" xfId="0" applyFont="1" applyFill="1" applyBorder="1"/>
    <xf numFmtId="0" fontId="5" fillId="3" borderId="0" xfId="0" applyFont="1" applyFill="1" applyAlignment="1">
      <alignment horizontal="right" indent="1"/>
    </xf>
    <xf numFmtId="168" fontId="5" fillId="0" borderId="60" xfId="0" applyNumberFormat="1" applyFont="1" applyBorder="1"/>
    <xf numFmtId="0" fontId="5" fillId="3" borderId="25" xfId="0" applyFont="1" applyFill="1" applyBorder="1"/>
    <xf numFmtId="0" fontId="5" fillId="3" borderId="38" xfId="0" applyFont="1" applyFill="1" applyBorder="1" applyAlignment="1">
      <alignment horizontal="right" indent="1"/>
    </xf>
    <xf numFmtId="168" fontId="5" fillId="13" borderId="24" xfId="0" applyNumberFormat="1" applyFont="1" applyFill="1" applyBorder="1"/>
    <xf numFmtId="0" fontId="5" fillId="3" borderId="38" xfId="0" applyFont="1" applyFill="1" applyBorder="1"/>
    <xf numFmtId="0" fontId="5" fillId="3" borderId="27" xfId="0" applyFont="1" applyFill="1" applyBorder="1"/>
    <xf numFmtId="0" fontId="5" fillId="3" borderId="46" xfId="0" applyFont="1" applyFill="1" applyBorder="1"/>
    <xf numFmtId="0" fontId="5" fillId="3" borderId="26" xfId="0" applyFont="1" applyFill="1" applyBorder="1" applyAlignment="1">
      <alignment horizontal="right" indent="1"/>
    </xf>
    <xf numFmtId="168" fontId="5" fillId="0" borderId="57" xfId="0" applyNumberFormat="1" applyFont="1" applyBorder="1"/>
    <xf numFmtId="0" fontId="5" fillId="3" borderId="26" xfId="0" applyFont="1" applyFill="1" applyBorder="1"/>
    <xf numFmtId="0" fontId="5" fillId="3" borderId="67" xfId="0" applyFont="1" applyFill="1" applyBorder="1"/>
    <xf numFmtId="0" fontId="5" fillId="3" borderId="7" xfId="0" applyFont="1" applyFill="1" applyBorder="1" applyAlignment="1">
      <alignment horizontal="right" indent="1"/>
    </xf>
    <xf numFmtId="168" fontId="5" fillId="13" borderId="48" xfId="0" applyNumberFormat="1" applyFont="1" applyFill="1" applyBorder="1"/>
    <xf numFmtId="0" fontId="3" fillId="36" borderId="7" xfId="0" applyFont="1" applyFill="1" applyBorder="1" applyAlignment="1">
      <alignment vertical="top"/>
    </xf>
    <xf numFmtId="0" fontId="11" fillId="25" borderId="125" xfId="0" applyFont="1" applyFill="1" applyBorder="1" applyAlignment="1">
      <alignment horizontal="center"/>
    </xf>
    <xf numFmtId="0" fontId="4" fillId="3" borderId="4" xfId="0" applyFont="1" applyFill="1" applyBorder="1" applyAlignment="1">
      <alignment horizontal="right"/>
    </xf>
    <xf numFmtId="0" fontId="0" fillId="27" borderId="0" xfId="0" applyFill="1"/>
    <xf numFmtId="0" fontId="4" fillId="3" borderId="0" xfId="0" applyFont="1" applyFill="1" applyAlignment="1">
      <alignment horizontal="center"/>
    </xf>
    <xf numFmtId="0" fontId="4" fillId="3" borderId="5" xfId="0" applyFont="1" applyFill="1" applyBorder="1" applyAlignment="1">
      <alignment horizontal="center"/>
    </xf>
    <xf numFmtId="0" fontId="5" fillId="3" borderId="4" xfId="0" applyFont="1" applyFill="1" applyBorder="1" applyAlignment="1">
      <alignment horizontal="left" indent="1"/>
    </xf>
    <xf numFmtId="0" fontId="5" fillId="3" borderId="0" xfId="0" applyFont="1" applyFill="1" applyAlignment="1">
      <alignment horizontal="center"/>
    </xf>
    <xf numFmtId="182" fontId="5" fillId="3" borderId="0" xfId="0" applyNumberFormat="1" applyFont="1" applyFill="1" applyAlignment="1">
      <alignment horizontal="center"/>
    </xf>
    <xf numFmtId="182" fontId="5" fillId="3" borderId="5" xfId="0" applyNumberFormat="1" applyFont="1" applyFill="1" applyBorder="1"/>
    <xf numFmtId="182" fontId="4" fillId="3" borderId="0" xfId="0" applyNumberFormat="1" applyFont="1" applyFill="1"/>
    <xf numFmtId="0" fontId="4" fillId="3" borderId="4" xfId="0" applyFont="1" applyFill="1" applyBorder="1"/>
    <xf numFmtId="0" fontId="4" fillId="3" borderId="0" xfId="0" applyFont="1" applyFill="1"/>
    <xf numFmtId="164" fontId="12" fillId="3" borderId="0" xfId="0" applyNumberFormat="1" applyFont="1" applyFill="1"/>
    <xf numFmtId="170" fontId="12" fillId="3" borderId="0" xfId="0" applyNumberFormat="1" applyFont="1" applyFill="1"/>
    <xf numFmtId="168" fontId="25" fillId="3" borderId="0" xfId="0" applyNumberFormat="1" applyFont="1" applyFill="1"/>
    <xf numFmtId="170" fontId="12" fillId="3" borderId="5" xfId="0" applyNumberFormat="1" applyFont="1" applyFill="1" applyBorder="1"/>
    <xf numFmtId="170" fontId="5" fillId="3" borderId="23" xfId="0" applyNumberFormat="1" applyFont="1" applyFill="1" applyBorder="1" applyAlignment="1">
      <alignment horizontal="left"/>
    </xf>
    <xf numFmtId="170" fontId="5" fillId="3" borderId="58" xfId="0" applyNumberFormat="1" applyFont="1" applyFill="1" applyBorder="1" applyAlignment="1">
      <alignment horizontal="left"/>
    </xf>
    <xf numFmtId="168" fontId="4" fillId="13" borderId="14" xfId="0" applyNumberFormat="1" applyFont="1" applyFill="1" applyBorder="1"/>
    <xf numFmtId="0" fontId="4" fillId="3" borderId="0" xfId="0" applyFont="1" applyFill="1" applyAlignment="1">
      <alignment horizontal="right" indent="1"/>
    </xf>
    <xf numFmtId="178" fontId="4" fillId="3" borderId="0" xfId="0" applyNumberFormat="1" applyFont="1" applyFill="1"/>
    <xf numFmtId="170" fontId="4" fillId="3" borderId="0" xfId="0" applyNumberFormat="1" applyFont="1" applyFill="1" applyAlignment="1">
      <alignment horizontal="left"/>
    </xf>
    <xf numFmtId="170" fontId="4" fillId="3" borderId="58" xfId="0" applyNumberFormat="1" applyFont="1" applyFill="1" applyBorder="1" applyAlignment="1">
      <alignment horizontal="left"/>
    </xf>
    <xf numFmtId="170" fontId="4" fillId="3" borderId="5" xfId="0" applyNumberFormat="1" applyFont="1" applyFill="1" applyBorder="1" applyAlignment="1">
      <alignment horizontal="left"/>
    </xf>
    <xf numFmtId="170" fontId="5" fillId="3" borderId="0" xfId="0" applyNumberFormat="1" applyFont="1" applyFill="1" applyAlignment="1">
      <alignment horizontal="right" indent="1"/>
    </xf>
    <xf numFmtId="170" fontId="5" fillId="3" borderId="5" xfId="0" applyNumberFormat="1" applyFont="1" applyFill="1" applyBorder="1" applyAlignment="1">
      <alignment horizontal="left"/>
    </xf>
    <xf numFmtId="178" fontId="5" fillId="3" borderId="0" xfId="0" applyNumberFormat="1" applyFont="1" applyFill="1"/>
    <xf numFmtId="170" fontId="5" fillId="3" borderId="0" xfId="0" applyNumberFormat="1" applyFont="1" applyFill="1"/>
    <xf numFmtId="170" fontId="5" fillId="3" borderId="5" xfId="0" applyNumberFormat="1" applyFont="1" applyFill="1" applyBorder="1"/>
    <xf numFmtId="0" fontId="4" fillId="3" borderId="0" xfId="0" applyFont="1" applyFill="1" applyAlignment="1">
      <alignment horizontal="right" vertical="center" indent="1"/>
    </xf>
    <xf numFmtId="0" fontId="5" fillId="3" borderId="0" xfId="0" applyFont="1" applyFill="1" applyAlignment="1">
      <alignment horizontal="right" vertical="center" indent="1"/>
    </xf>
    <xf numFmtId="3" fontId="5" fillId="3" borderId="0" xfId="0" applyNumberFormat="1" applyFont="1" applyFill="1" applyAlignment="1">
      <alignment horizontal="right" vertical="center" indent="1"/>
    </xf>
    <xf numFmtId="168" fontId="5" fillId="13" borderId="14" xfId="0" applyNumberFormat="1" applyFont="1" applyFill="1" applyBorder="1" applyAlignment="1">
      <alignment horizontal="right" vertical="center"/>
    </xf>
    <xf numFmtId="3" fontId="5" fillId="3" borderId="0" xfId="0" applyNumberFormat="1" applyFont="1" applyFill="1" applyAlignment="1">
      <alignment horizontal="right" vertical="center"/>
    </xf>
    <xf numFmtId="168" fontId="5" fillId="13" borderId="14" xfId="0" applyNumberFormat="1" applyFont="1" applyFill="1" applyBorder="1"/>
    <xf numFmtId="173" fontId="5" fillId="13" borderId="14" xfId="0" applyNumberFormat="1" applyFont="1" applyFill="1" applyBorder="1"/>
    <xf numFmtId="0" fontId="2" fillId="21" borderId="10" xfId="0" applyFont="1" applyFill="1" applyBorder="1" applyAlignment="1">
      <alignment horizontal="center"/>
    </xf>
    <xf numFmtId="0" fontId="2" fillId="21" borderId="10" xfId="0" applyFont="1" applyFill="1" applyBorder="1"/>
    <xf numFmtId="0" fontId="4" fillId="37" borderId="4" xfId="0" applyFont="1" applyFill="1" applyBorder="1" applyAlignment="1">
      <alignment horizontal="right"/>
    </xf>
    <xf numFmtId="164" fontId="25" fillId="3" borderId="0" xfId="0" applyNumberFormat="1" applyFont="1" applyFill="1"/>
    <xf numFmtId="170" fontId="25" fillId="3" borderId="0" xfId="0" applyNumberFormat="1" applyFont="1" applyFill="1"/>
    <xf numFmtId="0" fontId="5" fillId="45" borderId="8" xfId="0" applyFont="1" applyFill="1" applyBorder="1" applyAlignment="1" applyProtection="1">
      <alignment horizontal="center" vertical="center"/>
      <protection locked="0"/>
    </xf>
    <xf numFmtId="181" fontId="5" fillId="0" borderId="14" xfId="0" applyNumberFormat="1" applyFont="1" applyBorder="1" applyAlignment="1" applyProtection="1">
      <alignment horizontal="center"/>
      <protection locked="0"/>
    </xf>
    <xf numFmtId="169" fontId="5" fillId="0" borderId="24" xfId="0" applyNumberFormat="1" applyFont="1" applyBorder="1" applyAlignment="1" applyProtection="1">
      <alignment horizontal="center"/>
      <protection locked="0"/>
    </xf>
    <xf numFmtId="182" fontId="5" fillId="45" borderId="14" xfId="0" applyNumberFormat="1" applyFont="1" applyFill="1" applyBorder="1" applyAlignment="1" applyProtection="1">
      <alignment horizontal="center"/>
      <protection locked="0"/>
    </xf>
    <xf numFmtId="168" fontId="5" fillId="0" borderId="57" xfId="0" applyNumberFormat="1" applyFont="1" applyBorder="1" applyProtection="1">
      <protection locked="0"/>
    </xf>
    <xf numFmtId="168" fontId="5" fillId="0" borderId="60" xfId="0" applyNumberFormat="1" applyFont="1" applyBorder="1" applyProtection="1">
      <protection locked="0"/>
    </xf>
    <xf numFmtId="168" fontId="5" fillId="0" borderId="59" xfId="0" applyNumberFormat="1" applyFont="1" applyBorder="1" applyProtection="1">
      <protection locked="0"/>
    </xf>
    <xf numFmtId="0" fontId="5" fillId="3" borderId="0" xfId="0" applyFont="1" applyFill="1" applyAlignment="1" applyProtection="1">
      <alignment horizontal="right" indent="1"/>
      <protection locked="0"/>
    </xf>
    <xf numFmtId="49" fontId="5" fillId="3" borderId="0" xfId="0" applyNumberFormat="1" applyFont="1" applyFill="1" applyAlignment="1" applyProtection="1">
      <alignment horizontal="right" indent="1"/>
      <protection locked="0"/>
    </xf>
    <xf numFmtId="168" fontId="5" fillId="0" borderId="14" xfId="0" applyNumberFormat="1" applyFont="1" applyBorder="1" applyProtection="1">
      <protection locked="0"/>
    </xf>
    <xf numFmtId="0" fontId="26" fillId="0" borderId="0" xfId="0" applyFont="1"/>
    <xf numFmtId="0" fontId="33" fillId="0" borderId="0" xfId="0" applyFont="1"/>
    <xf numFmtId="0" fontId="28" fillId="0" borderId="7" xfId="0" applyFont="1" applyBorder="1" applyAlignment="1">
      <alignment horizontal="left"/>
    </xf>
    <xf numFmtId="0" fontId="28" fillId="0" borderId="7" xfId="0" applyFont="1" applyBorder="1" applyAlignment="1">
      <alignment horizontal="right"/>
    </xf>
    <xf numFmtId="0" fontId="28" fillId="0" borderId="10" xfId="0" applyFont="1" applyBorder="1" applyAlignment="1">
      <alignment horizontal="right"/>
    </xf>
    <xf numFmtId="0" fontId="29" fillId="3" borderId="4" xfId="0" applyFont="1" applyFill="1" applyBorder="1" applyAlignment="1">
      <alignment horizontal="center" vertical="top"/>
    </xf>
    <xf numFmtId="0" fontId="29" fillId="3" borderId="0" xfId="0" applyFont="1" applyFill="1" applyAlignment="1">
      <alignment horizontal="center" vertical="top"/>
    </xf>
    <xf numFmtId="0" fontId="30" fillId="3" borderId="4" xfId="0" applyFont="1" applyFill="1" applyBorder="1"/>
    <xf numFmtId="0" fontId="30" fillId="3" borderId="0" xfId="0" applyFont="1" applyFill="1"/>
    <xf numFmtId="0" fontId="30" fillId="3" borderId="0" xfId="0" applyFont="1" applyFill="1" applyAlignment="1">
      <alignment horizontal="center"/>
    </xf>
    <xf numFmtId="0" fontId="30" fillId="3" borderId="0" xfId="0" applyFont="1" applyFill="1" applyAlignment="1">
      <alignment horizontal="right"/>
    </xf>
    <xf numFmtId="0" fontId="30" fillId="3" borderId="6" xfId="0" applyFont="1" applyFill="1" applyBorder="1"/>
    <xf numFmtId="0" fontId="28" fillId="3" borderId="7" xfId="0" applyFont="1" applyFill="1" applyBorder="1" applyAlignment="1">
      <alignment horizontal="center"/>
    </xf>
    <xf numFmtId="0" fontId="31" fillId="5" borderId="0" xfId="0" applyFont="1" applyFill="1" applyAlignment="1">
      <alignment horizontal="center" vertical="top"/>
    </xf>
    <xf numFmtId="44" fontId="26" fillId="0" borderId="0" xfId="0" applyNumberFormat="1" applyFont="1"/>
    <xf numFmtId="0" fontId="20" fillId="36" borderId="0" xfId="0" applyFont="1" applyFill="1" applyAlignment="1">
      <alignment vertical="top"/>
    </xf>
    <xf numFmtId="0" fontId="28" fillId="5" borderId="0" xfId="0" applyFont="1" applyFill="1"/>
    <xf numFmtId="0" fontId="45" fillId="3" borderId="0" xfId="0" applyFont="1" applyFill="1" applyAlignment="1">
      <alignment horizontal="center"/>
    </xf>
    <xf numFmtId="0" fontId="45" fillId="3" borderId="0" xfId="0" applyFont="1" applyFill="1" applyAlignment="1">
      <alignment horizontal="center" vertical="top"/>
    </xf>
    <xf numFmtId="0" fontId="45" fillId="3" borderId="2" xfId="0" applyFont="1" applyFill="1" applyBorder="1" applyAlignment="1">
      <alignment horizontal="center"/>
    </xf>
    <xf numFmtId="0" fontId="44" fillId="3" borderId="3" xfId="0" applyFont="1" applyFill="1" applyBorder="1" applyAlignment="1">
      <alignment horizontal="center" vertical="top"/>
    </xf>
    <xf numFmtId="0" fontId="29" fillId="36" borderId="0" xfId="0" applyFont="1" applyFill="1" applyAlignment="1">
      <alignment horizontal="center" vertical="top"/>
    </xf>
    <xf numFmtId="0" fontId="28" fillId="5" borderId="0" xfId="0" applyFont="1" applyFill="1" applyAlignment="1">
      <alignment horizontal="left" indent="1"/>
    </xf>
    <xf numFmtId="0" fontId="34" fillId="43" borderId="14" xfId="0" applyFont="1" applyFill="1" applyBorder="1" applyAlignment="1">
      <alignment horizontal="center"/>
    </xf>
    <xf numFmtId="0" fontId="29" fillId="3" borderId="5" xfId="0" applyFont="1" applyFill="1" applyBorder="1" applyAlignment="1">
      <alignment horizontal="center" vertical="top"/>
    </xf>
    <xf numFmtId="0" fontId="28" fillId="36" borderId="0" xfId="0" applyFont="1" applyFill="1"/>
    <xf numFmtId="0" fontId="28" fillId="42" borderId="14" xfId="0" applyFont="1" applyFill="1" applyBorder="1" applyAlignment="1">
      <alignment horizontal="center" vertical="top"/>
    </xf>
    <xf numFmtId="171" fontId="28" fillId="42" borderId="14" xfId="0" applyNumberFormat="1" applyFont="1" applyFill="1" applyBorder="1" applyAlignment="1">
      <alignment horizontal="center"/>
    </xf>
    <xf numFmtId="170" fontId="28" fillId="9" borderId="22" xfId="0" applyNumberFormat="1" applyFont="1" applyFill="1" applyBorder="1" applyAlignment="1">
      <alignment horizontal="center"/>
    </xf>
    <xf numFmtId="165" fontId="28" fillId="3" borderId="5" xfId="0" applyNumberFormat="1" applyFont="1" applyFill="1" applyBorder="1" applyAlignment="1">
      <alignment horizontal="center"/>
    </xf>
    <xf numFmtId="0" fontId="28" fillId="5" borderId="4" xfId="0" applyFont="1" applyFill="1" applyBorder="1" applyAlignment="1">
      <alignment horizontal="left" indent="1"/>
    </xf>
    <xf numFmtId="170" fontId="28" fillId="9" borderId="23" xfId="0" applyNumberFormat="1" applyFont="1" applyFill="1" applyBorder="1" applyAlignment="1">
      <alignment horizontal="center"/>
    </xf>
    <xf numFmtId="165" fontId="28" fillId="42" borderId="14" xfId="0" applyNumberFormat="1" applyFont="1" applyFill="1" applyBorder="1" applyAlignment="1">
      <alignment horizontal="center"/>
    </xf>
    <xf numFmtId="0" fontId="28" fillId="9" borderId="23" xfId="0" applyFont="1" applyFill="1" applyBorder="1" applyAlignment="1">
      <alignment horizontal="center"/>
    </xf>
    <xf numFmtId="174" fontId="28" fillId="5" borderId="4" xfId="0" applyNumberFormat="1" applyFont="1" applyFill="1" applyBorder="1" applyAlignment="1">
      <alignment horizontal="left" indent="1"/>
    </xf>
    <xf numFmtId="174" fontId="28" fillId="5" borderId="0" xfId="0" applyNumberFormat="1" applyFont="1" applyFill="1" applyAlignment="1">
      <alignment horizontal="left" indent="1"/>
    </xf>
    <xf numFmtId="0" fontId="28" fillId="3" borderId="37" xfId="0" applyFont="1" applyFill="1" applyBorder="1" applyAlignment="1">
      <alignment horizontal="right" indent="1"/>
    </xf>
    <xf numFmtId="0" fontId="28" fillId="9" borderId="23" xfId="0" applyFont="1" applyFill="1" applyBorder="1"/>
    <xf numFmtId="175" fontId="28" fillId="42" borderId="14" xfId="0" applyNumberFormat="1" applyFont="1" applyFill="1" applyBorder="1" applyAlignment="1">
      <alignment horizontal="center"/>
    </xf>
    <xf numFmtId="174" fontId="28" fillId="42" borderId="14" xfId="0" applyNumberFormat="1" applyFont="1" applyFill="1" applyBorder="1" applyAlignment="1">
      <alignment horizontal="center"/>
    </xf>
    <xf numFmtId="0" fontId="28" fillId="9" borderId="24" xfId="0" applyFont="1" applyFill="1" applyBorder="1"/>
    <xf numFmtId="0" fontId="28" fillId="36" borderId="0" xfId="0" applyFont="1" applyFill="1" applyAlignment="1">
      <alignment horizontal="right"/>
    </xf>
    <xf numFmtId="175" fontId="28" fillId="3" borderId="0" xfId="0" applyNumberFormat="1" applyFont="1" applyFill="1" applyAlignment="1">
      <alignment horizontal="right"/>
    </xf>
    <xf numFmtId="0" fontId="28" fillId="0" borderId="0" xfId="0" applyFont="1" applyAlignment="1">
      <alignment horizontal="right"/>
    </xf>
    <xf numFmtId="167" fontId="28" fillId="5" borderId="4" xfId="0" applyNumberFormat="1" applyFont="1" applyFill="1" applyBorder="1"/>
    <xf numFmtId="167" fontId="28" fillId="5" borderId="0" xfId="0" applyNumberFormat="1" applyFont="1" applyFill="1"/>
    <xf numFmtId="175" fontId="28" fillId="3" borderId="37" xfId="0" applyNumberFormat="1" applyFont="1" applyFill="1" applyBorder="1" applyAlignment="1">
      <alignment horizontal="right" indent="1"/>
    </xf>
    <xf numFmtId="0" fontId="37" fillId="5" borderId="4" xfId="0" applyFont="1" applyFill="1" applyBorder="1"/>
    <xf numFmtId="0" fontId="37" fillId="5" borderId="0" xfId="0" applyFont="1" applyFill="1"/>
    <xf numFmtId="175" fontId="28" fillId="3" borderId="0" xfId="0" applyNumberFormat="1" applyFont="1" applyFill="1" applyAlignment="1">
      <alignment horizontal="right" indent="1"/>
    </xf>
    <xf numFmtId="0" fontId="37" fillId="5" borderId="0" xfId="0" applyFont="1" applyFill="1" applyAlignment="1">
      <alignment horizontal="center"/>
    </xf>
    <xf numFmtId="0" fontId="28" fillId="3" borderId="4" xfId="0" applyFont="1" applyFill="1" applyBorder="1" applyAlignment="1">
      <alignment horizontal="right" indent="1"/>
    </xf>
    <xf numFmtId="0" fontId="28" fillId="0" borderId="0" xfId="0" applyFont="1"/>
    <xf numFmtId="0" fontId="28" fillId="3" borderId="7" xfId="0" applyFont="1" applyFill="1" applyBorder="1" applyAlignment="1">
      <alignment horizontal="right"/>
    </xf>
    <xf numFmtId="0" fontId="28" fillId="3" borderId="8" xfId="0" applyFont="1" applyFill="1" applyBorder="1" applyAlignment="1">
      <alignment horizontal="right"/>
    </xf>
    <xf numFmtId="0" fontId="28" fillId="0" borderId="0" xfId="0" applyFont="1" applyAlignment="1">
      <alignment horizontal="left" indent="1"/>
    </xf>
    <xf numFmtId="0" fontId="28" fillId="5" borderId="0" xfId="0" applyFont="1" applyFill="1" applyAlignment="1">
      <alignment horizontal="center"/>
    </xf>
    <xf numFmtId="0" fontId="28" fillId="3" borderId="21" xfId="0" applyFont="1" applyFill="1" applyBorder="1" applyAlignment="1">
      <alignment vertical="top"/>
    </xf>
    <xf numFmtId="0" fontId="30" fillId="38" borderId="14" xfId="0" applyFont="1" applyFill="1" applyBorder="1" applyAlignment="1">
      <alignment horizontal="center" vertical="center"/>
    </xf>
    <xf numFmtId="0" fontId="30" fillId="38" borderId="14" xfId="0" applyFont="1" applyFill="1" applyBorder="1" applyAlignment="1">
      <alignment horizontal="center" vertical="center" wrapText="1"/>
    </xf>
    <xf numFmtId="0" fontId="30" fillId="3" borderId="25" xfId="0" applyFont="1" applyFill="1" applyBorder="1" applyAlignment="1">
      <alignment vertical="top"/>
    </xf>
    <xf numFmtId="0" fontId="30" fillId="3" borderId="26" xfId="0" applyFont="1" applyFill="1" applyBorder="1" applyAlignment="1">
      <alignment vertical="top"/>
    </xf>
    <xf numFmtId="0" fontId="28" fillId="3" borderId="13" xfId="0" applyFont="1" applyFill="1" applyBorder="1" applyAlignment="1">
      <alignment horizontal="right" vertical="top" indent="1"/>
    </xf>
    <xf numFmtId="167" fontId="28" fillId="5" borderId="4" xfId="0" applyNumberFormat="1" applyFont="1" applyFill="1" applyBorder="1" applyAlignment="1">
      <alignment horizontal="left" indent="1"/>
    </xf>
    <xf numFmtId="0" fontId="37" fillId="5" borderId="0" xfId="0" applyFont="1" applyFill="1" applyAlignment="1">
      <alignment horizontal="left" indent="1"/>
    </xf>
    <xf numFmtId="170" fontId="32" fillId="38" borderId="44" xfId="0" applyNumberFormat="1" applyFont="1" applyFill="1" applyBorder="1" applyAlignment="1">
      <alignment horizontal="center"/>
    </xf>
    <xf numFmtId="0" fontId="28" fillId="3" borderId="58" xfId="0" applyFont="1" applyFill="1" applyBorder="1" applyAlignment="1">
      <alignment horizontal="right"/>
    </xf>
    <xf numFmtId="165" fontId="32" fillId="38" borderId="44" xfId="0" applyNumberFormat="1" applyFont="1" applyFill="1" applyBorder="1" applyAlignment="1">
      <alignment horizontal="center"/>
    </xf>
    <xf numFmtId="168" fontId="32" fillId="38" borderId="70" xfId="0" applyNumberFormat="1" applyFont="1" applyFill="1" applyBorder="1" applyAlignment="1">
      <alignment horizontal="center"/>
    </xf>
    <xf numFmtId="0" fontId="28" fillId="3" borderId="13" xfId="0" applyFont="1" applyFill="1" applyBorder="1" applyAlignment="1">
      <alignment horizontal="right" indent="1"/>
    </xf>
    <xf numFmtId="168" fontId="32" fillId="38" borderId="20" xfId="0" applyNumberFormat="1" applyFont="1" applyFill="1" applyBorder="1" applyAlignment="1">
      <alignment horizontal="center"/>
    </xf>
    <xf numFmtId="0" fontId="28" fillId="3" borderId="31" xfId="0" applyFont="1" applyFill="1" applyBorder="1" applyAlignment="1">
      <alignment horizontal="right" indent="1"/>
    </xf>
    <xf numFmtId="168" fontId="32" fillId="38" borderId="49" xfId="0" applyNumberFormat="1" applyFont="1" applyFill="1" applyBorder="1" applyAlignment="1">
      <alignment horizontal="center"/>
    </xf>
    <xf numFmtId="0" fontId="28" fillId="3" borderId="31" xfId="0" applyFont="1" applyFill="1" applyBorder="1"/>
    <xf numFmtId="168" fontId="28" fillId="42" borderId="16" xfId="0" applyNumberFormat="1" applyFont="1" applyFill="1" applyBorder="1"/>
    <xf numFmtId="168" fontId="28" fillId="42" borderId="14" xfId="0" applyNumberFormat="1" applyFont="1" applyFill="1" applyBorder="1"/>
    <xf numFmtId="165" fontId="32" fillId="38" borderId="24" xfId="0" applyNumberFormat="1" applyFont="1" applyFill="1" applyBorder="1" applyAlignment="1">
      <alignment horizontal="center"/>
    </xf>
    <xf numFmtId="168" fontId="32" fillId="38" borderId="58" xfId="0" applyNumberFormat="1" applyFont="1" applyFill="1" applyBorder="1" applyAlignment="1">
      <alignment horizontal="center"/>
    </xf>
    <xf numFmtId="170" fontId="28" fillId="3" borderId="16" xfId="0" applyNumberFormat="1" applyFont="1" applyFill="1" applyBorder="1" applyAlignment="1">
      <alignment vertical="top"/>
    </xf>
    <xf numFmtId="170" fontId="28" fillId="3" borderId="14" xfId="0" applyNumberFormat="1" applyFont="1" applyFill="1" applyBorder="1" applyAlignment="1">
      <alignment vertical="top"/>
    </xf>
    <xf numFmtId="168" fontId="32" fillId="37" borderId="12" xfId="0" applyNumberFormat="1" applyFont="1" applyFill="1" applyBorder="1"/>
    <xf numFmtId="0" fontId="28" fillId="0" borderId="2" xfId="0" applyFont="1" applyBorder="1"/>
    <xf numFmtId="0" fontId="28" fillId="3" borderId="1" xfId="0" applyFont="1" applyFill="1" applyBorder="1"/>
    <xf numFmtId="0" fontId="28" fillId="3" borderId="0" xfId="0" applyFont="1" applyFill="1" applyAlignment="1">
      <alignment horizontal="center"/>
    </xf>
    <xf numFmtId="172" fontId="28" fillId="38" borderId="14" xfId="0" applyNumberFormat="1" applyFont="1" applyFill="1" applyBorder="1"/>
    <xf numFmtId="0" fontId="28" fillId="3" borderId="5" xfId="0" applyFont="1" applyFill="1" applyBorder="1" applyAlignment="1">
      <alignment horizontal="right"/>
    </xf>
    <xf numFmtId="0" fontId="28" fillId="3" borderId="21" xfId="0" applyFont="1" applyFill="1" applyBorder="1" applyAlignment="1">
      <alignment horizontal="right" indent="1"/>
    </xf>
    <xf numFmtId="0" fontId="28" fillId="3" borderId="0" xfId="0" applyFont="1" applyFill="1" applyAlignment="1">
      <alignment horizontal="right"/>
    </xf>
    <xf numFmtId="0" fontId="28" fillId="0" borderId="7" xfId="0" applyFont="1" applyBorder="1"/>
    <xf numFmtId="0" fontId="30" fillId="0" borderId="0" xfId="0" applyFont="1"/>
    <xf numFmtId="178" fontId="28" fillId="0" borderId="0" xfId="0" applyNumberFormat="1" applyFont="1"/>
    <xf numFmtId="0" fontId="28" fillId="12" borderId="54" xfId="0" applyFont="1" applyFill="1" applyBorder="1"/>
    <xf numFmtId="0" fontId="28" fillId="12" borderId="55" xfId="0" applyFont="1" applyFill="1" applyBorder="1"/>
    <xf numFmtId="0" fontId="28" fillId="12" borderId="0" xfId="0" applyFont="1" applyFill="1"/>
    <xf numFmtId="0" fontId="28" fillId="12" borderId="56" xfId="0" applyFont="1" applyFill="1" applyBorder="1"/>
    <xf numFmtId="0" fontId="30" fillId="37" borderId="4" xfId="0" applyFont="1" applyFill="1" applyBorder="1" applyAlignment="1">
      <alignment horizontal="right"/>
    </xf>
    <xf numFmtId="0" fontId="28" fillId="3" borderId="4" xfId="0" applyFont="1" applyFill="1" applyBorder="1" applyAlignment="1">
      <alignment horizontal="left" indent="1"/>
    </xf>
    <xf numFmtId="181" fontId="28" fillId="0" borderId="14" xfId="0" applyNumberFormat="1" applyFont="1" applyBorder="1" applyAlignment="1">
      <alignment horizontal="center"/>
    </xf>
    <xf numFmtId="181" fontId="28" fillId="0" borderId="22" xfId="0" applyNumberFormat="1" applyFont="1" applyBorder="1" applyAlignment="1">
      <alignment horizontal="center"/>
    </xf>
    <xf numFmtId="169" fontId="28" fillId="0" borderId="24" xfId="0" applyNumberFormat="1" applyFont="1" applyBorder="1" applyAlignment="1">
      <alignment horizontal="center"/>
    </xf>
    <xf numFmtId="182" fontId="28" fillId="3" borderId="0" xfId="0" applyNumberFormat="1" applyFont="1" applyFill="1" applyAlignment="1">
      <alignment horizontal="center"/>
    </xf>
    <xf numFmtId="182" fontId="28" fillId="3" borderId="0" xfId="0" applyNumberFormat="1" applyFont="1" applyFill="1"/>
    <xf numFmtId="182" fontId="28" fillId="3" borderId="5" xfId="0" applyNumberFormat="1" applyFont="1" applyFill="1" applyBorder="1"/>
    <xf numFmtId="182" fontId="30" fillId="3" borderId="0" xfId="0" applyNumberFormat="1" applyFont="1" applyFill="1"/>
    <xf numFmtId="0" fontId="39" fillId="3" borderId="0" xfId="0" applyFont="1" applyFill="1"/>
    <xf numFmtId="168" fontId="40" fillId="3" borderId="0" xfId="0" applyNumberFormat="1" applyFont="1" applyFill="1"/>
    <xf numFmtId="170" fontId="39" fillId="3" borderId="0" xfId="0" applyNumberFormat="1" applyFont="1" applyFill="1"/>
    <xf numFmtId="170" fontId="39" fillId="3" borderId="5" xfId="0" applyNumberFormat="1" applyFont="1" applyFill="1" applyBorder="1"/>
    <xf numFmtId="170" fontId="28" fillId="3" borderId="23" xfId="0" applyNumberFormat="1" applyFont="1" applyFill="1" applyBorder="1" applyAlignment="1">
      <alignment horizontal="left" indent="2"/>
    </xf>
    <xf numFmtId="170" fontId="28" fillId="3" borderId="30" xfId="0" applyNumberFormat="1" applyFont="1" applyFill="1" applyBorder="1" applyAlignment="1">
      <alignment horizontal="left" indent="2"/>
    </xf>
    <xf numFmtId="170" fontId="28" fillId="3" borderId="5" xfId="0" applyNumberFormat="1" applyFont="1" applyFill="1" applyBorder="1"/>
    <xf numFmtId="0" fontId="30" fillId="12" borderId="0" xfId="0" applyFont="1" applyFill="1" applyAlignment="1">
      <alignment horizontal="right" indent="1"/>
    </xf>
    <xf numFmtId="170" fontId="28" fillId="12" borderId="0" xfId="0" applyNumberFormat="1" applyFont="1" applyFill="1" applyAlignment="1">
      <alignment horizontal="left" indent="2"/>
    </xf>
    <xf numFmtId="168" fontId="30" fillId="13" borderId="14" xfId="0" applyNumberFormat="1" applyFont="1" applyFill="1" applyBorder="1"/>
    <xf numFmtId="0" fontId="30" fillId="3" borderId="0" xfId="0" applyFont="1" applyFill="1" applyAlignment="1">
      <alignment horizontal="right" indent="1"/>
    </xf>
    <xf numFmtId="178" fontId="30" fillId="3" borderId="26" xfId="0" applyNumberFormat="1" applyFont="1" applyFill="1" applyBorder="1"/>
    <xf numFmtId="170" fontId="30" fillId="3" borderId="0" xfId="0" applyNumberFormat="1" applyFont="1" applyFill="1" applyAlignment="1">
      <alignment horizontal="left" indent="2"/>
    </xf>
    <xf numFmtId="170" fontId="30" fillId="3" borderId="5" xfId="0" applyNumberFormat="1" applyFont="1" applyFill="1" applyBorder="1"/>
    <xf numFmtId="178" fontId="30" fillId="12" borderId="26" xfId="0" applyNumberFormat="1" applyFont="1" applyFill="1" applyBorder="1"/>
    <xf numFmtId="0" fontId="28" fillId="12" borderId="0" xfId="0" applyFont="1" applyFill="1" applyAlignment="1">
      <alignment horizontal="right" indent="1"/>
    </xf>
    <xf numFmtId="0" fontId="28" fillId="27" borderId="37" xfId="0" applyFont="1" applyFill="1" applyBorder="1" applyAlignment="1">
      <alignment horizontal="right" indent="1"/>
    </xf>
    <xf numFmtId="178" fontId="30" fillId="3" borderId="0" xfId="0" applyNumberFormat="1" applyFont="1" applyFill="1"/>
    <xf numFmtId="170" fontId="30" fillId="3" borderId="30" xfId="0" applyNumberFormat="1" applyFont="1" applyFill="1" applyBorder="1" applyAlignment="1">
      <alignment horizontal="left" indent="2"/>
    </xf>
    <xf numFmtId="178" fontId="30" fillId="12" borderId="0" xfId="0" applyNumberFormat="1" applyFont="1" applyFill="1"/>
    <xf numFmtId="178" fontId="30" fillId="12" borderId="19" xfId="0" applyNumberFormat="1" applyFont="1" applyFill="1" applyBorder="1"/>
    <xf numFmtId="170" fontId="28" fillId="3" borderId="0" xfId="0" applyNumberFormat="1" applyFont="1" applyFill="1" applyAlignment="1">
      <alignment horizontal="right" indent="1"/>
    </xf>
    <xf numFmtId="170" fontId="28" fillId="12" borderId="0" xfId="0" applyNumberFormat="1" applyFont="1" applyFill="1" applyAlignment="1">
      <alignment horizontal="right" indent="1"/>
    </xf>
    <xf numFmtId="178" fontId="28" fillId="12" borderId="0" xfId="0" applyNumberFormat="1" applyFont="1" applyFill="1"/>
    <xf numFmtId="178" fontId="28" fillId="3" borderId="0" xfId="0" applyNumberFormat="1" applyFont="1" applyFill="1"/>
    <xf numFmtId="170" fontId="28" fillId="3" borderId="0" xfId="0" applyNumberFormat="1" applyFont="1" applyFill="1"/>
    <xf numFmtId="0" fontId="30" fillId="3" borderId="0" xfId="0" applyFont="1" applyFill="1" applyAlignment="1">
      <alignment horizontal="right" vertical="center" indent="1"/>
    </xf>
    <xf numFmtId="0" fontId="30" fillId="12" borderId="0" xfId="0" applyFont="1" applyFill="1" applyAlignment="1">
      <alignment horizontal="right" vertical="center" indent="1"/>
    </xf>
    <xf numFmtId="0" fontId="28" fillId="3" borderId="0" xfId="0" applyFont="1" applyFill="1" applyAlignment="1">
      <alignment horizontal="right" vertical="center" indent="1"/>
    </xf>
    <xf numFmtId="0" fontId="28" fillId="12" borderId="0" xfId="0" applyFont="1" applyFill="1" applyAlignment="1">
      <alignment horizontal="right" vertical="center" indent="1"/>
    </xf>
    <xf numFmtId="3" fontId="28" fillId="3" borderId="0" xfId="0" applyNumberFormat="1" applyFont="1" applyFill="1" applyAlignment="1">
      <alignment horizontal="right" vertical="center" indent="1"/>
    </xf>
    <xf numFmtId="3" fontId="28" fillId="12" borderId="0" xfId="0" applyNumberFormat="1" applyFont="1" applyFill="1" applyAlignment="1">
      <alignment horizontal="right" vertical="center" indent="1"/>
    </xf>
    <xf numFmtId="49" fontId="28" fillId="12" borderId="0" xfId="0" applyNumberFormat="1" applyFont="1" applyFill="1" applyAlignment="1">
      <alignment horizontal="right" indent="1"/>
    </xf>
    <xf numFmtId="3" fontId="28" fillId="3" borderId="0" xfId="0" applyNumberFormat="1" applyFont="1" applyFill="1" applyAlignment="1">
      <alignment horizontal="right" vertical="center"/>
    </xf>
    <xf numFmtId="3" fontId="28" fillId="12" borderId="0" xfId="0" applyNumberFormat="1" applyFont="1" applyFill="1" applyAlignment="1">
      <alignment horizontal="right" vertical="center"/>
    </xf>
    <xf numFmtId="168" fontId="28" fillId="13" borderId="14" xfId="0" applyNumberFormat="1" applyFont="1" applyFill="1" applyBorder="1" applyAlignment="1">
      <alignment horizontal="right" vertical="center"/>
    </xf>
    <xf numFmtId="168" fontId="28" fillId="13" borderId="14" xfId="0" applyNumberFormat="1" applyFont="1" applyFill="1" applyBorder="1"/>
    <xf numFmtId="42" fontId="28" fillId="13" borderId="14" xfId="0" applyNumberFormat="1" applyFont="1" applyFill="1" applyBorder="1"/>
    <xf numFmtId="173" fontId="28" fillId="13" borderId="14" xfId="0" applyNumberFormat="1" applyFont="1" applyFill="1" applyBorder="1"/>
    <xf numFmtId="173" fontId="28" fillId="3" borderId="7" xfId="0" applyNumberFormat="1" applyFont="1" applyFill="1" applyBorder="1"/>
    <xf numFmtId="0" fontId="28" fillId="12" borderId="61" xfId="0" applyFont="1" applyFill="1" applyBorder="1"/>
    <xf numFmtId="0" fontId="28" fillId="12" borderId="62" xfId="0" applyFont="1" applyFill="1" applyBorder="1"/>
    <xf numFmtId="0" fontId="38" fillId="0" borderId="2" xfId="0" applyFont="1" applyBorder="1" applyAlignment="1">
      <alignment horizontal="right"/>
    </xf>
    <xf numFmtId="173" fontId="28" fillId="0" borderId="2" xfId="0" applyNumberFormat="1" applyFont="1" applyBorder="1"/>
    <xf numFmtId="0" fontId="28" fillId="3" borderId="2" xfId="0" applyFont="1" applyFill="1" applyBorder="1" applyAlignment="1">
      <alignment horizontal="right"/>
    </xf>
    <xf numFmtId="173" fontId="28" fillId="3" borderId="2" xfId="0" applyNumberFormat="1" applyFont="1" applyFill="1" applyBorder="1"/>
    <xf numFmtId="176" fontId="28" fillId="3" borderId="0" xfId="0" applyNumberFormat="1" applyFont="1" applyFill="1"/>
    <xf numFmtId="173" fontId="28" fillId="3" borderId="0" xfId="0" applyNumberFormat="1" applyFont="1" applyFill="1"/>
    <xf numFmtId="0" fontId="28" fillId="3" borderId="6" xfId="0" applyFont="1" applyFill="1" applyBorder="1" applyAlignment="1">
      <alignment horizontal="center"/>
    </xf>
    <xf numFmtId="0" fontId="41" fillId="11" borderId="1" xfId="0" applyFont="1" applyFill="1" applyBorder="1"/>
    <xf numFmtId="0" fontId="41" fillId="11" borderId="2" xfId="0" applyFont="1" applyFill="1" applyBorder="1"/>
    <xf numFmtId="0" fontId="41" fillId="11" borderId="3" xfId="0" applyFont="1" applyFill="1" applyBorder="1"/>
    <xf numFmtId="0" fontId="41" fillId="11" borderId="0" xfId="0" applyFont="1" applyFill="1"/>
    <xf numFmtId="0" fontId="42" fillId="3" borderId="33" xfId="0" applyFont="1" applyFill="1" applyBorder="1" applyAlignment="1">
      <alignment horizontal="center" wrapText="1"/>
    </xf>
    <xf numFmtId="0" fontId="42" fillId="3" borderId="24" xfId="0" applyFont="1" applyFill="1" applyBorder="1" applyAlignment="1">
      <alignment horizontal="center" wrapText="1"/>
    </xf>
    <xf numFmtId="0" fontId="42" fillId="3" borderId="35" xfId="0" applyFont="1" applyFill="1" applyBorder="1" applyAlignment="1">
      <alignment horizontal="center" wrapText="1"/>
    </xf>
    <xf numFmtId="0" fontId="42" fillId="3" borderId="46" xfId="0" applyFont="1" applyFill="1" applyBorder="1" applyAlignment="1">
      <alignment horizontal="center"/>
    </xf>
    <xf numFmtId="0" fontId="42" fillId="3" borderId="0" xfId="0" applyFont="1" applyFill="1"/>
    <xf numFmtId="0" fontId="43" fillId="3" borderId="22" xfId="0" applyFont="1" applyFill="1" applyBorder="1" applyAlignment="1">
      <alignment horizontal="right" wrapText="1"/>
    </xf>
    <xf numFmtId="0" fontId="38" fillId="3" borderId="4" xfId="0" applyFont="1" applyFill="1" applyBorder="1"/>
    <xf numFmtId="0" fontId="38" fillId="3" borderId="0" xfId="0" applyFont="1" applyFill="1"/>
    <xf numFmtId="0" fontId="38" fillId="3" borderId="0" xfId="0" applyFont="1" applyFill="1" applyAlignment="1">
      <alignment wrapText="1"/>
    </xf>
    <xf numFmtId="0" fontId="43" fillId="3" borderId="0" xfId="0" applyFont="1" applyFill="1" applyAlignment="1">
      <alignment wrapText="1"/>
    </xf>
    <xf numFmtId="0" fontId="38" fillId="3" borderId="6" xfId="0" applyFont="1" applyFill="1" applyBorder="1"/>
    <xf numFmtId="0" fontId="38" fillId="3" borderId="7" xfId="0" applyFont="1" applyFill="1" applyBorder="1"/>
    <xf numFmtId="0" fontId="38" fillId="3" borderId="7" xfId="0" applyFont="1" applyFill="1" applyBorder="1" applyAlignment="1">
      <alignment horizontal="left" wrapText="1"/>
    </xf>
    <xf numFmtId="0" fontId="43" fillId="3" borderId="7" xfId="0" applyFont="1" applyFill="1" applyBorder="1" applyAlignment="1">
      <alignment wrapText="1"/>
    </xf>
    <xf numFmtId="0" fontId="30" fillId="45" borderId="14" xfId="0" applyFont="1" applyFill="1" applyBorder="1" applyAlignment="1" applyProtection="1">
      <alignment horizontal="center" vertical="top" wrapText="1"/>
      <protection locked="0"/>
    </xf>
    <xf numFmtId="0" fontId="28" fillId="45" borderId="14" xfId="0" applyFont="1" applyFill="1" applyBorder="1" applyAlignment="1" applyProtection="1">
      <alignment horizontal="center" vertical="top"/>
      <protection locked="0"/>
    </xf>
    <xf numFmtId="165" fontId="28" fillId="0" borderId="14" xfId="0" applyNumberFormat="1" applyFont="1" applyBorder="1" applyAlignment="1" applyProtection="1">
      <alignment horizontal="center"/>
      <protection locked="0"/>
    </xf>
    <xf numFmtId="173" fontId="28" fillId="45" borderId="14" xfId="0" applyNumberFormat="1" applyFont="1" applyFill="1" applyBorder="1" applyAlignment="1" applyProtection="1">
      <alignment horizontal="center" vertical="center"/>
      <protection locked="0"/>
    </xf>
    <xf numFmtId="169" fontId="28" fillId="0" borderId="14" xfId="0" applyNumberFormat="1" applyFont="1" applyBorder="1" applyAlignment="1" applyProtection="1">
      <alignment horizontal="center"/>
      <protection locked="0"/>
    </xf>
    <xf numFmtId="170" fontId="35" fillId="0" borderId="14" xfId="0" applyNumberFormat="1" applyFont="1" applyBorder="1" applyAlignment="1" applyProtection="1">
      <alignment horizontal="center" vertical="top"/>
      <protection locked="0"/>
    </xf>
    <xf numFmtId="170" fontId="35" fillId="0" borderId="24" xfId="0" applyNumberFormat="1" applyFont="1" applyBorder="1" applyAlignment="1" applyProtection="1">
      <alignment horizontal="center" vertical="top"/>
      <protection locked="0"/>
    </xf>
    <xf numFmtId="169" fontId="35" fillId="0" borderId="14" xfId="0" applyNumberFormat="1" applyFont="1" applyBorder="1" applyAlignment="1" applyProtection="1">
      <alignment horizontal="center"/>
      <protection locked="0"/>
    </xf>
    <xf numFmtId="168" fontId="32" fillId="7" borderId="14" xfId="0" applyNumberFormat="1" applyFont="1" applyFill="1" applyBorder="1" applyProtection="1">
      <protection locked="0"/>
    </xf>
    <xf numFmtId="169" fontId="32" fillId="0" borderId="14" xfId="0" applyNumberFormat="1" applyFont="1" applyBorder="1" applyAlignment="1" applyProtection="1">
      <alignment horizontal="center"/>
      <protection locked="0"/>
    </xf>
    <xf numFmtId="168" fontId="32" fillId="0" borderId="20" xfId="0" applyNumberFormat="1" applyFont="1" applyBorder="1" applyProtection="1">
      <protection locked="0"/>
    </xf>
    <xf numFmtId="0" fontId="32" fillId="7" borderId="14" xfId="0" applyFont="1" applyFill="1" applyBorder="1" applyAlignment="1" applyProtection="1">
      <alignment horizontal="center"/>
      <protection locked="0"/>
    </xf>
    <xf numFmtId="168" fontId="32" fillId="7" borderId="44" xfId="0" applyNumberFormat="1" applyFont="1" applyFill="1" applyBorder="1" applyAlignment="1" applyProtection="1">
      <alignment horizontal="center"/>
      <protection locked="0"/>
    </xf>
    <xf numFmtId="168" fontId="32" fillId="7" borderId="14" xfId="0" applyNumberFormat="1" applyFont="1" applyFill="1" applyBorder="1" applyAlignment="1" applyProtection="1">
      <alignment horizontal="center"/>
      <protection locked="0"/>
    </xf>
    <xf numFmtId="170" fontId="32" fillId="7" borderId="14" xfId="0" applyNumberFormat="1" applyFont="1" applyFill="1" applyBorder="1" applyAlignment="1" applyProtection="1">
      <alignment horizontal="center"/>
      <protection locked="0"/>
    </xf>
    <xf numFmtId="168" fontId="32" fillId="7" borderId="20" xfId="0" applyNumberFormat="1" applyFont="1" applyFill="1" applyBorder="1" applyAlignment="1" applyProtection="1">
      <alignment horizontal="center"/>
      <protection locked="0"/>
    </xf>
    <xf numFmtId="165" fontId="35" fillId="7" borderId="22" xfId="0" applyNumberFormat="1" applyFont="1" applyFill="1" applyBorder="1" applyAlignment="1" applyProtection="1">
      <alignment horizontal="center"/>
      <protection locked="0"/>
    </xf>
    <xf numFmtId="165" fontId="32" fillId="7" borderId="14" xfId="0" applyNumberFormat="1" applyFont="1" applyFill="1" applyBorder="1" applyAlignment="1" applyProtection="1">
      <alignment horizontal="center"/>
      <protection locked="0"/>
    </xf>
    <xf numFmtId="165" fontId="32" fillId="7" borderId="51" xfId="0" applyNumberFormat="1" applyFont="1" applyFill="1" applyBorder="1" applyAlignment="1" applyProtection="1">
      <alignment horizontal="center"/>
      <protection locked="0"/>
    </xf>
    <xf numFmtId="168" fontId="28" fillId="0" borderId="16" xfId="0" applyNumberFormat="1" applyFont="1" applyBorder="1" applyAlignment="1" applyProtection="1">
      <alignment vertical="top"/>
      <protection locked="0"/>
    </xf>
    <xf numFmtId="168" fontId="28" fillId="36" borderId="14" xfId="0" applyNumberFormat="1" applyFont="1" applyFill="1" applyBorder="1" applyAlignment="1" applyProtection="1">
      <alignment vertical="top"/>
      <protection locked="0"/>
    </xf>
    <xf numFmtId="168" fontId="28" fillId="0" borderId="14" xfId="0" applyNumberFormat="1" applyFont="1" applyBorder="1" applyAlignment="1" applyProtection="1">
      <alignment vertical="top"/>
      <protection locked="0"/>
    </xf>
    <xf numFmtId="168" fontId="28" fillId="29" borderId="16" xfId="0" applyNumberFormat="1" applyFont="1" applyFill="1" applyBorder="1" applyAlignment="1" applyProtection="1">
      <alignment vertical="top"/>
      <protection locked="0"/>
    </xf>
    <xf numFmtId="168" fontId="28" fillId="39" borderId="14" xfId="0" applyNumberFormat="1" applyFont="1" applyFill="1" applyBorder="1" applyAlignment="1" applyProtection="1">
      <alignment vertical="top"/>
      <protection locked="0"/>
    </xf>
    <xf numFmtId="168" fontId="28" fillId="39" borderId="16" xfId="0" applyNumberFormat="1" applyFont="1" applyFill="1" applyBorder="1" applyAlignment="1" applyProtection="1">
      <alignment vertical="top"/>
      <protection locked="0"/>
    </xf>
    <xf numFmtId="168" fontId="28" fillId="29" borderId="14" xfId="0" applyNumberFormat="1" applyFont="1" applyFill="1" applyBorder="1" applyAlignment="1" applyProtection="1">
      <alignment vertical="top"/>
      <protection locked="0"/>
    </xf>
    <xf numFmtId="168" fontId="28" fillId="38" borderId="14" xfId="0" applyNumberFormat="1" applyFont="1" applyFill="1" applyBorder="1"/>
    <xf numFmtId="0" fontId="30" fillId="3" borderId="13" xfId="0" applyFont="1" applyFill="1" applyBorder="1" applyAlignment="1">
      <alignment horizontal="right" indent="1"/>
    </xf>
    <xf numFmtId="0" fontId="28" fillId="0" borderId="14" xfId="0" applyFont="1" applyBorder="1" applyAlignment="1" applyProtection="1">
      <alignment horizontal="center" vertical="top"/>
      <protection locked="0"/>
    </xf>
    <xf numFmtId="172" fontId="28" fillId="0" borderId="14" xfId="0" applyNumberFormat="1" applyFont="1" applyBorder="1" applyProtection="1">
      <protection locked="0"/>
    </xf>
    <xf numFmtId="172" fontId="28" fillId="25" borderId="14" xfId="0" applyNumberFormat="1" applyFont="1" applyFill="1" applyBorder="1"/>
    <xf numFmtId="0" fontId="30" fillId="44" borderId="28" xfId="0" applyFont="1" applyFill="1" applyBorder="1"/>
    <xf numFmtId="0" fontId="30" fillId="44" borderId="152" xfId="0" applyFont="1" applyFill="1" applyBorder="1"/>
    <xf numFmtId="168" fontId="30" fillId="44" borderId="8" xfId="0" applyNumberFormat="1" applyFont="1" applyFill="1" applyBorder="1"/>
    <xf numFmtId="168" fontId="30" fillId="44" borderId="7" xfId="0" applyNumberFormat="1" applyFont="1" applyFill="1" applyBorder="1"/>
    <xf numFmtId="168" fontId="30" fillId="44" borderId="29" xfId="0" applyNumberFormat="1" applyFont="1" applyFill="1" applyBorder="1"/>
    <xf numFmtId="168" fontId="30" fillId="44" borderId="40" xfId="0" applyNumberFormat="1" applyFont="1" applyFill="1" applyBorder="1"/>
    <xf numFmtId="0" fontId="30" fillId="44" borderId="162" xfId="0" applyFont="1" applyFill="1" applyBorder="1"/>
    <xf numFmtId="181" fontId="28" fillId="0" borderId="14" xfId="0" applyNumberFormat="1" applyFont="1" applyBorder="1" applyAlignment="1" applyProtection="1">
      <alignment horizontal="center"/>
      <protection locked="0"/>
    </xf>
    <xf numFmtId="169" fontId="28" fillId="0" borderId="24" xfId="0" applyNumberFormat="1" applyFont="1" applyBorder="1" applyAlignment="1" applyProtection="1">
      <alignment horizontal="center"/>
      <protection locked="0"/>
    </xf>
    <xf numFmtId="182" fontId="28" fillId="45" borderId="14" xfId="0" applyNumberFormat="1" applyFont="1" applyFill="1" applyBorder="1" applyAlignment="1" applyProtection="1">
      <alignment horizontal="center"/>
      <protection locked="0"/>
    </xf>
    <xf numFmtId="168" fontId="28" fillId="0" borderId="57" xfId="0" applyNumberFormat="1" applyFont="1" applyBorder="1" applyProtection="1">
      <protection locked="0"/>
    </xf>
    <xf numFmtId="168" fontId="28" fillId="0" borderId="60" xfId="0" applyNumberFormat="1" applyFont="1" applyBorder="1" applyProtection="1">
      <protection locked="0"/>
    </xf>
    <xf numFmtId="182" fontId="28" fillId="4" borderId="22" xfId="0" applyNumberFormat="1" applyFont="1" applyFill="1" applyBorder="1" applyAlignment="1" applyProtection="1">
      <alignment horizontal="center"/>
      <protection locked="0"/>
    </xf>
    <xf numFmtId="0" fontId="28" fillId="4" borderId="24" xfId="0" applyFont="1" applyFill="1" applyBorder="1" applyAlignment="1" applyProtection="1">
      <alignment horizontal="center"/>
      <protection locked="0"/>
    </xf>
    <xf numFmtId="0" fontId="38" fillId="45" borderId="33" xfId="0" applyFont="1" applyFill="1" applyBorder="1" applyAlignment="1" applyProtection="1">
      <alignment horizontal="left" indent="1"/>
      <protection locked="0"/>
    </xf>
    <xf numFmtId="168" fontId="38" fillId="0" borderId="14" xfId="0" applyNumberFormat="1" applyFont="1" applyBorder="1" applyProtection="1">
      <protection locked="0"/>
    </xf>
    <xf numFmtId="170" fontId="38" fillId="0" borderId="14" xfId="0" applyNumberFormat="1" applyFont="1" applyBorder="1" applyAlignment="1" applyProtection="1">
      <alignment horizontal="center"/>
      <protection locked="0"/>
    </xf>
    <xf numFmtId="168" fontId="20" fillId="25" borderId="14" xfId="0" applyNumberFormat="1" applyFont="1" applyFill="1" applyBorder="1" applyAlignment="1">
      <alignment horizontal="right" wrapText="1"/>
    </xf>
    <xf numFmtId="168" fontId="38" fillId="38" borderId="14" xfId="0" applyNumberFormat="1" applyFont="1" applyFill="1" applyBorder="1"/>
    <xf numFmtId="168" fontId="38" fillId="38" borderId="15" xfId="0" applyNumberFormat="1" applyFont="1" applyFill="1" applyBorder="1"/>
    <xf numFmtId="168" fontId="20" fillId="38" borderId="15" xfId="0" applyNumberFormat="1" applyFont="1" applyFill="1" applyBorder="1" applyAlignment="1">
      <alignment horizontal="right" wrapText="1"/>
    </xf>
    <xf numFmtId="168" fontId="20" fillId="38" borderId="14" xfId="0" applyNumberFormat="1" applyFont="1" applyFill="1" applyBorder="1" applyAlignment="1">
      <alignment horizontal="right" wrapText="1"/>
    </xf>
    <xf numFmtId="168" fontId="38" fillId="25" borderId="14" xfId="0" applyNumberFormat="1" applyFont="1" applyFill="1" applyBorder="1" applyAlignment="1" applyProtection="1">
      <alignment horizontal="left" vertical="center" wrapText="1"/>
      <protection locked="0"/>
    </xf>
    <xf numFmtId="168" fontId="38" fillId="25" borderId="14" xfId="0" applyNumberFormat="1" applyFont="1" applyFill="1" applyBorder="1" applyAlignment="1">
      <alignment horizontal="left" vertical="center"/>
    </xf>
    <xf numFmtId="168" fontId="38" fillId="25" borderId="14" xfId="0" applyNumberFormat="1" applyFont="1" applyFill="1" applyBorder="1" applyAlignment="1">
      <alignment horizontal="left" vertical="center" wrapText="1"/>
    </xf>
    <xf numFmtId="170" fontId="38" fillId="25" borderId="14" xfId="0" applyNumberFormat="1" applyFont="1" applyFill="1" applyBorder="1" applyAlignment="1">
      <alignment horizontal="center" wrapText="1"/>
    </xf>
    <xf numFmtId="170" fontId="38" fillId="25" borderId="15" xfId="0" applyNumberFormat="1" applyFont="1" applyFill="1" applyBorder="1" applyAlignment="1">
      <alignment horizontal="center" wrapText="1"/>
    </xf>
    <xf numFmtId="0" fontId="3" fillId="37" borderId="10" xfId="0" applyFont="1" applyFill="1" applyBorder="1" applyAlignment="1">
      <alignment vertical="top"/>
    </xf>
    <xf numFmtId="0" fontId="3" fillId="37" borderId="11" xfId="0" applyFont="1" applyFill="1" applyBorder="1" applyAlignment="1">
      <alignment vertical="top"/>
    </xf>
    <xf numFmtId="0" fontId="5" fillId="37" borderId="9" xfId="0" applyFont="1" applyFill="1" applyBorder="1" applyAlignment="1">
      <alignment vertical="top"/>
    </xf>
    <xf numFmtId="0" fontId="13" fillId="0" borderId="0" xfId="0" applyFont="1"/>
    <xf numFmtId="0" fontId="13" fillId="5" borderId="0" xfId="0" applyFont="1" applyFill="1" applyAlignment="1">
      <alignment horizontal="right"/>
    </xf>
    <xf numFmtId="178" fontId="13" fillId="5" borderId="0" xfId="0" applyNumberFormat="1" applyFont="1" applyFill="1" applyAlignment="1">
      <alignment vertical="top"/>
    </xf>
    <xf numFmtId="0" fontId="24" fillId="21" borderId="0" xfId="0" applyFont="1" applyFill="1"/>
    <xf numFmtId="0" fontId="46" fillId="21" borderId="0" xfId="0" applyFont="1" applyFill="1" applyAlignment="1">
      <alignment horizontal="center"/>
    </xf>
    <xf numFmtId="0" fontId="47" fillId="21" borderId="0" xfId="0" applyFont="1" applyFill="1" applyAlignment="1">
      <alignment horizontal="center"/>
    </xf>
    <xf numFmtId="0" fontId="47" fillId="21" borderId="0" xfId="0" applyFont="1" applyFill="1"/>
    <xf numFmtId="0" fontId="24" fillId="21" borderId="0" xfId="0" applyFont="1" applyFill="1" applyAlignment="1">
      <alignment horizontal="center"/>
    </xf>
    <xf numFmtId="0" fontId="0" fillId="21" borderId="0" xfId="0" applyFill="1" applyAlignment="1">
      <alignment horizontal="center"/>
    </xf>
    <xf numFmtId="0" fontId="16" fillId="21" borderId="0" xfId="0" applyFont="1" applyFill="1" applyAlignment="1">
      <alignment horizontal="center"/>
    </xf>
    <xf numFmtId="49" fontId="2" fillId="21" borderId="0" xfId="0" applyNumberFormat="1" applyFont="1" applyFill="1" applyAlignment="1">
      <alignment horizontal="center"/>
    </xf>
    <xf numFmtId="0" fontId="4" fillId="44" borderId="9" xfId="0" applyFont="1" applyFill="1" applyBorder="1" applyAlignment="1">
      <alignment horizontal="center" vertical="top"/>
    </xf>
    <xf numFmtId="0" fontId="2" fillId="21" borderId="0" xfId="0" applyFont="1" applyFill="1" applyAlignment="1">
      <alignment horizontal="center"/>
    </xf>
    <xf numFmtId="0" fontId="17" fillId="21" borderId="0" xfId="0" applyFont="1" applyFill="1" applyAlignment="1">
      <alignment horizontal="center"/>
    </xf>
    <xf numFmtId="9" fontId="0" fillId="21" borderId="0" xfId="0" applyNumberFormat="1" applyFill="1" applyAlignment="1">
      <alignment horizontal="center"/>
    </xf>
    <xf numFmtId="0" fontId="5" fillId="45" borderId="14" xfId="0" applyFont="1" applyFill="1" applyBorder="1" applyAlignment="1">
      <alignment horizontal="center"/>
    </xf>
    <xf numFmtId="172" fontId="5" fillId="42" borderId="14" xfId="0" applyNumberFormat="1" applyFont="1" applyFill="1" applyBorder="1" applyAlignment="1">
      <alignment horizontal="center"/>
    </xf>
    <xf numFmtId="0" fontId="17" fillId="0" borderId="0" xfId="0" applyFont="1" applyAlignment="1">
      <alignment horizontal="center"/>
    </xf>
    <xf numFmtId="0" fontId="5" fillId="3" borderId="1" xfId="0" applyFont="1" applyFill="1" applyBorder="1" applyAlignment="1">
      <alignment horizontal="center"/>
    </xf>
    <xf numFmtId="0" fontId="10" fillId="21" borderId="0" xfId="0" applyFont="1" applyFill="1"/>
    <xf numFmtId="0" fontId="2" fillId="21" borderId="0" xfId="0" applyFont="1" applyFill="1"/>
    <xf numFmtId="164" fontId="2" fillId="21" borderId="0" xfId="0" applyNumberFormat="1" applyFont="1" applyFill="1" applyAlignment="1">
      <alignment horizontal="center"/>
    </xf>
    <xf numFmtId="170" fontId="2" fillId="21" borderId="0" xfId="0" applyNumberFormat="1" applyFont="1" applyFill="1"/>
    <xf numFmtId="0" fontId="2" fillId="21" borderId="0" xfId="0" applyFont="1" applyFill="1" applyAlignment="1">
      <alignment horizontal="left" vertical="center" indent="2"/>
    </xf>
    <xf numFmtId="0" fontId="30" fillId="3" borderId="5" xfId="0" applyFont="1" applyFill="1" applyBorder="1" applyAlignment="1">
      <alignment horizontal="center"/>
    </xf>
    <xf numFmtId="0" fontId="30" fillId="3" borderId="21" xfId="0" applyFont="1" applyFill="1" applyBorder="1" applyAlignment="1">
      <alignment horizontal="right" indent="1"/>
    </xf>
    <xf numFmtId="0" fontId="30" fillId="52" borderId="1" xfId="0" applyFont="1" applyFill="1" applyBorder="1"/>
    <xf numFmtId="167" fontId="30" fillId="52" borderId="2" xfId="0" applyNumberFormat="1" applyFont="1" applyFill="1" applyBorder="1" applyAlignment="1">
      <alignment horizontal="center"/>
    </xf>
    <xf numFmtId="167" fontId="30" fillId="52" borderId="3" xfId="0" applyNumberFormat="1" applyFont="1" applyFill="1" applyBorder="1" applyAlignment="1">
      <alignment horizontal="center"/>
    </xf>
    <xf numFmtId="0" fontId="28" fillId="52" borderId="4" xfId="0" applyFont="1" applyFill="1" applyBorder="1" applyAlignment="1">
      <alignment horizontal="left" indent="1"/>
    </xf>
    <xf numFmtId="0" fontId="28" fillId="52" borderId="25" xfId="0" applyFont="1" applyFill="1" applyBorder="1" applyAlignment="1">
      <alignment horizontal="left" indent="1"/>
    </xf>
    <xf numFmtId="168" fontId="28" fillId="52" borderId="26" xfId="0" applyNumberFormat="1" applyFont="1" applyFill="1" applyBorder="1"/>
    <xf numFmtId="168" fontId="28" fillId="52" borderId="0" xfId="0" applyNumberFormat="1" applyFont="1" applyFill="1"/>
    <xf numFmtId="168" fontId="28" fillId="52" borderId="27" xfId="0" applyNumberFormat="1" applyFont="1" applyFill="1" applyBorder="1"/>
    <xf numFmtId="167" fontId="30" fillId="52" borderId="65" xfId="0" applyNumberFormat="1" applyFont="1" applyFill="1" applyBorder="1" applyAlignment="1">
      <alignment horizontal="center"/>
    </xf>
    <xf numFmtId="0" fontId="28" fillId="52" borderId="4" xfId="0" applyFont="1" applyFill="1" applyBorder="1" applyAlignment="1">
      <alignment horizontal="right" indent="1"/>
    </xf>
    <xf numFmtId="0" fontId="28" fillId="52" borderId="4" xfId="0" applyFont="1" applyFill="1" applyBorder="1" applyAlignment="1">
      <alignment horizontal="right"/>
    </xf>
    <xf numFmtId="0" fontId="28" fillId="52" borderId="4" xfId="0" applyFont="1" applyFill="1" applyBorder="1"/>
    <xf numFmtId="0" fontId="28" fillId="52" borderId="6" xfId="0" applyFont="1" applyFill="1" applyBorder="1"/>
    <xf numFmtId="0" fontId="28" fillId="52" borderId="0" xfId="0" applyFont="1" applyFill="1" applyAlignment="1">
      <alignment horizontal="right" indent="1"/>
    </xf>
    <xf numFmtId="0" fontId="28" fillId="52" borderId="0" xfId="0" applyFont="1" applyFill="1"/>
    <xf numFmtId="0" fontId="28" fillId="52" borderId="37" xfId="0" applyFont="1" applyFill="1" applyBorder="1" applyAlignment="1">
      <alignment horizontal="right" indent="1"/>
    </xf>
    <xf numFmtId="0" fontId="28" fillId="52" borderId="1" xfId="0" applyFont="1" applyFill="1" applyBorder="1" applyAlignment="1">
      <alignment horizontal="right" indent="1"/>
    </xf>
    <xf numFmtId="0" fontId="28" fillId="52" borderId="19" xfId="0" applyFont="1" applyFill="1" applyBorder="1"/>
    <xf numFmtId="0" fontId="28" fillId="52" borderId="5" xfId="0" applyFont="1" applyFill="1" applyBorder="1"/>
    <xf numFmtId="0" fontId="28" fillId="52" borderId="70" xfId="0" applyFont="1" applyFill="1" applyBorder="1" applyAlignment="1">
      <alignment horizontal="center"/>
    </xf>
    <xf numFmtId="0" fontId="28" fillId="52" borderId="1" xfId="0" applyFont="1" applyFill="1" applyBorder="1"/>
    <xf numFmtId="0" fontId="28" fillId="52" borderId="25" xfId="0" applyFont="1" applyFill="1" applyBorder="1" applyAlignment="1">
      <alignment vertical="top"/>
    </xf>
    <xf numFmtId="0" fontId="28" fillId="52" borderId="13" xfId="0" applyFont="1" applyFill="1" applyBorder="1" applyAlignment="1">
      <alignment horizontal="right" vertical="top" indent="1"/>
    </xf>
    <xf numFmtId="0" fontId="28" fillId="52" borderId="2" xfId="0" applyFont="1" applyFill="1" applyBorder="1"/>
    <xf numFmtId="0" fontId="28" fillId="52" borderId="3" xfId="0" applyFont="1" applyFill="1" applyBorder="1"/>
    <xf numFmtId="0" fontId="26" fillId="54" borderId="0" xfId="0" applyFont="1" applyFill="1"/>
    <xf numFmtId="0" fontId="26" fillId="54" borderId="104" xfId="0" applyFont="1" applyFill="1" applyBorder="1"/>
    <xf numFmtId="0" fontId="28" fillId="52" borderId="58" xfId="0" applyFont="1" applyFill="1" applyBorder="1"/>
    <xf numFmtId="170" fontId="28" fillId="52" borderId="14" xfId="0" applyNumberFormat="1" applyFont="1" applyFill="1" applyBorder="1" applyAlignment="1">
      <alignment horizontal="center" vertical="top"/>
    </xf>
    <xf numFmtId="0" fontId="30" fillId="52" borderId="58" xfId="0" applyFont="1" applyFill="1" applyBorder="1"/>
    <xf numFmtId="0" fontId="28" fillId="52" borderId="7" xfId="0" applyFont="1" applyFill="1" applyBorder="1"/>
    <xf numFmtId="0" fontId="28" fillId="52" borderId="8" xfId="0" applyFont="1" applyFill="1" applyBorder="1"/>
    <xf numFmtId="168" fontId="28" fillId="52" borderId="14" xfId="0" applyNumberFormat="1" applyFont="1" applyFill="1" applyBorder="1" applyAlignment="1">
      <alignment vertical="top"/>
    </xf>
    <xf numFmtId="0" fontId="28" fillId="52" borderId="63" xfId="0" applyFont="1" applyFill="1" applyBorder="1"/>
    <xf numFmtId="0" fontId="20" fillId="44" borderId="114" xfId="0" applyFont="1" applyFill="1" applyBorder="1" applyAlignment="1">
      <alignment vertical="top"/>
    </xf>
    <xf numFmtId="0" fontId="20" fillId="44" borderId="115" xfId="0" applyFont="1" applyFill="1" applyBorder="1" applyAlignment="1">
      <alignment vertical="top"/>
    </xf>
    <xf numFmtId="0" fontId="20" fillId="44" borderId="164" xfId="0" applyFont="1" applyFill="1" applyBorder="1" applyAlignment="1">
      <alignment vertical="top"/>
    </xf>
    <xf numFmtId="0" fontId="30" fillId="3" borderId="4" xfId="0" applyFont="1" applyFill="1" applyBorder="1" applyAlignment="1">
      <alignment horizontal="right" indent="1"/>
    </xf>
    <xf numFmtId="0" fontId="30" fillId="3" borderId="13" xfId="0" applyFont="1" applyFill="1" applyBorder="1" applyAlignment="1">
      <alignment horizontal="center"/>
    </xf>
    <xf numFmtId="0" fontId="30" fillId="3" borderId="14" xfId="0" applyFont="1" applyFill="1" applyBorder="1" applyAlignment="1">
      <alignment horizontal="center"/>
    </xf>
    <xf numFmtId="0" fontId="30" fillId="3" borderId="15" xfId="0" applyFont="1" applyFill="1" applyBorder="1" applyAlignment="1">
      <alignment horizontal="center"/>
    </xf>
    <xf numFmtId="168" fontId="30" fillId="38" borderId="14" xfId="0" applyNumberFormat="1" applyFont="1" applyFill="1" applyBorder="1"/>
    <xf numFmtId="0" fontId="30" fillId="3" borderId="6" xfId="0" applyFont="1" applyFill="1" applyBorder="1" applyAlignment="1">
      <alignment horizontal="right" indent="1"/>
    </xf>
    <xf numFmtId="0" fontId="28" fillId="36" borderId="13" xfId="0" applyFont="1" applyFill="1" applyBorder="1" applyProtection="1">
      <protection locked="0"/>
    </xf>
    <xf numFmtId="168" fontId="28" fillId="36" borderId="14" xfId="0" applyNumberFormat="1" applyFont="1" applyFill="1" applyBorder="1" applyProtection="1">
      <protection locked="0"/>
    </xf>
    <xf numFmtId="0" fontId="28" fillId="45" borderId="15" xfId="0" applyFont="1" applyFill="1" applyBorder="1" applyAlignment="1" applyProtection="1">
      <alignment horizontal="center"/>
      <protection locked="0"/>
    </xf>
    <xf numFmtId="166" fontId="28" fillId="38" borderId="161" xfId="0" applyNumberFormat="1" applyFont="1" applyFill="1" applyBorder="1" applyAlignment="1">
      <alignment horizontal="center"/>
    </xf>
    <xf numFmtId="10" fontId="28" fillId="38" borderId="14" xfId="0" applyNumberFormat="1" applyFont="1" applyFill="1" applyBorder="1" applyAlignment="1" applyProtection="1">
      <alignment horizontal="center"/>
      <protection locked="0"/>
    </xf>
    <xf numFmtId="37" fontId="28" fillId="38" borderId="14" xfId="0" applyNumberFormat="1" applyFont="1" applyFill="1" applyBorder="1" applyAlignment="1" applyProtection="1">
      <alignment horizontal="center"/>
      <protection locked="0"/>
    </xf>
    <xf numFmtId="168" fontId="30" fillId="3" borderId="0" xfId="0" applyNumberFormat="1" applyFont="1" applyFill="1"/>
    <xf numFmtId="0" fontId="26" fillId="56" borderId="0" xfId="0" applyFont="1" applyFill="1"/>
    <xf numFmtId="0" fontId="34" fillId="56" borderId="0" xfId="0" applyFont="1" applyFill="1" applyAlignment="1">
      <alignment horizontal="right" indent="1"/>
    </xf>
    <xf numFmtId="0" fontId="26" fillId="56" borderId="5" xfId="0" applyFont="1" applyFill="1" applyBorder="1"/>
    <xf numFmtId="0" fontId="26" fillId="56" borderId="8" xfId="0" applyFont="1" applyFill="1" applyBorder="1"/>
    <xf numFmtId="0" fontId="26" fillId="56" borderId="7" xfId="0" applyFont="1" applyFill="1" applyBorder="1"/>
    <xf numFmtId="168" fontId="30" fillId="3" borderId="7" xfId="0" applyNumberFormat="1" applyFont="1" applyFill="1" applyBorder="1"/>
    <xf numFmtId="0" fontId="34" fillId="56" borderId="7" xfId="0" applyFont="1" applyFill="1" applyBorder="1" applyAlignment="1">
      <alignment horizontal="right" indent="1"/>
    </xf>
    <xf numFmtId="165" fontId="28" fillId="56" borderId="5" xfId="0" applyNumberFormat="1" applyFont="1" applyFill="1" applyBorder="1" applyAlignment="1">
      <alignment horizontal="center"/>
    </xf>
    <xf numFmtId="172" fontId="28" fillId="56" borderId="0" xfId="0" applyNumberFormat="1" applyFont="1" applyFill="1" applyProtection="1">
      <protection locked="0"/>
    </xf>
    <xf numFmtId="0" fontId="26" fillId="56" borderId="3" xfId="0" applyFont="1" applyFill="1" applyBorder="1"/>
    <xf numFmtId="0" fontId="29" fillId="3" borderId="103" xfId="0" applyFont="1" applyFill="1" applyBorder="1" applyAlignment="1">
      <alignment horizontal="center" vertical="top"/>
    </xf>
    <xf numFmtId="0" fontId="26" fillId="56" borderId="103" xfId="0" applyFont="1" applyFill="1" applyBorder="1"/>
    <xf numFmtId="175" fontId="36" fillId="3" borderId="0" xfId="0" applyNumberFormat="1" applyFont="1" applyFill="1" applyAlignment="1">
      <alignment horizontal="right"/>
    </xf>
    <xf numFmtId="165" fontId="28" fillId="56" borderId="0" xfId="0" applyNumberFormat="1" applyFont="1" applyFill="1" applyAlignment="1">
      <alignment horizontal="center"/>
    </xf>
    <xf numFmtId="0" fontId="28" fillId="56" borderId="46" xfId="0" applyFont="1" applyFill="1" applyBorder="1"/>
    <xf numFmtId="0" fontId="28" fillId="56" borderId="26" xfId="0" applyFont="1" applyFill="1" applyBorder="1"/>
    <xf numFmtId="0" fontId="28" fillId="56" borderId="26" xfId="0" applyFont="1" applyFill="1" applyBorder="1" applyAlignment="1">
      <alignment horizontal="center"/>
    </xf>
    <xf numFmtId="0" fontId="28" fillId="3" borderId="26" xfId="0" applyFont="1" applyFill="1" applyBorder="1" applyAlignment="1">
      <alignment horizontal="center" vertical="center"/>
    </xf>
    <xf numFmtId="0" fontId="27" fillId="3" borderId="2" xfId="0" applyFont="1" applyFill="1" applyBorder="1" applyAlignment="1">
      <alignment vertical="center" wrapText="1"/>
    </xf>
    <xf numFmtId="0" fontId="27" fillId="3" borderId="0" xfId="0" applyFont="1" applyFill="1" applyAlignment="1">
      <alignment vertical="center" wrapText="1"/>
    </xf>
    <xf numFmtId="0" fontId="27" fillId="3" borderId="7" xfId="0" applyFont="1" applyFill="1" applyBorder="1" applyAlignment="1">
      <alignment vertical="center" wrapText="1"/>
    </xf>
    <xf numFmtId="0" fontId="27" fillId="57" borderId="64" xfId="0" applyFont="1" applyFill="1" applyBorder="1" applyAlignment="1">
      <alignment horizontal="right" vertical="center" wrapText="1"/>
    </xf>
    <xf numFmtId="0" fontId="27" fillId="57" borderId="149" xfId="0" applyFont="1" applyFill="1" applyBorder="1" applyAlignment="1">
      <alignment horizontal="right" vertical="center" wrapText="1"/>
    </xf>
    <xf numFmtId="0" fontId="27" fillId="57" borderId="150" xfId="0" applyFont="1" applyFill="1" applyBorder="1" applyAlignment="1">
      <alignment horizontal="right" vertical="center" wrapText="1"/>
    </xf>
    <xf numFmtId="0" fontId="42" fillId="3" borderId="37" xfId="0" applyFont="1" applyFill="1" applyBorder="1" applyAlignment="1">
      <alignment horizontal="right"/>
    </xf>
    <xf numFmtId="0" fontId="26" fillId="56" borderId="101" xfId="0" applyFont="1" applyFill="1" applyBorder="1"/>
    <xf numFmtId="0" fontId="42" fillId="3" borderId="58" xfId="0" applyFont="1" applyFill="1" applyBorder="1" applyAlignment="1">
      <alignment horizontal="center" wrapText="1"/>
    </xf>
    <xf numFmtId="168" fontId="38" fillId="3" borderId="58" xfId="0" applyNumberFormat="1" applyFont="1" applyFill="1" applyBorder="1"/>
    <xf numFmtId="168" fontId="20" fillId="3" borderId="58" xfId="0" applyNumberFormat="1" applyFont="1" applyFill="1" applyBorder="1" applyAlignment="1">
      <alignment horizontal="right" wrapText="1"/>
    </xf>
    <xf numFmtId="0" fontId="43" fillId="3" borderId="5" xfId="0" applyFont="1" applyFill="1" applyBorder="1" applyAlignment="1">
      <alignment wrapText="1"/>
    </xf>
    <xf numFmtId="170" fontId="38" fillId="56" borderId="58" xfId="0" applyNumberFormat="1" applyFont="1" applyFill="1" applyBorder="1" applyAlignment="1">
      <alignment horizontal="center" wrapText="1"/>
    </xf>
    <xf numFmtId="0" fontId="43" fillId="3" borderId="8" xfId="0" applyFont="1" applyFill="1" applyBorder="1" applyAlignment="1">
      <alignment wrapText="1"/>
    </xf>
    <xf numFmtId="168" fontId="38" fillId="56" borderId="26" xfId="0" applyNumberFormat="1" applyFont="1" applyFill="1" applyBorder="1" applyAlignment="1">
      <alignment horizontal="left" wrapText="1"/>
    </xf>
    <xf numFmtId="0" fontId="38" fillId="3" borderId="4" xfId="0" applyFont="1" applyFill="1" applyBorder="1" applyAlignment="1">
      <alignment horizontal="right" indent="1"/>
    </xf>
    <xf numFmtId="0" fontId="38" fillId="3" borderId="0" xfId="0" applyFont="1" applyFill="1" applyAlignment="1">
      <alignment horizontal="right" indent="1"/>
    </xf>
    <xf numFmtId="0" fontId="38" fillId="3" borderId="37" xfId="0" applyFont="1" applyFill="1" applyBorder="1" applyAlignment="1">
      <alignment horizontal="right" wrapText="1" indent="1"/>
    </xf>
    <xf numFmtId="0" fontId="48" fillId="0" borderId="0" xfId="0" applyFont="1"/>
    <xf numFmtId="0" fontId="28" fillId="52" borderId="4" xfId="0" applyFont="1" applyFill="1" applyBorder="1" applyAlignment="1">
      <alignment horizontal="right" vertical="top" indent="1"/>
    </xf>
    <xf numFmtId="0" fontId="28" fillId="45" borderId="12" xfId="0" applyFont="1" applyFill="1" applyBorder="1" applyAlignment="1" applyProtection="1">
      <alignment horizontal="center" vertical="top"/>
      <protection locked="0"/>
    </xf>
    <xf numFmtId="0" fontId="30" fillId="52" borderId="38" xfId="0" applyFont="1" applyFill="1" applyBorder="1" applyAlignment="1">
      <alignment vertical="top"/>
    </xf>
    <xf numFmtId="0" fontId="30" fillId="52" borderId="0" xfId="0" applyFont="1" applyFill="1" applyAlignment="1">
      <alignment horizontal="center" vertical="center"/>
    </xf>
    <xf numFmtId="0" fontId="30" fillId="52" borderId="2" xfId="0" applyFont="1" applyFill="1" applyBorder="1" applyAlignment="1">
      <alignment horizontal="center" vertical="center"/>
    </xf>
    <xf numFmtId="0" fontId="30" fillId="52" borderId="38" xfId="0" applyFont="1" applyFill="1" applyBorder="1" applyAlignment="1">
      <alignment horizontal="center" vertical="center"/>
    </xf>
    <xf numFmtId="0" fontId="26" fillId="54" borderId="0" xfId="0" applyFont="1" applyFill="1" applyAlignment="1">
      <alignment horizontal="right" indent="1"/>
    </xf>
    <xf numFmtId="173" fontId="28" fillId="52" borderId="15" xfId="0" applyNumberFormat="1" applyFont="1" applyFill="1" applyBorder="1" applyAlignment="1">
      <alignment horizontal="center" vertical="top"/>
    </xf>
    <xf numFmtId="173" fontId="30" fillId="55" borderId="12" xfId="0" applyNumberFormat="1" applyFont="1" applyFill="1" applyBorder="1" applyAlignment="1">
      <alignment horizontal="center"/>
    </xf>
    <xf numFmtId="170" fontId="28" fillId="52" borderId="67" xfId="0" applyNumberFormat="1" applyFont="1" applyFill="1" applyBorder="1" applyAlignment="1">
      <alignment horizontal="right" indent="1"/>
    </xf>
    <xf numFmtId="0" fontId="51" fillId="15" borderId="1" xfId="0" applyFont="1" applyFill="1" applyBorder="1" applyAlignment="1">
      <alignment vertical="top"/>
    </xf>
    <xf numFmtId="0" fontId="51" fillId="15" borderId="2" xfId="0" applyFont="1" applyFill="1" applyBorder="1" applyAlignment="1">
      <alignment vertical="top"/>
    </xf>
    <xf numFmtId="0" fontId="51" fillId="15" borderId="3" xfId="0" applyFont="1" applyFill="1" applyBorder="1" applyAlignment="1">
      <alignment vertical="top"/>
    </xf>
    <xf numFmtId="0" fontId="52" fillId="15" borderId="4" xfId="0" applyFont="1" applyFill="1" applyBorder="1" applyAlignment="1">
      <alignment vertical="top"/>
    </xf>
    <xf numFmtId="0" fontId="52" fillId="15" borderId="0" xfId="0" applyFont="1" applyFill="1" applyAlignment="1">
      <alignment vertical="top"/>
    </xf>
    <xf numFmtId="0" fontId="52" fillId="15" borderId="5" xfId="0" applyFont="1" applyFill="1" applyBorder="1" applyAlignment="1">
      <alignment vertical="top"/>
    </xf>
    <xf numFmtId="0" fontId="36" fillId="3" borderId="69" xfId="0" applyFont="1" applyFill="1" applyBorder="1" applyAlignment="1">
      <alignment vertical="top"/>
    </xf>
    <xf numFmtId="0" fontId="29" fillId="3" borderId="165" xfId="0" applyFont="1" applyFill="1" applyBorder="1" applyAlignment="1">
      <alignment horizontal="center" vertical="top"/>
    </xf>
    <xf numFmtId="0" fontId="29" fillId="3" borderId="73" xfId="0" applyFont="1" applyFill="1" applyBorder="1" applyAlignment="1">
      <alignment horizontal="center" vertical="top"/>
    </xf>
    <xf numFmtId="0" fontId="29" fillId="3" borderId="44" xfId="0" applyFont="1" applyFill="1" applyBorder="1" applyAlignment="1">
      <alignment horizontal="center" vertical="top" wrapText="1"/>
    </xf>
    <xf numFmtId="0" fontId="29" fillId="3" borderId="44" xfId="0" applyFont="1" applyFill="1" applyBorder="1" applyAlignment="1">
      <alignment horizontal="center" vertical="top"/>
    </xf>
    <xf numFmtId="0" fontId="29" fillId="3" borderId="70" xfId="0" applyFont="1" applyFill="1" applyBorder="1" applyAlignment="1">
      <alignment horizontal="center" vertical="top"/>
    </xf>
    <xf numFmtId="0" fontId="36" fillId="0" borderId="18" xfId="0" applyFont="1" applyBorder="1" applyAlignment="1">
      <alignment horizontal="left" vertical="top" indent="1"/>
    </xf>
    <xf numFmtId="168" fontId="36" fillId="29" borderId="166" xfId="0" applyNumberFormat="1" applyFont="1" applyFill="1" applyBorder="1" applyAlignment="1">
      <alignment vertical="top"/>
    </xf>
    <xf numFmtId="168" fontId="36" fillId="0" borderId="16" xfId="0" applyNumberFormat="1" applyFont="1" applyBorder="1" applyAlignment="1">
      <alignment vertical="top"/>
    </xf>
    <xf numFmtId="168" fontId="36" fillId="0" borderId="14" xfId="0" applyNumberFormat="1" applyFont="1" applyBorder="1" applyAlignment="1">
      <alignment vertical="top"/>
    </xf>
    <xf numFmtId="168" fontId="36" fillId="0" borderId="20" xfId="0" applyNumberFormat="1" applyFont="1" applyBorder="1" applyAlignment="1">
      <alignment vertical="top"/>
    </xf>
    <xf numFmtId="0" fontId="29" fillId="3" borderId="18" xfId="0" applyFont="1" applyFill="1" applyBorder="1" applyAlignment="1">
      <alignment horizontal="right" vertical="top"/>
    </xf>
    <xf numFmtId="171" fontId="29" fillId="3" borderId="166" xfId="0" applyNumberFormat="1" applyFont="1" applyFill="1" applyBorder="1"/>
    <xf numFmtId="171" fontId="29" fillId="3" borderId="16" xfId="0" applyNumberFormat="1" applyFont="1" applyFill="1" applyBorder="1" applyAlignment="1">
      <alignment vertical="top"/>
    </xf>
    <xf numFmtId="171" fontId="29" fillId="3" borderId="14" xfId="0" applyNumberFormat="1" applyFont="1" applyFill="1" applyBorder="1" applyAlignment="1">
      <alignment vertical="top"/>
    </xf>
    <xf numFmtId="171" fontId="29" fillId="3" borderId="20" xfId="0" applyNumberFormat="1" applyFont="1" applyFill="1" applyBorder="1" applyAlignment="1">
      <alignment vertical="top"/>
    </xf>
    <xf numFmtId="0" fontId="29" fillId="3" borderId="39" xfId="0" applyFont="1" applyFill="1" applyBorder="1" applyAlignment="1">
      <alignment vertical="top"/>
    </xf>
    <xf numFmtId="9" fontId="29" fillId="3" borderId="167" xfId="0" applyNumberFormat="1" applyFont="1" applyFill="1" applyBorder="1" applyAlignment="1">
      <alignment vertical="top"/>
    </xf>
    <xf numFmtId="9" fontId="29" fillId="3" borderId="41" xfId="0" applyNumberFormat="1" applyFont="1" applyFill="1" applyBorder="1" applyAlignment="1">
      <alignment vertical="top"/>
    </xf>
    <xf numFmtId="9" fontId="29" fillId="3" borderId="51" xfId="0" applyNumberFormat="1" applyFont="1" applyFill="1" applyBorder="1" applyAlignment="1">
      <alignment vertical="top"/>
    </xf>
    <xf numFmtId="9" fontId="29" fillId="3" borderId="49" xfId="0" applyNumberFormat="1" applyFont="1" applyFill="1" applyBorder="1" applyAlignment="1">
      <alignment vertical="top"/>
    </xf>
    <xf numFmtId="0" fontId="36" fillId="3" borderId="71" xfId="0" applyFont="1" applyFill="1" applyBorder="1"/>
    <xf numFmtId="168" fontId="36" fillId="0" borderId="14" xfId="0" applyNumberFormat="1" applyFont="1" applyBorder="1" applyAlignment="1">
      <alignment horizontal="right" vertical="top"/>
    </xf>
    <xf numFmtId="168" fontId="36" fillId="0" borderId="20" xfId="0" applyNumberFormat="1" applyFont="1" applyBorder="1" applyAlignment="1">
      <alignment horizontal="right" vertical="top"/>
    </xf>
    <xf numFmtId="165" fontId="36" fillId="0" borderId="14" xfId="0" applyNumberFormat="1" applyFont="1" applyBorder="1" applyAlignment="1">
      <alignment horizontal="right" vertical="top"/>
    </xf>
    <xf numFmtId="165" fontId="36" fillId="0" borderId="20" xfId="0" applyNumberFormat="1" applyFont="1" applyBorder="1" applyAlignment="1">
      <alignment horizontal="right" vertical="top"/>
    </xf>
    <xf numFmtId="0" fontId="36" fillId="0" borderId="14" xfId="0" applyFont="1" applyBorder="1" applyAlignment="1">
      <alignment horizontal="right" vertical="top"/>
    </xf>
    <xf numFmtId="169" fontId="36" fillId="0" borderId="14" xfId="0" applyNumberFormat="1" applyFont="1" applyBorder="1" applyAlignment="1">
      <alignment horizontal="right" vertical="top"/>
    </xf>
    <xf numFmtId="0" fontId="36" fillId="0" borderId="20" xfId="0" applyFont="1" applyBorder="1" applyAlignment="1">
      <alignment horizontal="right" vertical="top"/>
    </xf>
    <xf numFmtId="172" fontId="36" fillId="0" borderId="51" xfId="0" applyNumberFormat="1" applyFont="1" applyBorder="1" applyAlignment="1">
      <alignment horizontal="right" vertical="top"/>
    </xf>
    <xf numFmtId="172" fontId="36" fillId="0" borderId="49" xfId="0" applyNumberFormat="1" applyFont="1" applyBorder="1" applyAlignment="1">
      <alignment horizontal="right" vertical="top"/>
    </xf>
    <xf numFmtId="0" fontId="36" fillId="5" borderId="33" xfId="0" applyFont="1" applyFill="1" applyBorder="1" applyAlignment="1">
      <alignment horizontal="left" indent="1"/>
    </xf>
    <xf numFmtId="175" fontId="36" fillId="0" borderId="14" xfId="0" applyNumberFormat="1" applyFont="1" applyBorder="1" applyAlignment="1">
      <alignment vertical="top"/>
    </xf>
    <xf numFmtId="10" fontId="36" fillId="0" borderId="51" xfId="0" applyNumberFormat="1" applyFont="1" applyBorder="1" applyAlignment="1">
      <alignment horizontal="left" vertical="top" indent="1"/>
    </xf>
    <xf numFmtId="10" fontId="36" fillId="0" borderId="24" xfId="0" applyNumberFormat="1" applyFont="1" applyBorder="1" applyAlignment="1">
      <alignment horizontal="left" vertical="top" indent="1"/>
    </xf>
    <xf numFmtId="10" fontId="36" fillId="0" borderId="14" xfId="0" applyNumberFormat="1" applyFont="1" applyBorder="1" applyAlignment="1">
      <alignment horizontal="left" vertical="top" indent="1"/>
    </xf>
    <xf numFmtId="0" fontId="51" fillId="15" borderId="1" xfId="0" applyFont="1" applyFill="1" applyBorder="1" applyAlignment="1">
      <alignment horizontal="left" vertical="top"/>
    </xf>
    <xf numFmtId="0" fontId="51" fillId="15" borderId="2" xfId="0" applyFont="1" applyFill="1" applyBorder="1" applyAlignment="1">
      <alignment horizontal="center" vertical="top"/>
    </xf>
    <xf numFmtId="0" fontId="51" fillId="15" borderId="3" xfId="0" applyFont="1" applyFill="1" applyBorder="1" applyAlignment="1">
      <alignment horizontal="center" vertical="top"/>
    </xf>
    <xf numFmtId="0" fontId="52" fillId="15" borderId="4" xfId="0" applyFont="1" applyFill="1" applyBorder="1" applyAlignment="1">
      <alignment horizontal="center" vertical="top"/>
    </xf>
    <xf numFmtId="0" fontId="52" fillId="15" borderId="0" xfId="0" applyFont="1" applyFill="1" applyAlignment="1">
      <alignment horizontal="center" vertical="top"/>
    </xf>
    <xf numFmtId="0" fontId="52" fillId="15" borderId="5" xfId="0" applyFont="1" applyFill="1" applyBorder="1" applyAlignment="1">
      <alignment horizontal="center" vertical="top"/>
    </xf>
    <xf numFmtId="0" fontId="53" fillId="3" borderId="44" xfId="0" applyFont="1" applyFill="1" applyBorder="1" applyAlignment="1">
      <alignment horizontal="center" wrapText="1"/>
    </xf>
    <xf numFmtId="0" fontId="53" fillId="3" borderId="70" xfId="0" applyFont="1" applyFill="1" applyBorder="1" applyAlignment="1">
      <alignment horizontal="center" wrapText="1"/>
    </xf>
    <xf numFmtId="168" fontId="36" fillId="0" borderId="14" xfId="0" applyNumberFormat="1" applyFont="1" applyBorder="1"/>
    <xf numFmtId="170" fontId="36" fillId="0" borderId="14" xfId="0" applyNumberFormat="1" applyFont="1" applyBorder="1" applyAlignment="1">
      <alignment horizontal="center"/>
    </xf>
    <xf numFmtId="168" fontId="36" fillId="3" borderId="14" xfId="0" applyNumberFormat="1" applyFont="1" applyFill="1" applyBorder="1"/>
    <xf numFmtId="168" fontId="36" fillId="3" borderId="20" xfId="0" applyNumberFormat="1" applyFont="1" applyFill="1" applyBorder="1"/>
    <xf numFmtId="168" fontId="29" fillId="3" borderId="14" xfId="0" applyNumberFormat="1" applyFont="1" applyFill="1" applyBorder="1" applyAlignment="1">
      <alignment horizontal="right" wrapText="1"/>
    </xf>
    <xf numFmtId="0" fontId="54" fillId="3" borderId="22" xfId="0" applyFont="1" applyFill="1" applyBorder="1" applyAlignment="1">
      <alignment horizontal="right" wrapText="1"/>
    </xf>
    <xf numFmtId="168" fontId="29" fillId="0" borderId="14" xfId="0" applyNumberFormat="1" applyFont="1" applyBorder="1" applyAlignment="1">
      <alignment horizontal="right" wrapText="1"/>
    </xf>
    <xf numFmtId="168" fontId="29" fillId="3" borderId="20" xfId="0" applyNumberFormat="1" applyFont="1" applyFill="1" applyBorder="1" applyAlignment="1">
      <alignment horizontal="right" wrapText="1"/>
    </xf>
    <xf numFmtId="0" fontId="36" fillId="3" borderId="0" xfId="0" applyFont="1" applyFill="1" applyAlignment="1">
      <alignment horizontal="left" wrapText="1"/>
    </xf>
    <xf numFmtId="0" fontId="54" fillId="3" borderId="5" xfId="0" applyFont="1" applyFill="1" applyBorder="1" applyAlignment="1">
      <alignment wrapText="1"/>
    </xf>
    <xf numFmtId="0" fontId="36" fillId="3" borderId="4" xfId="0" applyFont="1" applyFill="1" applyBorder="1" applyAlignment="1">
      <alignment horizontal="right" indent="1"/>
    </xf>
    <xf numFmtId="170" fontId="36" fillId="0" borderId="14" xfId="0" applyNumberFormat="1" applyFont="1" applyBorder="1" applyAlignment="1">
      <alignment horizontal="center" wrapText="1"/>
    </xf>
    <xf numFmtId="170" fontId="36" fillId="0" borderId="20" xfId="0" applyNumberFormat="1" applyFont="1" applyBorder="1" applyAlignment="1">
      <alignment horizontal="center" wrapText="1"/>
    </xf>
    <xf numFmtId="170" fontId="36" fillId="0" borderId="51" xfId="0" applyNumberFormat="1" applyFont="1" applyBorder="1" applyAlignment="1">
      <alignment horizontal="center" wrapText="1"/>
    </xf>
    <xf numFmtId="170" fontId="36" fillId="0" borderId="49" xfId="0" applyNumberFormat="1" applyFont="1" applyBorder="1" applyAlignment="1">
      <alignment horizontal="center" wrapText="1"/>
    </xf>
    <xf numFmtId="0" fontId="36" fillId="5" borderId="75" xfId="0" applyFont="1" applyFill="1" applyBorder="1" applyAlignment="1">
      <alignment horizontal="left" indent="1"/>
    </xf>
    <xf numFmtId="172" fontId="36" fillId="5" borderId="76" xfId="0" applyNumberFormat="1" applyFont="1" applyFill="1" applyBorder="1"/>
    <xf numFmtId="0" fontId="36" fillId="5" borderId="21" xfId="0" applyFont="1" applyFill="1" applyBorder="1" applyAlignment="1">
      <alignment horizontal="left" indent="1"/>
    </xf>
    <xf numFmtId="172" fontId="36" fillId="5" borderId="77" xfId="0" applyNumberFormat="1" applyFont="1" applyFill="1" applyBorder="1"/>
    <xf numFmtId="172" fontId="36" fillId="5" borderId="78" xfId="0" applyNumberFormat="1" applyFont="1" applyFill="1" applyBorder="1"/>
    <xf numFmtId="0" fontId="51" fillId="15" borderId="1" xfId="0" applyFont="1" applyFill="1" applyBorder="1" applyAlignment="1">
      <alignment horizontal="center" vertical="top"/>
    </xf>
    <xf numFmtId="0" fontId="52" fillId="15" borderId="25" xfId="0" applyFont="1" applyFill="1" applyBorder="1" applyAlignment="1">
      <alignment horizontal="center" vertical="top"/>
    </xf>
    <xf numFmtId="0" fontId="52" fillId="15" borderId="38" xfId="0" applyFont="1" applyFill="1" applyBorder="1" applyAlignment="1">
      <alignment horizontal="center" vertical="top"/>
    </xf>
    <xf numFmtId="0" fontId="36" fillId="3" borderId="4" xfId="0" applyFont="1" applyFill="1" applyBorder="1"/>
    <xf numFmtId="0" fontId="36" fillId="3" borderId="0" xfId="0" applyFont="1" applyFill="1"/>
    <xf numFmtId="0" fontId="36" fillId="3" borderId="5" xfId="0" applyFont="1" applyFill="1" applyBorder="1"/>
    <xf numFmtId="0" fontId="36" fillId="14" borderId="46" xfId="0" applyFont="1" applyFill="1" applyBorder="1"/>
    <xf numFmtId="0" fontId="36" fillId="14" borderId="67" xfId="0" applyFont="1" applyFill="1" applyBorder="1"/>
    <xf numFmtId="0" fontId="36" fillId="3" borderId="4" xfId="0" applyFont="1" applyFill="1" applyBorder="1" applyAlignment="1">
      <alignment horizontal="right"/>
    </xf>
    <xf numFmtId="181" fontId="36" fillId="0" borderId="14" xfId="0" applyNumberFormat="1" applyFont="1" applyBorder="1" applyAlignment="1">
      <alignment horizontal="center"/>
    </xf>
    <xf numFmtId="181" fontId="36" fillId="0" borderId="20" xfId="0" applyNumberFormat="1" applyFont="1" applyBorder="1" applyAlignment="1">
      <alignment horizontal="center"/>
    </xf>
    <xf numFmtId="181" fontId="36" fillId="0" borderId="13" xfId="0" applyNumberFormat="1" applyFont="1" applyBorder="1" applyAlignment="1">
      <alignment horizontal="center"/>
    </xf>
    <xf numFmtId="0" fontId="29" fillId="3" borderId="4" xfId="0" applyFont="1" applyFill="1" applyBorder="1"/>
    <xf numFmtId="0" fontId="55" fillId="3" borderId="0" xfId="0" applyFont="1" applyFill="1"/>
    <xf numFmtId="168" fontId="55" fillId="3" borderId="5" xfId="0" applyNumberFormat="1" applyFont="1" applyFill="1" applyBorder="1"/>
    <xf numFmtId="168" fontId="55" fillId="14" borderId="46" xfId="0" applyNumberFormat="1" applyFont="1" applyFill="1" applyBorder="1"/>
    <xf numFmtId="168" fontId="55" fillId="14" borderId="67" xfId="0" applyNumberFormat="1" applyFont="1" applyFill="1" applyBorder="1"/>
    <xf numFmtId="168" fontId="36" fillId="0" borderId="57" xfId="0" applyNumberFormat="1" applyFont="1" applyBorder="1"/>
    <xf numFmtId="168" fontId="36" fillId="0" borderId="79" xfId="0" applyNumberFormat="1" applyFont="1" applyBorder="1"/>
    <xf numFmtId="168" fontId="36" fillId="0" borderId="80" xfId="0" applyNumberFormat="1" applyFont="1" applyBorder="1"/>
    <xf numFmtId="168" fontId="36" fillId="0" borderId="59" xfId="0" applyNumberFormat="1" applyFont="1" applyBorder="1"/>
    <xf numFmtId="168" fontId="36" fillId="0" borderId="78" xfId="0" applyNumberFormat="1" applyFont="1" applyBorder="1"/>
    <xf numFmtId="168" fontId="36" fillId="0" borderId="81" xfId="0" applyNumberFormat="1" applyFont="1" applyBorder="1"/>
    <xf numFmtId="168" fontId="36" fillId="13" borderId="14" xfId="0" applyNumberFormat="1" applyFont="1" applyFill="1" applyBorder="1"/>
    <xf numFmtId="168" fontId="36" fillId="13" borderId="20" xfId="0" applyNumberFormat="1" applyFont="1" applyFill="1" applyBorder="1"/>
    <xf numFmtId="168" fontId="36" fillId="13" borderId="13" xfId="0" applyNumberFormat="1" applyFont="1" applyFill="1" applyBorder="1"/>
    <xf numFmtId="168" fontId="36" fillId="5" borderId="14" xfId="0" applyNumberFormat="1" applyFont="1" applyFill="1" applyBorder="1"/>
    <xf numFmtId="168" fontId="36" fillId="5" borderId="20" xfId="0" applyNumberFormat="1" applyFont="1" applyFill="1" applyBorder="1"/>
    <xf numFmtId="168" fontId="36" fillId="5" borderId="13" xfId="0" applyNumberFormat="1" applyFont="1" applyFill="1" applyBorder="1"/>
    <xf numFmtId="0" fontId="29" fillId="3" borderId="4" xfId="0" applyFont="1" applyFill="1" applyBorder="1" applyAlignment="1">
      <alignment horizontal="right" indent="1"/>
    </xf>
    <xf numFmtId="168" fontId="29" fillId="13" borderId="14" xfId="0" applyNumberFormat="1" applyFont="1" applyFill="1" applyBorder="1"/>
    <xf numFmtId="168" fontId="29" fillId="13" borderId="20" xfId="0" applyNumberFormat="1" applyFont="1" applyFill="1" applyBorder="1"/>
    <xf numFmtId="168" fontId="29" fillId="13" borderId="13" xfId="0" applyNumberFormat="1" applyFont="1" applyFill="1" applyBorder="1"/>
    <xf numFmtId="178" fontId="36" fillId="3" borderId="0" xfId="0" applyNumberFormat="1" applyFont="1" applyFill="1"/>
    <xf numFmtId="178" fontId="36" fillId="3" borderId="5" xfId="0" applyNumberFormat="1" applyFont="1" applyFill="1" applyBorder="1"/>
    <xf numFmtId="178" fontId="36" fillId="14" borderId="46" xfId="0" applyNumberFormat="1" applyFont="1" applyFill="1" applyBorder="1"/>
    <xf numFmtId="178" fontId="36" fillId="14" borderId="67" xfId="0" applyNumberFormat="1" applyFont="1" applyFill="1" applyBorder="1"/>
    <xf numFmtId="0" fontId="29" fillId="3" borderId="4" xfId="0" applyFont="1" applyFill="1" applyBorder="1" applyAlignment="1">
      <alignment horizontal="right" vertical="center" indent="1"/>
    </xf>
    <xf numFmtId="0" fontId="36" fillId="14" borderId="4" xfId="0" applyFont="1" applyFill="1" applyBorder="1"/>
    <xf numFmtId="0" fontId="36" fillId="14" borderId="5" xfId="0" applyFont="1" applyFill="1" applyBorder="1"/>
    <xf numFmtId="0" fontId="36" fillId="3" borderId="4" xfId="0" applyFont="1" applyFill="1" applyBorder="1" applyAlignment="1">
      <alignment horizontal="right" vertical="center" indent="1"/>
    </xf>
    <xf numFmtId="3" fontId="36" fillId="3" borderId="4" xfId="0" applyNumberFormat="1" applyFont="1" applyFill="1" applyBorder="1" applyAlignment="1">
      <alignment horizontal="right" vertical="center" indent="1"/>
    </xf>
    <xf numFmtId="168" fontId="36" fillId="0" borderId="60" xfId="0" applyNumberFormat="1" applyFont="1" applyBorder="1"/>
    <xf numFmtId="168" fontId="36" fillId="0" borderId="77" xfId="0" applyNumberFormat="1" applyFont="1" applyBorder="1"/>
    <xf numFmtId="168" fontId="36" fillId="0" borderId="82" xfId="0" applyNumberFormat="1" applyFont="1" applyBorder="1"/>
    <xf numFmtId="49" fontId="36" fillId="3" borderId="4" xfId="0" applyNumberFormat="1" applyFont="1" applyFill="1" applyBorder="1" applyAlignment="1">
      <alignment horizontal="right" vertical="center" indent="1"/>
    </xf>
    <xf numFmtId="3" fontId="36" fillId="3" borderId="0" xfId="0" applyNumberFormat="1" applyFont="1" applyFill="1" applyAlignment="1">
      <alignment horizontal="right" vertical="center"/>
    </xf>
    <xf numFmtId="3" fontId="36" fillId="3" borderId="5" xfId="0" applyNumberFormat="1" applyFont="1" applyFill="1" applyBorder="1" applyAlignment="1">
      <alignment horizontal="right" vertical="center"/>
    </xf>
    <xf numFmtId="3" fontId="36" fillId="14" borderId="46" xfId="0" applyNumberFormat="1" applyFont="1" applyFill="1" applyBorder="1" applyAlignment="1">
      <alignment horizontal="right" vertical="center"/>
    </xf>
    <xf numFmtId="3" fontId="36" fillId="14" borderId="67" xfId="0" applyNumberFormat="1" applyFont="1" applyFill="1" applyBorder="1" applyAlignment="1">
      <alignment horizontal="right" vertical="center"/>
    </xf>
    <xf numFmtId="168" fontId="36" fillId="13" borderId="14" xfId="0" applyNumberFormat="1" applyFont="1" applyFill="1" applyBorder="1" applyAlignment="1">
      <alignment horizontal="right" vertical="center"/>
    </xf>
    <xf numFmtId="168" fontId="36" fillId="13" borderId="20" xfId="0" applyNumberFormat="1" applyFont="1" applyFill="1" applyBorder="1" applyAlignment="1">
      <alignment horizontal="right" vertical="center"/>
    </xf>
    <xf numFmtId="168" fontId="36" fillId="13" borderId="13" xfId="0" applyNumberFormat="1" applyFont="1" applyFill="1" applyBorder="1" applyAlignment="1">
      <alignment horizontal="right" vertical="center"/>
    </xf>
    <xf numFmtId="173" fontId="36" fillId="13" borderId="14" xfId="0" applyNumberFormat="1" applyFont="1" applyFill="1" applyBorder="1"/>
    <xf numFmtId="173" fontId="36" fillId="13" borderId="20" xfId="0" applyNumberFormat="1" applyFont="1" applyFill="1" applyBorder="1"/>
    <xf numFmtId="173" fontId="36" fillId="13" borderId="13" xfId="0" applyNumberFormat="1" applyFont="1" applyFill="1" applyBorder="1"/>
    <xf numFmtId="0" fontId="36" fillId="3" borderId="6" xfId="0" applyFont="1" applyFill="1" applyBorder="1"/>
    <xf numFmtId="0" fontId="36" fillId="3" borderId="7" xfId="0" applyFont="1" applyFill="1" applyBorder="1"/>
    <xf numFmtId="0" fontId="36" fillId="3" borderId="8" xfId="0" applyFont="1" applyFill="1" applyBorder="1"/>
    <xf numFmtId="0" fontId="36" fillId="14" borderId="39" xfId="0" applyFont="1" applyFill="1" applyBorder="1"/>
    <xf numFmtId="0" fontId="36" fillId="14" borderId="43" xfId="0" applyFont="1" applyFill="1" applyBorder="1"/>
    <xf numFmtId="0" fontId="29" fillId="3" borderId="4" xfId="0" applyFont="1" applyFill="1" applyBorder="1" applyAlignment="1">
      <alignment horizontal="right"/>
    </xf>
    <xf numFmtId="0" fontId="29" fillId="3" borderId="4" xfId="0" applyFont="1" applyFill="1" applyBorder="1" applyAlignment="1">
      <alignment horizontal="right" vertical="center"/>
    </xf>
    <xf numFmtId="0" fontId="36" fillId="3" borderId="4" xfId="0" applyFont="1" applyFill="1" applyBorder="1" applyAlignment="1">
      <alignment horizontal="right" vertical="center"/>
    </xf>
    <xf numFmtId="3" fontId="36" fillId="3" borderId="4" xfId="0" applyNumberFormat="1" applyFont="1" applyFill="1" applyBorder="1" applyAlignment="1">
      <alignment horizontal="right" vertical="center"/>
    </xf>
    <xf numFmtId="49" fontId="36" fillId="3" borderId="4" xfId="0" applyNumberFormat="1" applyFont="1" applyFill="1" applyBorder="1" applyAlignment="1">
      <alignment horizontal="right" vertical="center"/>
    </xf>
    <xf numFmtId="168" fontId="36" fillId="0" borderId="20" xfId="0" applyNumberFormat="1" applyFont="1" applyBorder="1"/>
    <xf numFmtId="0" fontId="36" fillId="5" borderId="0" xfId="0" applyFont="1" applyFill="1"/>
    <xf numFmtId="0" fontId="56" fillId="0" borderId="0" xfId="0" applyFont="1"/>
    <xf numFmtId="169" fontId="36" fillId="5" borderId="0" xfId="0" applyNumberFormat="1" applyFont="1" applyFill="1"/>
    <xf numFmtId="0" fontId="56" fillId="21" borderId="0" xfId="0" applyFont="1" applyFill="1"/>
    <xf numFmtId="0" fontId="56" fillId="21" borderId="71" xfId="0" applyFont="1" applyFill="1" applyBorder="1" applyAlignment="1">
      <alignment horizontal="left" indent="1"/>
    </xf>
    <xf numFmtId="0" fontId="56" fillId="21" borderId="72" xfId="0" applyFont="1" applyFill="1" applyBorder="1" applyAlignment="1">
      <alignment horizontal="left" indent="1"/>
    </xf>
    <xf numFmtId="172" fontId="36" fillId="42" borderId="14" xfId="0" applyNumberFormat="1" applyFont="1" applyFill="1" applyBorder="1"/>
    <xf numFmtId="0" fontId="29" fillId="3" borderId="44" xfId="0" applyFont="1" applyFill="1" applyBorder="1" applyAlignment="1">
      <alignment horizontal="center"/>
    </xf>
    <xf numFmtId="168" fontId="28" fillId="43" borderId="166" xfId="0" applyNumberFormat="1" applyFont="1" applyFill="1" applyBorder="1" applyAlignment="1">
      <alignment vertical="top"/>
    </xf>
    <xf numFmtId="168" fontId="28" fillId="42" borderId="166" xfId="0" applyNumberFormat="1" applyFont="1" applyFill="1" applyBorder="1"/>
    <xf numFmtId="170" fontId="28" fillId="3" borderId="166" xfId="0" applyNumberFormat="1" applyFont="1" applyFill="1" applyBorder="1" applyAlignment="1">
      <alignment vertical="top"/>
    </xf>
    <xf numFmtId="10" fontId="28" fillId="0" borderId="99" xfId="3" applyNumberFormat="1" applyFont="1" applyFill="1" applyBorder="1" applyAlignment="1" applyProtection="1">
      <alignment horizontal="center" vertical="top"/>
    </xf>
    <xf numFmtId="183" fontId="30" fillId="29" borderId="96" xfId="2" applyNumberFormat="1" applyFont="1" applyFill="1" applyBorder="1" applyProtection="1"/>
    <xf numFmtId="183" fontId="30" fillId="29" borderId="97" xfId="2" applyNumberFormat="1" applyFont="1" applyFill="1" applyBorder="1" applyProtection="1"/>
    <xf numFmtId="183" fontId="1" fillId="29" borderId="96" xfId="2" applyNumberFormat="1" applyFont="1" applyFill="1" applyBorder="1" applyProtection="1"/>
    <xf numFmtId="183" fontId="1" fillId="29" borderId="97" xfId="2" applyNumberFormat="1" applyFont="1" applyFill="1" applyBorder="1" applyProtection="1"/>
    <xf numFmtId="9" fontId="28" fillId="27" borderId="0" xfId="7" applyFont="1" applyFill="1" applyBorder="1" applyAlignment="1" applyProtection="1">
      <alignment horizontal="right" indent="1"/>
    </xf>
    <xf numFmtId="2" fontId="50" fillId="29" borderId="107" xfId="3" applyNumberFormat="1" applyFont="1" applyFill="1" applyBorder="1" applyAlignment="1" applyProtection="1">
      <alignment horizontal="right"/>
    </xf>
    <xf numFmtId="2" fontId="50" fillId="29" borderId="113" xfId="3" applyNumberFormat="1" applyFont="1" applyFill="1" applyBorder="1" applyAlignment="1" applyProtection="1">
      <alignment horizontal="right"/>
    </xf>
    <xf numFmtId="42" fontId="57" fillId="30" borderId="106" xfId="2" applyNumberFormat="1" applyFont="1" applyFill="1" applyBorder="1" applyProtection="1"/>
    <xf numFmtId="42" fontId="59" fillId="30" borderId="96" xfId="2" applyNumberFormat="1" applyFont="1" applyFill="1" applyBorder="1" applyProtection="1"/>
    <xf numFmtId="42" fontId="59" fillId="30" borderId="106" xfId="2" applyNumberFormat="1" applyFont="1" applyFill="1" applyBorder="1" applyProtection="1"/>
    <xf numFmtId="0" fontId="19" fillId="23" borderId="110" xfId="0" applyFont="1" applyFill="1" applyBorder="1" applyAlignment="1">
      <alignment horizontal="left" vertical="center"/>
    </xf>
    <xf numFmtId="0" fontId="19" fillId="23" borderId="111" xfId="0" applyFont="1" applyFill="1" applyBorder="1" applyAlignment="1">
      <alignment horizontal="left" vertical="center"/>
    </xf>
    <xf numFmtId="0" fontId="19" fillId="23" borderId="112" xfId="0" applyFont="1" applyFill="1" applyBorder="1" applyAlignment="1">
      <alignment horizontal="left" vertical="center"/>
    </xf>
    <xf numFmtId="0" fontId="49" fillId="24" borderId="95" xfId="4" applyFont="1" applyFill="1" applyBorder="1" applyAlignment="1">
      <alignment horizontal="left" vertical="top" indent="1"/>
    </xf>
    <xf numFmtId="0" fontId="49" fillId="24" borderId="96" xfId="4" applyFont="1" applyFill="1" applyBorder="1" applyAlignment="1">
      <alignment horizontal="center" vertical="top" wrapText="1"/>
    </xf>
    <xf numFmtId="0" fontId="49" fillId="24" borderId="96" xfId="4" applyFont="1" applyFill="1" applyBorder="1" applyAlignment="1">
      <alignment horizontal="center" vertical="top"/>
    </xf>
    <xf numFmtId="0" fontId="49" fillId="24" borderId="97" xfId="4" applyFont="1" applyFill="1" applyBorder="1" applyAlignment="1">
      <alignment horizontal="center" vertical="top"/>
    </xf>
    <xf numFmtId="0" fontId="1" fillId="25" borderId="95" xfId="4" applyFont="1" applyFill="1" applyBorder="1" applyAlignment="1">
      <alignment horizontal="right" vertical="top"/>
    </xf>
    <xf numFmtId="0" fontId="28" fillId="0" borderId="96" xfId="2" applyNumberFormat="1" applyFont="1" applyBorder="1" applyAlignment="1" applyProtection="1">
      <alignment horizontal="center" vertical="top"/>
    </xf>
    <xf numFmtId="9" fontId="28" fillId="0" borderId="96" xfId="3" applyFont="1" applyBorder="1" applyAlignment="1" applyProtection="1">
      <alignment horizontal="center" vertical="top"/>
    </xf>
    <xf numFmtId="178" fontId="28" fillId="0" borderId="96" xfId="2" applyNumberFormat="1" applyFont="1" applyBorder="1" applyAlignment="1" applyProtection="1">
      <alignment horizontal="center" vertical="top"/>
    </xf>
    <xf numFmtId="42" fontId="28" fillId="0" borderId="96" xfId="2" applyNumberFormat="1" applyFont="1" applyBorder="1" applyAlignment="1" applyProtection="1">
      <alignment horizontal="center" vertical="top"/>
    </xf>
    <xf numFmtId="1" fontId="28" fillId="0" borderId="96" xfId="1" applyNumberFormat="1" applyFont="1" applyBorder="1" applyAlignment="1" applyProtection="1">
      <alignment horizontal="center" vertical="top"/>
    </xf>
    <xf numFmtId="10" fontId="28" fillId="0" borderId="96" xfId="3" applyNumberFormat="1" applyFont="1" applyBorder="1" applyAlignment="1" applyProtection="1">
      <alignment horizontal="center" vertical="top"/>
    </xf>
    <xf numFmtId="0" fontId="1" fillId="25" borderId="98" xfId="4" applyFont="1" applyFill="1" applyBorder="1" applyAlignment="1">
      <alignment horizontal="right" vertical="top"/>
    </xf>
    <xf numFmtId="0" fontId="19" fillId="23" borderId="111" xfId="0" applyFont="1" applyFill="1" applyBorder="1" applyAlignment="1">
      <alignment horizontal="center" vertical="center"/>
    </xf>
    <xf numFmtId="0" fontId="19" fillId="23" borderId="112" xfId="0" applyFont="1" applyFill="1" applyBorder="1" applyAlignment="1">
      <alignment horizontal="center" vertical="center"/>
    </xf>
    <xf numFmtId="0" fontId="1" fillId="25" borderId="95" xfId="4" applyFont="1" applyFill="1" applyBorder="1" applyAlignment="1">
      <alignment horizontal="right" vertical="top" indent="1"/>
    </xf>
    <xf numFmtId="44" fontId="1" fillId="19" borderId="87" xfId="2" applyFont="1" applyFill="1" applyBorder="1" applyAlignment="1" applyProtection="1">
      <alignment horizontal="center" vertical="center"/>
    </xf>
    <xf numFmtId="44" fontId="1" fillId="19" borderId="88" xfId="2" applyFont="1" applyFill="1" applyBorder="1" applyAlignment="1" applyProtection="1">
      <alignment horizontal="center" vertical="center"/>
    </xf>
    <xf numFmtId="0" fontId="1" fillId="25" borderId="95" xfId="5" applyFont="1" applyFill="1" applyBorder="1" applyAlignment="1">
      <alignment horizontal="right" indent="1"/>
    </xf>
    <xf numFmtId="44" fontId="1" fillId="19" borderId="168" xfId="2" applyFont="1" applyFill="1" applyBorder="1" applyAlignment="1" applyProtection="1">
      <alignment horizontal="center" vertical="center"/>
    </xf>
    <xf numFmtId="44" fontId="1" fillId="19" borderId="169" xfId="2" applyFont="1" applyFill="1" applyBorder="1" applyAlignment="1" applyProtection="1">
      <alignment horizontal="center" vertical="center"/>
    </xf>
    <xf numFmtId="0" fontId="50" fillId="25" borderId="95" xfId="5" applyFont="1" applyFill="1" applyBorder="1" applyAlignment="1">
      <alignment horizontal="right" indent="1"/>
    </xf>
    <xf numFmtId="44" fontId="1" fillId="19" borderId="172" xfId="2" applyFont="1" applyFill="1" applyBorder="1" applyAlignment="1" applyProtection="1">
      <alignment horizontal="center" vertical="center"/>
    </xf>
    <xf numFmtId="44" fontId="1" fillId="19" borderId="173" xfId="2" applyFont="1" applyFill="1" applyBorder="1" applyAlignment="1" applyProtection="1">
      <alignment horizontal="center" vertical="center"/>
    </xf>
    <xf numFmtId="44" fontId="1" fillId="19" borderId="174" xfId="2" applyFont="1" applyFill="1" applyBorder="1" applyAlignment="1" applyProtection="1">
      <alignment horizontal="center" vertical="center"/>
    </xf>
    <xf numFmtId="0" fontId="50" fillId="25" borderId="98" xfId="0" applyFont="1" applyFill="1" applyBorder="1" applyAlignment="1">
      <alignment horizontal="right" indent="1"/>
    </xf>
    <xf numFmtId="10" fontId="1" fillId="19" borderId="170" xfId="2" applyNumberFormat="1" applyFont="1" applyFill="1" applyBorder="1" applyAlignment="1" applyProtection="1">
      <alignment horizontal="center" vertical="center"/>
    </xf>
    <xf numFmtId="10" fontId="1" fillId="19" borderId="171" xfId="2" applyNumberFormat="1" applyFont="1" applyFill="1" applyBorder="1" applyAlignment="1" applyProtection="1">
      <alignment horizontal="center" vertical="center"/>
    </xf>
    <xf numFmtId="0" fontId="19" fillId="23" borderId="92" xfId="0" applyFont="1" applyFill="1" applyBorder="1"/>
    <xf numFmtId="0" fontId="19" fillId="23" borderId="93" xfId="0" applyFont="1" applyFill="1" applyBorder="1"/>
    <xf numFmtId="0" fontId="19" fillId="23" borderId="94" xfId="0" applyFont="1" applyFill="1" applyBorder="1"/>
    <xf numFmtId="0" fontId="19" fillId="26" borderId="93" xfId="0" applyFont="1" applyFill="1" applyBorder="1" applyAlignment="1">
      <alignment horizontal="left"/>
    </xf>
    <xf numFmtId="0" fontId="19" fillId="26" borderId="94" xfId="0" applyFont="1" applyFill="1" applyBorder="1"/>
    <xf numFmtId="0" fontId="19" fillId="23" borderId="100" xfId="0" applyFont="1" applyFill="1" applyBorder="1" applyAlignment="1">
      <alignment vertical="top"/>
    </xf>
    <xf numFmtId="0" fontId="19" fillId="23" borderId="101" xfId="0" applyFont="1" applyFill="1" applyBorder="1" applyAlignment="1">
      <alignment vertical="top"/>
    </xf>
    <xf numFmtId="0" fontId="19" fillId="23" borderId="102" xfId="0" applyFont="1" applyFill="1" applyBorder="1" applyAlignment="1">
      <alignment vertical="top"/>
    </xf>
    <xf numFmtId="0" fontId="19" fillId="26" borderId="102" xfId="0" applyFont="1" applyFill="1" applyBorder="1" applyAlignment="1">
      <alignment vertical="top"/>
    </xf>
    <xf numFmtId="0" fontId="20" fillId="27" borderId="103" xfId="0" applyFont="1" applyFill="1" applyBorder="1" applyAlignment="1">
      <alignment horizontal="center" vertical="top"/>
    </xf>
    <xf numFmtId="0" fontId="20" fillId="27" borderId="0" xfId="0" applyFont="1" applyFill="1" applyAlignment="1">
      <alignment horizontal="center" vertical="top"/>
    </xf>
    <xf numFmtId="0" fontId="20" fillId="27" borderId="104" xfId="0" applyFont="1" applyFill="1" applyBorder="1" applyAlignment="1">
      <alignment horizontal="center" vertical="top"/>
    </xf>
    <xf numFmtId="0" fontId="20" fillId="28" borderId="93" xfId="0" applyFont="1" applyFill="1" applyBorder="1" applyAlignment="1">
      <alignment horizontal="center" vertical="top"/>
    </xf>
    <xf numFmtId="0" fontId="20" fillId="28" borderId="94" xfId="0" applyFont="1" applyFill="1" applyBorder="1" applyAlignment="1">
      <alignment vertical="top"/>
    </xf>
    <xf numFmtId="0" fontId="28" fillId="27" borderId="0" xfId="6" applyFont="1" applyFill="1" applyAlignment="1">
      <alignment horizontal="right" indent="1"/>
    </xf>
    <xf numFmtId="164" fontId="1" fillId="19" borderId="87" xfId="0" applyNumberFormat="1" applyFont="1" applyFill="1" applyBorder="1" applyAlignment="1">
      <alignment horizontal="center" vertical="center"/>
    </xf>
    <xf numFmtId="164" fontId="1" fillId="19" borderId="88" xfId="0" applyNumberFormat="1" applyFont="1" applyFill="1" applyBorder="1" applyAlignment="1">
      <alignment horizontal="center" vertical="center"/>
    </xf>
    <xf numFmtId="184" fontId="57" fillId="0" borderId="106" xfId="6" applyNumberFormat="1" applyFont="1" applyBorder="1" applyAlignment="1">
      <alignment horizontal="center"/>
    </xf>
    <xf numFmtId="184" fontId="57" fillId="0" borderId="96" xfId="6" applyNumberFormat="1" applyFont="1" applyBorder="1" applyAlignment="1">
      <alignment horizontal="center"/>
    </xf>
    <xf numFmtId="0" fontId="26" fillId="28" borderId="104" xfId="0" applyFont="1" applyFill="1" applyBorder="1"/>
    <xf numFmtId="169" fontId="1" fillId="19" borderId="87" xfId="0" applyNumberFormat="1" applyFont="1" applyFill="1" applyBorder="1" applyAlignment="1">
      <alignment horizontal="center" vertical="center"/>
    </xf>
    <xf numFmtId="169" fontId="1" fillId="19" borderId="88" xfId="0" applyNumberFormat="1" applyFont="1" applyFill="1" applyBorder="1" applyAlignment="1">
      <alignment horizontal="center" vertical="center"/>
    </xf>
    <xf numFmtId="1" fontId="57" fillId="0" borderId="106" xfId="6" applyNumberFormat="1" applyFont="1" applyBorder="1" applyAlignment="1">
      <alignment horizontal="center"/>
    </xf>
    <xf numFmtId="1" fontId="57" fillId="0" borderId="96" xfId="6" applyNumberFormat="1" applyFont="1" applyBorder="1" applyAlignment="1">
      <alignment horizontal="center"/>
    </xf>
    <xf numFmtId="182" fontId="1" fillId="19" borderId="87" xfId="0" applyNumberFormat="1" applyFont="1" applyFill="1" applyBorder="1" applyAlignment="1">
      <alignment horizontal="center" vertical="center"/>
    </xf>
    <xf numFmtId="0" fontId="1" fillId="19" borderId="87" xfId="0" applyFont="1" applyFill="1" applyBorder="1" applyAlignment="1">
      <alignment horizontal="center" vertical="center"/>
    </xf>
    <xf numFmtId="0" fontId="1" fillId="19" borderId="88" xfId="0" applyFont="1" applyFill="1" applyBorder="1" applyAlignment="1">
      <alignment horizontal="center" vertical="center"/>
    </xf>
    <xf numFmtId="182" fontId="57" fillId="30" borderId="106" xfId="6" applyNumberFormat="1" applyFont="1" applyFill="1" applyBorder="1" applyAlignment="1">
      <alignment horizontal="center"/>
    </xf>
    <xf numFmtId="182" fontId="57" fillId="30" borderId="96" xfId="6" applyNumberFormat="1" applyFont="1" applyFill="1" applyBorder="1" applyAlignment="1">
      <alignment horizontal="center"/>
    </xf>
    <xf numFmtId="0" fontId="28" fillId="29" borderId="96" xfId="6" applyFont="1" applyFill="1" applyBorder="1" applyAlignment="1">
      <alignment horizontal="center"/>
    </xf>
    <xf numFmtId="0" fontId="28" fillId="29" borderId="97" xfId="6" applyFont="1" applyFill="1" applyBorder="1" applyAlignment="1">
      <alignment horizontal="center"/>
    </xf>
    <xf numFmtId="0" fontId="57" fillId="30" borderId="106" xfId="6" applyFont="1" applyFill="1" applyBorder="1" applyAlignment="1">
      <alignment horizontal="center"/>
    </xf>
    <xf numFmtId="0" fontId="57" fillId="30" borderId="96" xfId="6" applyFont="1" applyFill="1" applyBorder="1" applyAlignment="1">
      <alignment horizontal="center"/>
    </xf>
    <xf numFmtId="0" fontId="30" fillId="27" borderId="0" xfId="6" applyFont="1" applyFill="1" applyAlignment="1">
      <alignment horizontal="right" indent="1"/>
    </xf>
    <xf numFmtId="14" fontId="58" fillId="27" borderId="0" xfId="6" applyNumberFormat="1" applyFont="1" applyFill="1"/>
    <xf numFmtId="14" fontId="58" fillId="27" borderId="104" xfId="6" applyNumberFormat="1" applyFont="1" applyFill="1" applyBorder="1"/>
    <xf numFmtId="0" fontId="57" fillId="31" borderId="0" xfId="0" applyFont="1" applyFill="1"/>
    <xf numFmtId="0" fontId="1" fillId="27" borderId="103" xfId="0" applyFont="1" applyFill="1" applyBorder="1" applyAlignment="1">
      <alignment horizontal="right"/>
    </xf>
    <xf numFmtId="0" fontId="1" fillId="27" borderId="103" xfId="0" applyFont="1" applyFill="1" applyBorder="1"/>
    <xf numFmtId="183" fontId="30" fillId="27" borderId="0" xfId="6" applyNumberFormat="1" applyFont="1" applyFill="1"/>
    <xf numFmtId="183" fontId="30" fillId="27" borderId="104" xfId="6" applyNumberFormat="1" applyFont="1" applyFill="1" applyBorder="1"/>
    <xf numFmtId="178" fontId="59" fillId="31" borderId="0" xfId="6" applyNumberFormat="1" applyFont="1" applyFill="1"/>
    <xf numFmtId="183" fontId="30" fillId="27" borderId="0" xfId="2" applyNumberFormat="1" applyFont="1" applyFill="1" applyBorder="1" applyProtection="1"/>
    <xf numFmtId="183" fontId="30" fillId="27" borderId="104" xfId="2" applyNumberFormat="1" applyFont="1" applyFill="1" applyBorder="1" applyProtection="1"/>
    <xf numFmtId="44" fontId="59" fillId="31" borderId="0" xfId="6" applyNumberFormat="1" applyFont="1" applyFill="1"/>
    <xf numFmtId="44" fontId="59" fillId="31" borderId="105" xfId="6" applyNumberFormat="1" applyFont="1" applyFill="1" applyBorder="1"/>
    <xf numFmtId="183" fontId="28" fillId="27" borderId="0" xfId="2" applyNumberFormat="1" applyFont="1" applyFill="1" applyBorder="1" applyProtection="1"/>
    <xf numFmtId="183" fontId="28" fillId="27" borderId="104" xfId="2" applyNumberFormat="1" applyFont="1" applyFill="1" applyBorder="1" applyProtection="1"/>
    <xf numFmtId="44" fontId="57" fillId="31" borderId="0" xfId="6" applyNumberFormat="1" applyFont="1" applyFill="1"/>
    <xf numFmtId="178" fontId="57" fillId="31" borderId="0" xfId="6" applyNumberFormat="1" applyFont="1" applyFill="1"/>
    <xf numFmtId="0" fontId="30" fillId="32" borderId="0" xfId="8" applyFont="1" applyFill="1" applyAlignment="1">
      <alignment horizontal="right" vertical="center" indent="1"/>
    </xf>
    <xf numFmtId="183" fontId="1" fillId="27" borderId="0" xfId="2" applyNumberFormat="1" applyFont="1" applyFill="1" applyBorder="1" applyProtection="1"/>
    <xf numFmtId="183" fontId="1" fillId="27" borderId="104" xfId="2" applyNumberFormat="1" applyFont="1" applyFill="1" applyBorder="1" applyProtection="1"/>
    <xf numFmtId="178" fontId="57" fillId="31" borderId="0" xfId="0" applyNumberFormat="1" applyFont="1" applyFill="1"/>
    <xf numFmtId="3" fontId="1" fillId="32" borderId="0" xfId="8" quotePrefix="1" applyNumberFormat="1" applyFont="1" applyFill="1" applyAlignment="1">
      <alignment horizontal="right" vertical="center" indent="1"/>
    </xf>
    <xf numFmtId="183" fontId="1" fillId="0" borderId="96" xfId="2" applyNumberFormat="1" applyFont="1" applyBorder="1" applyProtection="1"/>
    <xf numFmtId="183" fontId="1" fillId="0" borderId="97" xfId="2" applyNumberFormat="1" applyFont="1" applyBorder="1" applyProtection="1"/>
    <xf numFmtId="42" fontId="57" fillId="0" borderId="106" xfId="0" applyNumberFormat="1" applyFont="1" applyBorder="1"/>
    <xf numFmtId="42" fontId="57" fillId="0" borderId="96" xfId="0" applyNumberFormat="1" applyFont="1" applyBorder="1"/>
    <xf numFmtId="3" fontId="1" fillId="27" borderId="0" xfId="8" applyNumberFormat="1" applyFont="1" applyFill="1" applyAlignment="1">
      <alignment horizontal="right" vertical="center" indent="1"/>
    </xf>
    <xf numFmtId="44" fontId="26" fillId="28" borderId="104" xfId="0" applyNumberFormat="1" applyFont="1" applyFill="1" applyBorder="1"/>
    <xf numFmtId="183" fontId="1" fillId="33" borderId="96" xfId="2" applyNumberFormat="1" applyFont="1" applyFill="1" applyBorder="1" applyProtection="1"/>
    <xf numFmtId="183" fontId="1" fillId="33" borderId="97" xfId="2" applyNumberFormat="1" applyFont="1" applyFill="1" applyBorder="1" applyProtection="1"/>
    <xf numFmtId="42" fontId="57" fillId="34" borderId="106" xfId="0" applyNumberFormat="1" applyFont="1" applyFill="1" applyBorder="1"/>
    <xf numFmtId="42" fontId="57" fillId="34" borderId="96" xfId="0" applyNumberFormat="1" applyFont="1" applyFill="1" applyBorder="1"/>
    <xf numFmtId="183" fontId="1" fillId="27" borderId="0" xfId="2" applyNumberFormat="1" applyFont="1" applyFill="1" applyBorder="1" applyAlignment="1" applyProtection="1">
      <alignment horizontal="right" vertical="center"/>
    </xf>
    <xf numFmtId="183" fontId="1" fillId="27" borderId="104" xfId="2" applyNumberFormat="1" applyFont="1" applyFill="1" applyBorder="1" applyAlignment="1" applyProtection="1">
      <alignment horizontal="right" vertical="center"/>
    </xf>
    <xf numFmtId="44" fontId="57" fillId="31" borderId="0" xfId="8" applyNumberFormat="1" applyFont="1" applyFill="1" applyAlignment="1">
      <alignment horizontal="right" vertical="center"/>
    </xf>
    <xf numFmtId="3" fontId="60" fillId="27" borderId="0" xfId="8" applyNumberFormat="1" applyFont="1" applyFill="1" applyAlignment="1">
      <alignment horizontal="right" vertical="center" indent="1"/>
    </xf>
    <xf numFmtId="183" fontId="1" fillId="29" borderId="96" xfId="2" applyNumberFormat="1" applyFont="1" applyFill="1" applyBorder="1" applyAlignment="1" applyProtection="1">
      <alignment horizontal="right" vertical="center"/>
    </xf>
    <xf numFmtId="183" fontId="1" fillId="29" borderId="97" xfId="2" applyNumberFormat="1" applyFont="1" applyFill="1" applyBorder="1" applyAlignment="1" applyProtection="1">
      <alignment horizontal="right" vertical="center"/>
    </xf>
    <xf numFmtId="42" fontId="57" fillId="30" borderId="106" xfId="8" applyNumberFormat="1" applyFont="1" applyFill="1" applyBorder="1" applyAlignment="1">
      <alignment horizontal="right" vertical="center"/>
    </xf>
    <xf numFmtId="42" fontId="57" fillId="30" borderId="96" xfId="8" applyNumberFormat="1" applyFont="1" applyFill="1" applyBorder="1" applyAlignment="1">
      <alignment horizontal="right" vertical="center"/>
    </xf>
    <xf numFmtId="44" fontId="57" fillId="31" borderId="0" xfId="0" applyNumberFormat="1" applyFont="1" applyFill="1"/>
    <xf numFmtId="183" fontId="28" fillId="27" borderId="0" xfId="6" applyNumberFormat="1" applyFont="1" applyFill="1" applyAlignment="1">
      <alignment horizontal="right"/>
    </xf>
    <xf numFmtId="183" fontId="28" fillId="27" borderId="104" xfId="6" applyNumberFormat="1" applyFont="1" applyFill="1" applyBorder="1" applyAlignment="1">
      <alignment horizontal="right"/>
    </xf>
    <xf numFmtId="0" fontId="1" fillId="27" borderId="0" xfId="0" applyFont="1" applyFill="1" applyAlignment="1">
      <alignment horizontal="right" indent="1"/>
    </xf>
    <xf numFmtId="0" fontId="1" fillId="27" borderId="0" xfId="0" applyFont="1" applyFill="1"/>
    <xf numFmtId="0" fontId="1" fillId="27" borderId="104" xfId="0" applyFont="1" applyFill="1" applyBorder="1"/>
    <xf numFmtId="2" fontId="59" fillId="30" borderId="106" xfId="3" applyNumberFormat="1" applyFont="1" applyFill="1" applyBorder="1" applyAlignment="1" applyProtection="1">
      <alignment horizontal="right"/>
    </xf>
    <xf numFmtId="2" fontId="59" fillId="30" borderId="96" xfId="3" applyNumberFormat="1" applyFont="1" applyFill="1" applyBorder="1" applyAlignment="1" applyProtection="1">
      <alignment horizontal="right"/>
    </xf>
    <xf numFmtId="0" fontId="30" fillId="27" borderId="0" xfId="6" applyFont="1" applyFill="1" applyAlignment="1">
      <alignment horizontal="right"/>
    </xf>
    <xf numFmtId="0" fontId="26" fillId="28" borderId="175" xfId="0" applyFont="1" applyFill="1" applyBorder="1"/>
    <xf numFmtId="0" fontId="26" fillId="28" borderId="176" xfId="0" applyFont="1" applyFill="1" applyBorder="1"/>
    <xf numFmtId="0" fontId="26" fillId="3" borderId="103" xfId="0" applyFont="1" applyFill="1" applyBorder="1"/>
    <xf numFmtId="0" fontId="28" fillId="3" borderId="0" xfId="6" applyFont="1" applyFill="1" applyAlignment="1">
      <alignment horizontal="right" indent="1"/>
    </xf>
    <xf numFmtId="2" fontId="26" fillId="3" borderId="0" xfId="0" applyNumberFormat="1" applyFont="1" applyFill="1"/>
    <xf numFmtId="2" fontId="26" fillId="3" borderId="104" xfId="0" applyNumberFormat="1" applyFont="1" applyFill="1" applyBorder="1"/>
    <xf numFmtId="0" fontId="26" fillId="28" borderId="103" xfId="0" applyFont="1" applyFill="1" applyBorder="1"/>
    <xf numFmtId="0" fontId="26" fillId="28" borderId="0" xfId="0" applyFont="1" applyFill="1"/>
    <xf numFmtId="42" fontId="26" fillId="13" borderId="96" xfId="1" applyNumberFormat="1" applyFont="1" applyFill="1" applyBorder="1" applyProtection="1"/>
    <xf numFmtId="42" fontId="26" fillId="13" borderId="97" xfId="1" applyNumberFormat="1" applyFont="1" applyFill="1" applyBorder="1" applyProtection="1"/>
    <xf numFmtId="42" fontId="26" fillId="13" borderId="99" xfId="1" applyNumberFormat="1" applyFont="1" applyFill="1" applyBorder="1" applyProtection="1"/>
    <xf numFmtId="42" fontId="26" fillId="13" borderId="177" xfId="1" applyNumberFormat="1" applyFont="1" applyFill="1" applyBorder="1" applyProtection="1"/>
    <xf numFmtId="42" fontId="26" fillId="13" borderId="108" xfId="1" applyNumberFormat="1" applyFont="1" applyFill="1" applyBorder="1" applyProtection="1"/>
    <xf numFmtId="42" fontId="26" fillId="13" borderId="109" xfId="1" applyNumberFormat="1" applyFont="1" applyFill="1" applyBorder="1" applyProtection="1"/>
    <xf numFmtId="44" fontId="26" fillId="3" borderId="0" xfId="1" applyNumberFormat="1" applyFont="1" applyFill="1" applyBorder="1" applyProtection="1"/>
    <xf numFmtId="44" fontId="26" fillId="3" borderId="104" xfId="1" applyNumberFormat="1" applyFont="1" applyFill="1" applyBorder="1" applyProtection="1"/>
    <xf numFmtId="0" fontId="30" fillId="3" borderId="0" xfId="6" applyFont="1" applyFill="1" applyAlignment="1">
      <alignment horizontal="right" indent="1"/>
    </xf>
    <xf numFmtId="2" fontId="26" fillId="13" borderId="96" xfId="0" applyNumberFormat="1" applyFont="1" applyFill="1" applyBorder="1"/>
    <xf numFmtId="2" fontId="26" fillId="13" borderId="97" xfId="0" applyNumberFormat="1" applyFont="1" applyFill="1" applyBorder="1"/>
    <xf numFmtId="0" fontId="26" fillId="3" borderId="103" xfId="0" applyFont="1" applyFill="1" applyBorder="1" applyAlignment="1">
      <alignment horizontal="center"/>
    </xf>
    <xf numFmtId="0" fontId="26" fillId="3" borderId="0" xfId="0" applyFont="1" applyFill="1" applyAlignment="1">
      <alignment horizontal="center"/>
    </xf>
    <xf numFmtId="0" fontId="26" fillId="3" borderId="100" xfId="0" applyFont="1" applyFill="1" applyBorder="1" applyAlignment="1">
      <alignment horizontal="center"/>
    </xf>
    <xf numFmtId="0" fontId="26" fillId="3" borderId="101" xfId="0" applyFont="1" applyFill="1" applyBorder="1" applyAlignment="1">
      <alignment horizontal="center"/>
    </xf>
    <xf numFmtId="2" fontId="26" fillId="3" borderId="101" xfId="0" applyNumberFormat="1" applyFont="1" applyFill="1" applyBorder="1"/>
    <xf numFmtId="2" fontId="26" fillId="3" borderId="102" xfId="0" applyNumberFormat="1" applyFont="1" applyFill="1" applyBorder="1"/>
    <xf numFmtId="0" fontId="26" fillId="28" borderId="100" xfId="0" applyFont="1" applyFill="1" applyBorder="1"/>
    <xf numFmtId="0" fontId="26" fillId="28" borderId="101" xfId="0" applyFont="1" applyFill="1" applyBorder="1"/>
    <xf numFmtId="0" fontId="26" fillId="28" borderId="102" xfId="0" applyFont="1" applyFill="1" applyBorder="1"/>
    <xf numFmtId="0" fontId="1" fillId="21" borderId="0" xfId="0" applyFont="1" applyFill="1"/>
    <xf numFmtId="0" fontId="19" fillId="35" borderId="92" xfId="0" applyFont="1" applyFill="1" applyBorder="1" applyAlignment="1">
      <alignment vertical="top"/>
    </xf>
    <xf numFmtId="0" fontId="19" fillId="35" borderId="93" xfId="0" applyFont="1" applyFill="1" applyBorder="1" applyAlignment="1">
      <alignment vertical="top"/>
    </xf>
    <xf numFmtId="0" fontId="28" fillId="36" borderId="13" xfId="0" applyFont="1" applyFill="1" applyBorder="1"/>
    <xf numFmtId="168" fontId="28" fillId="36" borderId="14" xfId="0" applyNumberFormat="1" applyFont="1" applyFill="1" applyBorder="1"/>
    <xf numFmtId="0" fontId="28" fillId="45" borderId="15" xfId="0" applyFont="1" applyFill="1" applyBorder="1" applyAlignment="1">
      <alignment horizontal="center"/>
    </xf>
    <xf numFmtId="10" fontId="28" fillId="38" borderId="14" xfId="0" applyNumberFormat="1" applyFont="1" applyFill="1" applyBorder="1" applyAlignment="1">
      <alignment horizontal="center"/>
    </xf>
    <xf numFmtId="37" fontId="28" fillId="38" borderId="14" xfId="0" applyNumberFormat="1" applyFont="1" applyFill="1" applyBorder="1" applyAlignment="1">
      <alignment horizontal="center"/>
    </xf>
    <xf numFmtId="0" fontId="62" fillId="17" borderId="86" xfId="0" applyFont="1" applyFill="1" applyBorder="1" applyAlignment="1">
      <alignment horizontal="left" vertical="center"/>
    </xf>
    <xf numFmtId="0" fontId="63" fillId="17" borderId="87" xfId="0" applyFont="1" applyFill="1" applyBorder="1" applyAlignment="1">
      <alignment horizontal="center" vertical="center"/>
    </xf>
    <xf numFmtId="0" fontId="63" fillId="17" borderId="88" xfId="0" applyFont="1" applyFill="1" applyBorder="1" applyAlignment="1">
      <alignment horizontal="center" vertical="center"/>
    </xf>
    <xf numFmtId="0" fontId="36" fillId="21" borderId="0" xfId="2" applyNumberFormat="1" applyFont="1" applyFill="1" applyBorder="1" applyAlignment="1" applyProtection="1">
      <alignment horizontal="left" vertical="top"/>
      <protection locked="0"/>
    </xf>
    <xf numFmtId="0" fontId="62" fillId="18" borderId="86" xfId="0" applyFont="1" applyFill="1" applyBorder="1" applyAlignment="1">
      <alignment horizontal="left" vertical="center"/>
    </xf>
    <xf numFmtId="0" fontId="62" fillId="19" borderId="87" xfId="0" applyFont="1" applyFill="1" applyBorder="1" applyAlignment="1">
      <alignment horizontal="center" vertical="center"/>
    </xf>
    <xf numFmtId="0" fontId="62" fillId="19" borderId="88" xfId="0" applyFont="1" applyFill="1" applyBorder="1" applyAlignment="1">
      <alignment horizontal="center" vertical="center"/>
    </xf>
    <xf numFmtId="0" fontId="64" fillId="21" borderId="0" xfId="0" applyFont="1" applyFill="1" applyAlignment="1">
      <alignment horizontal="left" vertical="center" wrapText="1" indent="1"/>
    </xf>
    <xf numFmtId="0" fontId="62" fillId="18" borderId="89" xfId="0" applyFont="1" applyFill="1" applyBorder="1" applyAlignment="1">
      <alignment horizontal="left" vertical="center"/>
    </xf>
    <xf numFmtId="10" fontId="62" fillId="19" borderId="90" xfId="3" applyNumberFormat="1" applyFont="1" applyFill="1" applyBorder="1" applyAlignment="1">
      <alignment horizontal="center" vertical="center"/>
    </xf>
    <xf numFmtId="10" fontId="62" fillId="19" borderId="91" xfId="3" applyNumberFormat="1" applyFont="1" applyFill="1" applyBorder="1" applyAlignment="1">
      <alignment horizontal="center" vertical="center"/>
    </xf>
    <xf numFmtId="0" fontId="62" fillId="21" borderId="0" xfId="0" applyFont="1" applyFill="1" applyAlignment="1">
      <alignment horizontal="left" vertical="center"/>
    </xf>
    <xf numFmtId="44" fontId="62" fillId="19" borderId="87" xfId="2" applyFont="1" applyFill="1" applyBorder="1" applyAlignment="1">
      <alignment horizontal="center" vertical="center"/>
    </xf>
    <xf numFmtId="44" fontId="62" fillId="19" borderId="88" xfId="2" applyFont="1" applyFill="1" applyBorder="1" applyAlignment="1">
      <alignment horizontal="center" vertical="center"/>
    </xf>
    <xf numFmtId="10" fontId="56" fillId="21" borderId="101" xfId="0" applyNumberFormat="1" applyFont="1" applyFill="1" applyBorder="1"/>
    <xf numFmtId="10" fontId="56" fillId="21" borderId="102" xfId="0" applyNumberFormat="1" applyFont="1" applyFill="1" applyBorder="1"/>
    <xf numFmtId="0" fontId="62" fillId="21" borderId="0" xfId="4" applyFont="1" applyFill="1" applyAlignment="1">
      <alignment horizontal="right" vertical="top"/>
    </xf>
    <xf numFmtId="10" fontId="62" fillId="21" borderId="0" xfId="3" applyNumberFormat="1" applyFont="1" applyFill="1" applyBorder="1" applyAlignment="1" applyProtection="1">
      <alignment horizontal="center" vertical="top"/>
    </xf>
    <xf numFmtId="0" fontId="62" fillId="21" borderId="0" xfId="2" applyNumberFormat="1" applyFont="1" applyFill="1" applyBorder="1" applyAlignment="1" applyProtection="1">
      <alignment horizontal="center" vertical="top"/>
      <protection locked="0"/>
    </xf>
    <xf numFmtId="0" fontId="62" fillId="21" borderId="0" xfId="0" applyFont="1" applyFill="1"/>
    <xf numFmtId="0" fontId="62" fillId="20" borderId="86" xfId="0" applyFont="1" applyFill="1" applyBorder="1"/>
    <xf numFmtId="164" fontId="62" fillId="19" borderId="87" xfId="0" applyNumberFormat="1" applyFont="1" applyFill="1" applyBorder="1" applyAlignment="1">
      <alignment horizontal="center" vertical="center"/>
    </xf>
    <xf numFmtId="164" fontId="62" fillId="19" borderId="88" xfId="0" applyNumberFormat="1" applyFont="1" applyFill="1" applyBorder="1" applyAlignment="1">
      <alignment horizontal="center" vertical="center"/>
    </xf>
    <xf numFmtId="44" fontId="62" fillId="0" borderId="87" xfId="2" applyFont="1" applyFill="1" applyBorder="1" applyAlignment="1">
      <alignment horizontal="right" vertical="center"/>
    </xf>
    <xf numFmtId="44" fontId="62" fillId="19" borderId="88" xfId="0" applyNumberFormat="1" applyFont="1" applyFill="1" applyBorder="1" applyAlignment="1">
      <alignment horizontal="center" vertical="center"/>
    </xf>
    <xf numFmtId="44" fontId="62" fillId="0" borderId="88" xfId="2" applyFont="1" applyFill="1" applyBorder="1" applyAlignment="1">
      <alignment horizontal="right" vertical="center"/>
    </xf>
    <xf numFmtId="44" fontId="62" fillId="19" borderId="87" xfId="2" applyFont="1" applyFill="1" applyBorder="1" applyAlignment="1">
      <alignment horizontal="right" vertical="center"/>
    </xf>
    <xf numFmtId="44" fontId="62" fillId="19" borderId="88" xfId="2" applyFont="1" applyFill="1" applyBorder="1" applyAlignment="1">
      <alignment horizontal="right" vertical="center"/>
    </xf>
    <xf numFmtId="2" fontId="62" fillId="0" borderId="87" xfId="2" applyNumberFormat="1" applyFont="1" applyFill="1" applyBorder="1" applyAlignment="1">
      <alignment horizontal="right" vertical="center"/>
    </xf>
    <xf numFmtId="2" fontId="62" fillId="0" borderId="88" xfId="2" applyNumberFormat="1" applyFont="1" applyFill="1" applyBorder="1" applyAlignment="1">
      <alignment horizontal="right" vertical="center"/>
    </xf>
    <xf numFmtId="44" fontId="62" fillId="0" borderId="87" xfId="0" applyNumberFormat="1" applyFont="1" applyBorder="1" applyAlignment="1">
      <alignment horizontal="right" vertical="center"/>
    </xf>
    <xf numFmtId="2" fontId="62" fillId="0" borderId="90" xfId="0" applyNumberFormat="1" applyFont="1" applyBorder="1" applyAlignment="1">
      <alignment horizontal="right" vertical="center"/>
    </xf>
    <xf numFmtId="2" fontId="62" fillId="0" borderId="91" xfId="0" applyNumberFormat="1" applyFont="1" applyBorder="1" applyAlignment="1">
      <alignment horizontal="right" vertical="center"/>
    </xf>
    <xf numFmtId="0" fontId="62" fillId="18" borderId="86" xfId="0" applyFont="1" applyFill="1" applyBorder="1" applyAlignment="1">
      <alignment horizontal="left" vertical="center" indent="1"/>
    </xf>
    <xf numFmtId="0" fontId="62" fillId="18" borderId="89" xfId="0" applyFont="1" applyFill="1" applyBorder="1" applyAlignment="1">
      <alignment horizontal="left" vertical="center" indent="1"/>
    </xf>
    <xf numFmtId="0" fontId="62" fillId="20" borderId="86" xfId="0" applyFont="1" applyFill="1" applyBorder="1" applyAlignment="1">
      <alignment horizontal="left" vertical="center" indent="1"/>
    </xf>
    <xf numFmtId="0" fontId="62" fillId="20" borderId="89" xfId="0" applyFont="1" applyFill="1" applyBorder="1" applyAlignment="1">
      <alignment horizontal="left" vertical="center" indent="1"/>
    </xf>
    <xf numFmtId="10" fontId="62" fillId="19" borderId="88" xfId="0" applyNumberFormat="1" applyFont="1" applyFill="1" applyBorder="1" applyAlignment="1">
      <alignment horizontal="center" vertical="center"/>
    </xf>
    <xf numFmtId="10" fontId="62" fillId="19" borderId="87" xfId="0" applyNumberFormat="1" applyFont="1" applyFill="1" applyBorder="1" applyAlignment="1">
      <alignment horizontal="center" vertical="center"/>
    </xf>
    <xf numFmtId="169" fontId="62" fillId="19" borderId="87" xfId="0" applyNumberFormat="1" applyFont="1" applyFill="1" applyBorder="1" applyAlignment="1">
      <alignment horizontal="center" vertical="center"/>
    </xf>
    <xf numFmtId="3" fontId="62" fillId="18" borderId="86" xfId="0" applyNumberFormat="1" applyFont="1" applyFill="1" applyBorder="1" applyAlignment="1">
      <alignment horizontal="left" vertical="center" indent="1"/>
    </xf>
    <xf numFmtId="0" fontId="28" fillId="3" borderId="75" xfId="0" applyFont="1" applyFill="1" applyBorder="1" applyAlignment="1">
      <alignment vertical="top"/>
    </xf>
    <xf numFmtId="0" fontId="30" fillId="38" borderId="44" xfId="0" applyFont="1" applyFill="1" applyBorder="1" applyAlignment="1">
      <alignment horizontal="center" vertical="center"/>
    </xf>
    <xf numFmtId="0" fontId="30" fillId="38" borderId="44" xfId="0" applyFont="1" applyFill="1" applyBorder="1" applyAlignment="1">
      <alignment horizontal="center" vertical="center" wrapText="1"/>
    </xf>
    <xf numFmtId="0" fontId="30" fillId="38" borderId="70" xfId="0" applyFont="1" applyFill="1" applyBorder="1" applyAlignment="1">
      <alignment horizontal="center" vertical="center" wrapText="1"/>
    </xf>
    <xf numFmtId="0" fontId="30" fillId="3" borderId="67" xfId="0" applyFont="1" applyFill="1" applyBorder="1" applyAlignment="1">
      <alignment vertical="top"/>
    </xf>
    <xf numFmtId="168" fontId="28" fillId="0" borderId="17" xfId="0" applyNumberFormat="1" applyFont="1" applyBorder="1" applyAlignment="1" applyProtection="1">
      <alignment vertical="top"/>
      <protection locked="0"/>
    </xf>
    <xf numFmtId="168" fontId="28" fillId="29" borderId="17" xfId="0" applyNumberFormat="1" applyFont="1" applyFill="1" applyBorder="1" applyAlignment="1" applyProtection="1">
      <alignment vertical="top"/>
      <protection locked="0"/>
    </xf>
    <xf numFmtId="168" fontId="28" fillId="39" borderId="17" xfId="0" applyNumberFormat="1" applyFont="1" applyFill="1" applyBorder="1" applyAlignment="1" applyProtection="1">
      <alignment vertical="top"/>
      <protection locked="0"/>
    </xf>
    <xf numFmtId="168" fontId="28" fillId="42" borderId="17" xfId="0" applyNumberFormat="1" applyFont="1" applyFill="1" applyBorder="1"/>
    <xf numFmtId="170" fontId="28" fillId="3" borderId="167" xfId="0" applyNumberFormat="1" applyFont="1" applyFill="1" applyBorder="1" applyAlignment="1">
      <alignment vertical="top"/>
    </xf>
    <xf numFmtId="170" fontId="28" fillId="3" borderId="41" xfId="0" applyNumberFormat="1" applyFont="1" applyFill="1" applyBorder="1" applyAlignment="1">
      <alignment vertical="top"/>
    </xf>
    <xf numFmtId="170" fontId="28" fillId="3" borderId="43" xfId="0" applyNumberFormat="1" applyFont="1" applyFill="1" applyBorder="1" applyAlignment="1">
      <alignment vertical="top"/>
    </xf>
    <xf numFmtId="10" fontId="36" fillId="0" borderId="48" xfId="0" applyNumberFormat="1" applyFont="1" applyBorder="1" applyAlignment="1">
      <alignment horizontal="left" vertical="top" indent="1"/>
    </xf>
    <xf numFmtId="0" fontId="28" fillId="3" borderId="21" xfId="0" applyFont="1" applyFill="1" applyBorder="1" applyAlignment="1" applyProtection="1">
      <alignment horizontal="right" indent="1"/>
      <protection locked="0"/>
    </xf>
    <xf numFmtId="0" fontId="52" fillId="15" borderId="178" xfId="0" applyFont="1" applyFill="1" applyBorder="1" applyAlignment="1">
      <alignment vertical="top"/>
    </xf>
    <xf numFmtId="0" fontId="52" fillId="15" borderId="179" xfId="0" applyFont="1" applyFill="1" applyBorder="1" applyAlignment="1">
      <alignment vertical="top"/>
    </xf>
    <xf numFmtId="0" fontId="52" fillId="15" borderId="180" xfId="0" applyFont="1" applyFill="1" applyBorder="1" applyAlignment="1">
      <alignment vertical="top"/>
    </xf>
    <xf numFmtId="167" fontId="36" fillId="3" borderId="44" xfId="0" applyNumberFormat="1" applyFont="1" applyFill="1" applyBorder="1" applyAlignment="1">
      <alignment horizontal="center" vertical="center"/>
    </xf>
    <xf numFmtId="168" fontId="56" fillId="21" borderId="14" xfId="0" applyNumberFormat="1" applyFont="1" applyFill="1" applyBorder="1"/>
    <xf numFmtId="169" fontId="56" fillId="21" borderId="14" xfId="0" applyNumberFormat="1" applyFont="1" applyFill="1" applyBorder="1" applyAlignment="1">
      <alignment horizontal="center"/>
    </xf>
    <xf numFmtId="0" fontId="36" fillId="56" borderId="46" xfId="0" applyFont="1" applyFill="1" applyBorder="1" applyAlignment="1">
      <alignment horizontal="left" vertical="top" indent="1"/>
    </xf>
    <xf numFmtId="0" fontId="56" fillId="56" borderId="0" xfId="0" applyFont="1" applyFill="1"/>
    <xf numFmtId="0" fontId="56" fillId="56" borderId="101" xfId="0" applyFont="1" applyFill="1" applyBorder="1"/>
    <xf numFmtId="0" fontId="56" fillId="56" borderId="0" xfId="0" applyFont="1" applyFill="1" applyAlignment="1">
      <alignment horizontal="right" indent="1"/>
    </xf>
    <xf numFmtId="0" fontId="56" fillId="56" borderId="101" xfId="0" applyFont="1" applyFill="1" applyBorder="1" applyAlignment="1">
      <alignment horizontal="right" indent="1"/>
    </xf>
    <xf numFmtId="167" fontId="36" fillId="3" borderId="182" xfId="0" applyNumberFormat="1" applyFont="1" applyFill="1" applyBorder="1" applyAlignment="1">
      <alignment horizontal="center" vertical="center"/>
    </xf>
    <xf numFmtId="168" fontId="56" fillId="21" borderId="181" xfId="0" applyNumberFormat="1" applyFont="1" applyFill="1" applyBorder="1"/>
    <xf numFmtId="0" fontId="29" fillId="56" borderId="6" xfId="0" applyFont="1" applyFill="1" applyBorder="1" applyAlignment="1">
      <alignment horizontal="left" vertical="top" indent="1"/>
    </xf>
    <xf numFmtId="168" fontId="56" fillId="0" borderId="184" xfId="0" applyNumberFormat="1" applyFont="1" applyBorder="1"/>
    <xf numFmtId="168" fontId="56" fillId="0" borderId="183" xfId="0" applyNumberFormat="1" applyFont="1" applyBorder="1"/>
    <xf numFmtId="0" fontId="26" fillId="0" borderId="95" xfId="0" applyFont="1" applyBorder="1" applyAlignment="1">
      <alignment horizontal="right" indent="1"/>
    </xf>
    <xf numFmtId="170" fontId="26" fillId="0" borderId="97" xfId="0" applyNumberFormat="1" applyFont="1" applyBorder="1" applyAlignment="1">
      <alignment horizontal="center"/>
    </xf>
    <xf numFmtId="0" fontId="26" fillId="56" borderId="185" xfId="0" applyFont="1" applyFill="1" applyBorder="1" applyAlignment="1">
      <alignment horizontal="right" indent="1"/>
    </xf>
    <xf numFmtId="0" fontId="26" fillId="56" borderId="186" xfId="0" applyFont="1" applyFill="1" applyBorder="1" applyAlignment="1">
      <alignment horizontal="center"/>
    </xf>
    <xf numFmtId="0" fontId="26" fillId="56" borderId="98" xfId="0" applyFont="1" applyFill="1" applyBorder="1" applyAlignment="1">
      <alignment horizontal="right" indent="1"/>
    </xf>
    <xf numFmtId="170" fontId="26" fillId="56" borderId="177" xfId="0" applyNumberFormat="1" applyFont="1" applyFill="1" applyBorder="1" applyAlignment="1">
      <alignment horizontal="center"/>
    </xf>
    <xf numFmtId="42" fontId="26" fillId="0" borderId="97" xfId="0" applyNumberFormat="1" applyFont="1" applyBorder="1" applyAlignment="1">
      <alignment horizontal="center"/>
    </xf>
    <xf numFmtId="42" fontId="26" fillId="56" borderId="177" xfId="0" applyNumberFormat="1" applyFont="1" applyFill="1" applyBorder="1" applyAlignment="1">
      <alignment horizontal="center"/>
    </xf>
    <xf numFmtId="0" fontId="30" fillId="42" borderId="44" xfId="0" applyFont="1" applyFill="1" applyBorder="1" applyAlignment="1">
      <alignment horizontal="center" vertical="center"/>
    </xf>
    <xf numFmtId="0" fontId="30" fillId="42" borderId="70" xfId="0" applyFont="1" applyFill="1" applyBorder="1" applyAlignment="1">
      <alignment horizontal="center" vertical="center" wrapText="1"/>
    </xf>
    <xf numFmtId="0" fontId="67" fillId="0" borderId="0" xfId="0" applyFont="1"/>
    <xf numFmtId="168" fontId="56" fillId="58" borderId="14" xfId="0" applyNumberFormat="1" applyFont="1" applyFill="1" applyBorder="1"/>
    <xf numFmtId="0" fontId="29" fillId="3" borderId="45" xfId="0" applyFont="1" applyFill="1" applyBorder="1" applyAlignment="1">
      <alignment horizontal="center" vertical="top"/>
    </xf>
    <xf numFmtId="0" fontId="51" fillId="15" borderId="64" xfId="0" applyFont="1" applyFill="1" applyBorder="1" applyAlignment="1">
      <alignment vertical="top"/>
    </xf>
    <xf numFmtId="0" fontId="52" fillId="15" borderId="149" xfId="0" applyFont="1" applyFill="1" applyBorder="1" applyAlignment="1">
      <alignment vertical="top"/>
    </xf>
    <xf numFmtId="168" fontId="56" fillId="58" borderId="51" xfId="0" applyNumberFormat="1" applyFont="1" applyFill="1" applyBorder="1"/>
    <xf numFmtId="0" fontId="29" fillId="3" borderId="65" xfId="0" applyFont="1" applyFill="1" applyBorder="1" applyAlignment="1">
      <alignment horizontal="center" vertical="top" wrapText="1"/>
    </xf>
    <xf numFmtId="0" fontId="29" fillId="3" borderId="38" xfId="0" applyFont="1" applyFill="1" applyBorder="1" applyAlignment="1">
      <alignment horizontal="center" vertical="top"/>
    </xf>
    <xf numFmtId="0" fontId="29" fillId="3" borderId="187" xfId="0" applyFont="1" applyFill="1" applyBorder="1" applyAlignment="1">
      <alignment horizontal="center" vertical="top"/>
    </xf>
    <xf numFmtId="169" fontId="56" fillId="58" borderId="14" xfId="0" applyNumberFormat="1" applyFont="1" applyFill="1" applyBorder="1" applyAlignment="1">
      <alignment horizontal="center"/>
    </xf>
    <xf numFmtId="0" fontId="52" fillId="15" borderId="1" xfId="0" applyFont="1" applyFill="1" applyBorder="1" applyAlignment="1">
      <alignment vertical="top"/>
    </xf>
    <xf numFmtId="0" fontId="52" fillId="15" borderId="64" xfId="0" applyFont="1" applyFill="1" applyBorder="1" applyAlignment="1">
      <alignment vertical="top"/>
    </xf>
    <xf numFmtId="169" fontId="56" fillId="58" borderId="51" xfId="0" applyNumberFormat="1" applyFont="1" applyFill="1" applyBorder="1" applyAlignment="1">
      <alignment horizontal="center"/>
    </xf>
    <xf numFmtId="168" fontId="56" fillId="58" borderId="24" xfId="0" applyNumberFormat="1" applyFont="1" applyFill="1" applyBorder="1"/>
    <xf numFmtId="169" fontId="56" fillId="58" borderId="24" xfId="0" applyNumberFormat="1" applyFont="1" applyFill="1" applyBorder="1" applyAlignment="1">
      <alignment horizontal="center"/>
    </xf>
    <xf numFmtId="0" fontId="29" fillId="5" borderId="0" xfId="0" applyFont="1" applyFill="1"/>
    <xf numFmtId="0" fontId="69" fillId="0" borderId="2" xfId="0" applyFont="1" applyBorder="1"/>
    <xf numFmtId="42" fontId="35" fillId="0" borderId="14" xfId="0" applyNumberFormat="1" applyFont="1" applyBorder="1" applyAlignment="1" applyProtection="1">
      <alignment horizontal="center" vertical="top"/>
      <protection locked="0"/>
    </xf>
    <xf numFmtId="0" fontId="29" fillId="3" borderId="2" xfId="0" applyFont="1" applyFill="1" applyBorder="1" applyAlignment="1">
      <alignment horizontal="center" vertical="top" wrapText="1"/>
    </xf>
    <xf numFmtId="0" fontId="51" fillId="15" borderId="198" xfId="0" applyFont="1" applyFill="1" applyBorder="1" applyAlignment="1">
      <alignment vertical="top"/>
    </xf>
    <xf numFmtId="0" fontId="52" fillId="15" borderId="30" xfId="0" applyFont="1" applyFill="1" applyBorder="1" applyAlignment="1">
      <alignment vertical="top"/>
    </xf>
    <xf numFmtId="0" fontId="36" fillId="3" borderId="45" xfId="0" applyFont="1" applyFill="1" applyBorder="1" applyAlignment="1">
      <alignment vertical="top"/>
    </xf>
    <xf numFmtId="0" fontId="36" fillId="0" borderId="15" xfId="0" applyFont="1" applyBorder="1" applyAlignment="1">
      <alignment horizontal="left" vertical="top" indent="1"/>
    </xf>
    <xf numFmtId="172" fontId="36" fillId="0" borderId="14" xfId="0" applyNumberFormat="1" applyFont="1" applyBorder="1" applyAlignment="1">
      <alignment horizontal="right" vertical="top"/>
    </xf>
    <xf numFmtId="0" fontId="36" fillId="3" borderId="14" xfId="0" applyFont="1" applyFill="1" applyBorder="1"/>
    <xf numFmtId="0" fontId="36" fillId="3" borderId="14" xfId="0" applyFont="1" applyFill="1" applyBorder="1" applyAlignment="1">
      <alignment horizontal="center"/>
    </xf>
    <xf numFmtId="0" fontId="36" fillId="3" borderId="15" xfId="0" applyFont="1" applyFill="1" applyBorder="1" applyAlignment="1">
      <alignment horizontal="center"/>
    </xf>
    <xf numFmtId="0" fontId="36" fillId="3" borderId="20" xfId="0" applyFont="1" applyFill="1" applyBorder="1" applyAlignment="1">
      <alignment horizontal="center"/>
    </xf>
    <xf numFmtId="167" fontId="36" fillId="3" borderId="14" xfId="0" applyNumberFormat="1" applyFont="1" applyFill="1" applyBorder="1" applyAlignment="1">
      <alignment horizontal="center" vertical="center"/>
    </xf>
    <xf numFmtId="0" fontId="26" fillId="56" borderId="185" xfId="0" applyFont="1" applyFill="1" applyBorder="1"/>
    <xf numFmtId="0" fontId="26" fillId="56" borderId="199" xfId="0" applyFont="1" applyFill="1" applyBorder="1" applyAlignment="1">
      <alignment horizontal="center"/>
    </xf>
    <xf numFmtId="0" fontId="26" fillId="0" borderId="95" xfId="0" applyFont="1" applyBorder="1" applyAlignment="1">
      <alignment horizontal="left"/>
    </xf>
    <xf numFmtId="168" fontId="26" fillId="0" borderId="96" xfId="0" applyNumberFormat="1" applyFont="1" applyBorder="1" applyAlignment="1">
      <alignment horizontal="left"/>
    </xf>
    <xf numFmtId="42" fontId="26" fillId="0" borderId="96" xfId="0" applyNumberFormat="1" applyFont="1" applyBorder="1" applyAlignment="1">
      <alignment horizontal="left"/>
    </xf>
    <xf numFmtId="168" fontId="26" fillId="0" borderId="97" xfId="0" applyNumberFormat="1" applyFont="1" applyBorder="1" applyAlignment="1">
      <alignment horizontal="left"/>
    </xf>
    <xf numFmtId="0" fontId="26" fillId="0" borderId="98" xfId="0" applyFont="1" applyBorder="1" applyAlignment="1">
      <alignment horizontal="left"/>
    </xf>
    <xf numFmtId="168" fontId="26" fillId="0" borderId="99" xfId="0" applyNumberFormat="1" applyFont="1" applyBorder="1" applyAlignment="1">
      <alignment horizontal="left"/>
    </xf>
    <xf numFmtId="42" fontId="26" fillId="0" borderId="99" xfId="0" applyNumberFormat="1" applyFont="1" applyBorder="1" applyAlignment="1">
      <alignment horizontal="left"/>
    </xf>
    <xf numFmtId="168" fontId="26" fillId="0" borderId="177" xfId="0" applyNumberFormat="1" applyFont="1" applyBorder="1" applyAlignment="1">
      <alignment horizontal="left"/>
    </xf>
    <xf numFmtId="168" fontId="0" fillId="21" borderId="0" xfId="0" applyNumberFormat="1" applyFill="1"/>
    <xf numFmtId="185" fontId="0" fillId="21" borderId="0" xfId="0" applyNumberFormat="1" applyFill="1"/>
    <xf numFmtId="10" fontId="0" fillId="21" borderId="0" xfId="0" applyNumberFormat="1" applyFill="1"/>
    <xf numFmtId="0" fontId="51" fillId="15" borderId="63" xfId="0" applyFont="1" applyFill="1" applyBorder="1" applyAlignment="1">
      <alignment vertical="top"/>
    </xf>
    <xf numFmtId="0" fontId="52" fillId="15" borderId="46" xfId="0" applyFont="1" applyFill="1" applyBorder="1" applyAlignment="1">
      <alignment vertical="top"/>
    </xf>
    <xf numFmtId="0" fontId="52" fillId="15" borderId="200" xfId="0" applyFont="1" applyFill="1" applyBorder="1" applyAlignment="1">
      <alignment vertical="top"/>
    </xf>
    <xf numFmtId="0" fontId="52" fillId="15" borderId="31" xfId="0" applyFont="1" applyFill="1" applyBorder="1" applyAlignment="1">
      <alignment vertical="top"/>
    </xf>
    <xf numFmtId="0" fontId="52" fillId="15" borderId="117" xfId="0" applyFont="1" applyFill="1" applyBorder="1" applyAlignment="1">
      <alignment vertical="top"/>
    </xf>
    <xf numFmtId="0" fontId="52" fillId="15" borderId="201" xfId="0" applyFont="1" applyFill="1" applyBorder="1" applyAlignment="1">
      <alignment vertical="top"/>
    </xf>
    <xf numFmtId="0" fontId="52" fillId="15" borderId="202" xfId="0" applyFont="1" applyFill="1" applyBorder="1" applyAlignment="1">
      <alignment vertical="top"/>
    </xf>
    <xf numFmtId="0" fontId="52" fillId="15" borderId="131" xfId="0" applyFont="1" applyFill="1" applyBorder="1" applyAlignment="1">
      <alignment vertical="top"/>
    </xf>
    <xf numFmtId="0" fontId="51" fillId="15" borderId="26" xfId="0" applyFont="1" applyFill="1" applyBorder="1" applyAlignment="1">
      <alignment vertical="top"/>
    </xf>
    <xf numFmtId="0" fontId="51" fillId="15" borderId="32" xfId="0" applyFont="1" applyFill="1" applyBorder="1" applyAlignment="1">
      <alignment vertical="top"/>
    </xf>
    <xf numFmtId="0" fontId="52" fillId="15" borderId="37" xfId="0" applyFont="1" applyFill="1" applyBorder="1" applyAlignment="1">
      <alignment vertical="top"/>
    </xf>
    <xf numFmtId="0" fontId="36" fillId="3" borderId="44" xfId="0" applyFont="1" applyFill="1" applyBorder="1"/>
    <xf numFmtId="168" fontId="36" fillId="0" borderId="51" xfId="0" applyNumberFormat="1" applyFont="1" applyBorder="1" applyAlignment="1">
      <alignment horizontal="right" vertical="top"/>
    </xf>
    <xf numFmtId="168" fontId="36" fillId="0" borderId="24" xfId="0" applyNumberFormat="1" applyFont="1" applyBorder="1" applyAlignment="1">
      <alignment horizontal="right" vertical="top"/>
    </xf>
    <xf numFmtId="168" fontId="36" fillId="0" borderId="48" xfId="0" applyNumberFormat="1" applyFont="1" applyBorder="1" applyAlignment="1">
      <alignment horizontal="right" vertical="top"/>
    </xf>
    <xf numFmtId="0" fontId="36" fillId="56" borderId="24" xfId="0" applyFont="1" applyFill="1" applyBorder="1" applyAlignment="1">
      <alignment horizontal="left" vertical="top" indent="1"/>
    </xf>
    <xf numFmtId="168" fontId="36" fillId="56" borderId="24" xfId="0" applyNumberFormat="1" applyFont="1" applyFill="1" applyBorder="1" applyAlignment="1">
      <alignment horizontal="right" vertical="top"/>
    </xf>
    <xf numFmtId="0" fontId="56" fillId="51" borderId="45" xfId="0" applyFont="1" applyFill="1" applyBorder="1" applyAlignment="1">
      <alignment horizontal="center"/>
    </xf>
    <xf numFmtId="0" fontId="56" fillId="51" borderId="42" xfId="0" applyFont="1" applyFill="1" applyBorder="1" applyAlignment="1">
      <alignment horizontal="center"/>
    </xf>
    <xf numFmtId="0" fontId="51" fillId="15" borderId="67" xfId="0" applyFont="1" applyFill="1" applyBorder="1" applyAlignment="1">
      <alignment vertical="top"/>
    </xf>
    <xf numFmtId="0" fontId="36" fillId="5" borderId="24" xfId="0" applyFont="1" applyFill="1" applyBorder="1" applyAlignment="1">
      <alignment horizontal="left" indent="1"/>
    </xf>
    <xf numFmtId="165" fontId="36" fillId="0" borderId="14" xfId="0" applyNumberFormat="1" applyFont="1" applyBorder="1" applyAlignment="1">
      <alignment vertical="top"/>
    </xf>
    <xf numFmtId="0" fontId="36" fillId="5" borderId="14" xfId="0" applyFont="1" applyFill="1" applyBorder="1" applyAlignment="1">
      <alignment horizontal="left" indent="1"/>
    </xf>
    <xf numFmtId="0" fontId="36" fillId="3" borderId="14" xfId="0" applyFont="1" applyFill="1" applyBorder="1" applyAlignment="1">
      <alignment horizontal="left" indent="1"/>
    </xf>
    <xf numFmtId="175" fontId="36" fillId="3" borderId="14" xfId="0" applyNumberFormat="1" applyFont="1" applyFill="1" applyBorder="1" applyAlignment="1">
      <alignment vertical="top"/>
    </xf>
    <xf numFmtId="165" fontId="36" fillId="3" borderId="14" xfId="0" applyNumberFormat="1" applyFont="1" applyFill="1" applyBorder="1" applyAlignment="1">
      <alignment vertical="top"/>
    </xf>
    <xf numFmtId="0" fontId="56" fillId="56" borderId="96" xfId="0" applyFont="1" applyFill="1" applyBorder="1"/>
    <xf numFmtId="0" fontId="56" fillId="21" borderId="96" xfId="0" applyFont="1" applyFill="1" applyBorder="1" applyAlignment="1">
      <alignment horizontal="left" indent="1"/>
    </xf>
    <xf numFmtId="168" fontId="56" fillId="21" borderId="96" xfId="0" applyNumberFormat="1" applyFont="1" applyFill="1" applyBorder="1"/>
    <xf numFmtId="185" fontId="56" fillId="21" borderId="96" xfId="0" applyNumberFormat="1" applyFont="1" applyFill="1" applyBorder="1"/>
    <xf numFmtId="10" fontId="56" fillId="21" borderId="96" xfId="0" applyNumberFormat="1" applyFont="1" applyFill="1" applyBorder="1"/>
    <xf numFmtId="0" fontId="56" fillId="56" borderId="96" xfId="0" applyFont="1" applyFill="1" applyBorder="1" applyAlignment="1">
      <alignment horizontal="left" indent="1"/>
    </xf>
    <xf numFmtId="168" fontId="56" fillId="56" borderId="96" xfId="0" applyNumberFormat="1" applyFont="1" applyFill="1" applyBorder="1"/>
    <xf numFmtId="185" fontId="56" fillId="56" borderId="96" xfId="0" applyNumberFormat="1" applyFont="1" applyFill="1" applyBorder="1"/>
    <xf numFmtId="10" fontId="56" fillId="56" borderId="96" xfId="0" applyNumberFormat="1" applyFont="1" applyFill="1" applyBorder="1"/>
    <xf numFmtId="0" fontId="51" fillId="61" borderId="63" xfId="0" applyFont="1" applyFill="1" applyBorder="1" applyAlignment="1">
      <alignment horizontal="left"/>
    </xf>
    <xf numFmtId="0" fontId="52" fillId="61" borderId="46" xfId="0" applyFont="1" applyFill="1" applyBorder="1"/>
    <xf numFmtId="0" fontId="52" fillId="61" borderId="31" xfId="0" applyFont="1" applyFill="1" applyBorder="1"/>
    <xf numFmtId="0" fontId="52" fillId="61" borderId="30" xfId="0" applyFont="1" applyFill="1" applyBorder="1"/>
    <xf numFmtId="0" fontId="52" fillId="61" borderId="4" xfId="0" applyFont="1" applyFill="1" applyBorder="1"/>
    <xf numFmtId="0" fontId="52" fillId="61" borderId="21" xfId="0" applyFont="1" applyFill="1" applyBorder="1"/>
    <xf numFmtId="0" fontId="56" fillId="56" borderId="22" xfId="0" applyFont="1" applyFill="1" applyBorder="1"/>
    <xf numFmtId="0" fontId="36" fillId="3" borderId="21" xfId="0" applyFont="1" applyFill="1" applyBorder="1"/>
    <xf numFmtId="172" fontId="36" fillId="3" borderId="204" xfId="0" applyNumberFormat="1" applyFont="1" applyFill="1" applyBorder="1"/>
    <xf numFmtId="172" fontId="36" fillId="3" borderId="203" xfId="0" applyNumberFormat="1" applyFont="1" applyFill="1" applyBorder="1"/>
    <xf numFmtId="0" fontId="29" fillId="3" borderId="72" xfId="0" applyFont="1" applyFill="1" applyBorder="1"/>
    <xf numFmtId="172" fontId="29" fillId="3" borderId="43" xfId="0" applyNumberFormat="1" applyFont="1" applyFill="1" applyBorder="1"/>
    <xf numFmtId="0" fontId="51" fillId="61" borderId="1" xfId="0" applyFont="1" applyFill="1" applyBorder="1"/>
    <xf numFmtId="0" fontId="52" fillId="61" borderId="3" xfId="0" applyFont="1" applyFill="1" applyBorder="1"/>
    <xf numFmtId="0" fontId="52" fillId="61" borderId="6" xfId="0" applyFont="1" applyFill="1" applyBorder="1"/>
    <xf numFmtId="0" fontId="52" fillId="61" borderId="8" xfId="0" applyFont="1" applyFill="1" applyBorder="1"/>
    <xf numFmtId="0" fontId="52" fillId="58" borderId="0" xfId="0" applyFont="1" applyFill="1" applyAlignment="1">
      <alignment horizontal="left"/>
    </xf>
    <xf numFmtId="42" fontId="52" fillId="58" borderId="0" xfId="0" applyNumberFormat="1" applyFont="1" applyFill="1"/>
    <xf numFmtId="0" fontId="36" fillId="0" borderId="69" xfId="0" applyFont="1" applyBorder="1"/>
    <xf numFmtId="0" fontId="36" fillId="0" borderId="65" xfId="0" applyFont="1" applyBorder="1"/>
    <xf numFmtId="0" fontId="36" fillId="0" borderId="66" xfId="0" applyFont="1" applyBorder="1"/>
    <xf numFmtId="168" fontId="28" fillId="60" borderId="166" xfId="0" applyNumberFormat="1" applyFont="1" applyFill="1" applyBorder="1" applyAlignment="1" applyProtection="1">
      <alignment vertical="top"/>
      <protection locked="0"/>
    </xf>
    <xf numFmtId="0" fontId="28" fillId="3" borderId="37" xfId="0" applyFont="1" applyFill="1" applyBorder="1" applyAlignment="1">
      <alignment horizontal="center" vertical="center" wrapText="1"/>
    </xf>
    <xf numFmtId="0" fontId="42" fillId="3" borderId="201" xfId="0" applyFont="1" applyFill="1" applyBorder="1" applyAlignment="1">
      <alignment horizontal="center" wrapText="1"/>
    </xf>
    <xf numFmtId="0" fontId="30" fillId="3" borderId="0" xfId="0" applyFont="1" applyFill="1" applyAlignment="1">
      <alignment horizontal="center" wrapText="1"/>
    </xf>
    <xf numFmtId="186" fontId="56" fillId="21" borderId="96" xfId="0" applyNumberFormat="1" applyFont="1" applyFill="1" applyBorder="1"/>
    <xf numFmtId="0" fontId="70" fillId="58" borderId="0" xfId="0" applyFont="1" applyFill="1" applyAlignment="1">
      <alignment horizontal="left"/>
    </xf>
    <xf numFmtId="186" fontId="71" fillId="58" borderId="0" xfId="0" applyNumberFormat="1" applyFont="1" applyFill="1"/>
    <xf numFmtId="168" fontId="71" fillId="58" borderId="0" xfId="0" applyNumberFormat="1" applyFont="1" applyFill="1"/>
    <xf numFmtId="185" fontId="71" fillId="58" borderId="0" xfId="0" applyNumberFormat="1" applyFont="1" applyFill="1"/>
    <xf numFmtId="10" fontId="71" fillId="58" borderId="0" xfId="0" applyNumberFormat="1" applyFont="1" applyFill="1"/>
    <xf numFmtId="168" fontId="56" fillId="58" borderId="0" xfId="0" applyNumberFormat="1" applyFont="1" applyFill="1"/>
    <xf numFmtId="185" fontId="38" fillId="56" borderId="93" xfId="0" applyNumberFormat="1" applyFont="1" applyFill="1" applyBorder="1"/>
    <xf numFmtId="0" fontId="66" fillId="3" borderId="64" xfId="0" applyFont="1" applyFill="1" applyBorder="1" applyAlignment="1">
      <alignment horizontal="center" vertical="top" wrapText="1"/>
    </xf>
    <xf numFmtId="0" fontId="20" fillId="3" borderId="32" xfId="0" applyFont="1" applyFill="1" applyBorder="1" applyAlignment="1">
      <alignment horizontal="center" vertical="top" wrapText="1"/>
    </xf>
    <xf numFmtId="0" fontId="20" fillId="3" borderId="67" xfId="0" applyFont="1" applyFill="1" applyBorder="1" applyAlignment="1">
      <alignment horizontal="center" vertical="top" wrapText="1"/>
    </xf>
    <xf numFmtId="0" fontId="73" fillId="14" borderId="12" xfId="0" applyFont="1" applyFill="1" applyBorder="1" applyAlignment="1">
      <alignment horizontal="center" vertical="center"/>
    </xf>
    <xf numFmtId="0" fontId="74" fillId="0" borderId="11" xfId="0" applyFont="1" applyBorder="1" applyAlignment="1" applyProtection="1">
      <alignment horizontal="center" vertical="center" wrapText="1"/>
      <protection locked="0"/>
    </xf>
    <xf numFmtId="0" fontId="74" fillId="0" borderId="12" xfId="0" applyFont="1" applyBorder="1" applyAlignment="1" applyProtection="1">
      <alignment horizontal="center" vertical="center" wrapText="1"/>
      <protection locked="0"/>
    </xf>
    <xf numFmtId="0" fontId="75" fillId="13" borderId="68" xfId="0" applyFont="1" applyFill="1" applyBorder="1" applyAlignment="1">
      <alignment horizontal="center" vertical="center" wrapText="1"/>
    </xf>
    <xf numFmtId="0" fontId="75" fillId="13" borderId="52" xfId="0" applyFont="1" applyFill="1" applyBorder="1" applyAlignment="1">
      <alignment horizontal="center" vertical="center" wrapText="1"/>
    </xf>
    <xf numFmtId="0" fontId="75" fillId="13" borderId="53" xfId="0" applyFont="1" applyFill="1" applyBorder="1" applyAlignment="1">
      <alignment horizontal="center" vertical="center" wrapText="1"/>
    </xf>
    <xf numFmtId="0" fontId="36" fillId="13" borderId="34" xfId="0" applyFont="1" applyFill="1" applyBorder="1" applyAlignment="1">
      <alignment horizontal="left" vertical="center" wrapText="1"/>
    </xf>
    <xf numFmtId="0" fontId="36" fillId="13" borderId="24" xfId="0" applyFont="1" applyFill="1" applyBorder="1" applyAlignment="1">
      <alignment horizontal="left" vertical="center" wrapText="1"/>
    </xf>
    <xf numFmtId="0" fontId="36" fillId="13" borderId="36" xfId="0" applyFont="1" applyFill="1" applyBorder="1" applyAlignment="1">
      <alignment horizontal="left" vertical="center" wrapText="1"/>
    </xf>
    <xf numFmtId="0" fontId="36" fillId="13" borderId="16" xfId="0" applyFont="1" applyFill="1" applyBorder="1" applyAlignment="1">
      <alignment horizontal="left" vertical="center" wrapText="1"/>
    </xf>
    <xf numFmtId="0" fontId="36" fillId="13" borderId="14" xfId="0" applyFont="1" applyFill="1" applyBorder="1" applyAlignment="1">
      <alignment horizontal="left" vertical="center" wrapText="1"/>
    </xf>
    <xf numFmtId="0" fontId="36" fillId="13" borderId="20" xfId="0" applyFont="1" applyFill="1" applyBorder="1" applyAlignment="1">
      <alignment horizontal="left" vertical="center" wrapText="1"/>
    </xf>
    <xf numFmtId="0" fontId="36" fillId="13" borderId="41" xfId="0" applyFont="1" applyFill="1" applyBorder="1" applyAlignment="1">
      <alignment horizontal="left" vertical="center" wrapText="1"/>
    </xf>
    <xf numFmtId="0" fontId="36" fillId="13" borderId="51" xfId="0" applyFont="1" applyFill="1" applyBorder="1" applyAlignment="1">
      <alignment horizontal="left" vertical="center" wrapText="1"/>
    </xf>
    <xf numFmtId="0" fontId="36" fillId="13" borderId="49" xfId="0" applyFont="1" applyFill="1" applyBorder="1" applyAlignment="1">
      <alignment horizontal="left" vertical="center" wrapText="1"/>
    </xf>
    <xf numFmtId="0" fontId="26" fillId="21" borderId="0" xfId="0" applyFont="1" applyFill="1" applyAlignment="1">
      <alignment horizontal="left" indent="1"/>
    </xf>
    <xf numFmtId="168" fontId="26" fillId="21" borderId="0" xfId="0" applyNumberFormat="1" applyFont="1" applyFill="1"/>
    <xf numFmtId="42" fontId="26" fillId="51" borderId="0" xfId="0" applyNumberFormat="1" applyFont="1" applyFill="1" applyProtection="1">
      <protection locked="0"/>
    </xf>
    <xf numFmtId="42" fontId="26" fillId="21" borderId="0" xfId="0" applyNumberFormat="1" applyFont="1" applyFill="1"/>
    <xf numFmtId="44" fontId="26" fillId="51" borderId="0" xfId="0" applyNumberFormat="1" applyFont="1" applyFill="1" applyProtection="1">
      <protection locked="0"/>
    </xf>
    <xf numFmtId="0" fontId="28" fillId="3" borderId="206" xfId="0" applyFont="1" applyFill="1" applyBorder="1" applyAlignment="1">
      <alignment horizontal="center" vertical="center" wrapText="1"/>
    </xf>
    <xf numFmtId="0" fontId="28" fillId="3" borderId="207" xfId="0" applyFont="1" applyFill="1" applyBorder="1" applyAlignment="1">
      <alignment horizontal="center" vertical="center" wrapText="1"/>
    </xf>
    <xf numFmtId="0" fontId="26" fillId="56" borderId="205" xfId="0" applyFont="1" applyFill="1" applyBorder="1"/>
    <xf numFmtId="0" fontId="28" fillId="3" borderId="208" xfId="0" applyFont="1" applyFill="1" applyBorder="1" applyAlignment="1">
      <alignment horizontal="center" vertical="center" wrapText="1"/>
    </xf>
    <xf numFmtId="0" fontId="28" fillId="37" borderId="0" xfId="0" applyFont="1" applyFill="1" applyAlignment="1">
      <alignment horizontal="center" vertical="center"/>
    </xf>
    <xf numFmtId="172" fontId="28" fillId="21" borderId="14" xfId="0" applyNumberFormat="1" applyFont="1" applyFill="1" applyBorder="1" applyProtection="1">
      <protection locked="0"/>
    </xf>
    <xf numFmtId="169" fontId="28" fillId="21" borderId="14" xfId="0" applyNumberFormat="1" applyFont="1" applyFill="1" applyBorder="1" applyAlignment="1" applyProtection="1">
      <alignment horizontal="center"/>
      <protection locked="0"/>
    </xf>
    <xf numFmtId="186" fontId="38" fillId="25" borderId="16" xfId="0" applyNumberFormat="1" applyFont="1" applyFill="1" applyBorder="1" applyAlignment="1">
      <alignment horizontal="center"/>
    </xf>
    <xf numFmtId="186" fontId="38" fillId="0" borderId="145" xfId="0" applyNumberFormat="1" applyFont="1" applyBorder="1" applyProtection="1">
      <protection locked="0"/>
    </xf>
    <xf numFmtId="186" fontId="38" fillId="0" borderId="146" xfId="0" applyNumberFormat="1" applyFont="1" applyBorder="1" applyProtection="1">
      <protection locked="0"/>
    </xf>
    <xf numFmtId="186" fontId="38" fillId="0" borderId="147" xfId="0" applyNumberFormat="1" applyFont="1" applyBorder="1" applyProtection="1">
      <protection locked="0"/>
    </xf>
    <xf numFmtId="0" fontId="28" fillId="0" borderId="10" xfId="0" applyFont="1" applyBorder="1" applyAlignment="1">
      <alignment horizontal="left"/>
    </xf>
    <xf numFmtId="168" fontId="38" fillId="56" borderId="0" xfId="0" applyNumberFormat="1" applyFont="1" applyFill="1" applyProtection="1">
      <protection locked="0"/>
    </xf>
    <xf numFmtId="168" fontId="38" fillId="0" borderId="211" xfId="0" applyNumberFormat="1" applyFont="1" applyBorder="1" applyProtection="1">
      <protection locked="0"/>
    </xf>
    <xf numFmtId="186" fontId="38" fillId="25" borderId="14" xfId="0" applyNumberFormat="1" applyFont="1" applyFill="1" applyBorder="1" applyAlignment="1">
      <alignment horizontal="center"/>
    </xf>
    <xf numFmtId="168" fontId="38" fillId="0" borderId="212" xfId="0" applyNumberFormat="1" applyFont="1" applyBorder="1" applyProtection="1">
      <protection locked="0"/>
    </xf>
    <xf numFmtId="168" fontId="38" fillId="47" borderId="213" xfId="0" applyNumberFormat="1" applyFont="1" applyFill="1" applyBorder="1"/>
    <xf numFmtId="0" fontId="56" fillId="58" borderId="35" xfId="0" applyFont="1" applyFill="1" applyBorder="1" applyAlignment="1">
      <alignment horizontal="left" vertical="top"/>
    </xf>
    <xf numFmtId="168" fontId="56" fillId="59" borderId="35" xfId="0" applyNumberFormat="1" applyFont="1" applyFill="1" applyBorder="1" applyAlignment="1">
      <alignment horizontal="left" vertical="top"/>
    </xf>
    <xf numFmtId="168" fontId="56" fillId="58" borderId="188" xfId="0" applyNumberFormat="1" applyFont="1" applyFill="1" applyBorder="1" applyAlignment="1">
      <alignment horizontal="left" vertical="top"/>
    </xf>
    <xf numFmtId="168" fontId="56" fillId="58" borderId="38" xfId="0" applyNumberFormat="1" applyFont="1" applyFill="1" applyBorder="1" applyAlignment="1">
      <alignment horizontal="left" vertical="top"/>
    </xf>
    <xf numFmtId="168" fontId="56" fillId="58" borderId="32" xfId="0" applyNumberFormat="1" applyFont="1" applyFill="1" applyBorder="1" applyAlignment="1">
      <alignment horizontal="left" vertical="top"/>
    </xf>
    <xf numFmtId="0" fontId="56" fillId="58" borderId="15" xfId="0" applyFont="1" applyFill="1" applyBorder="1" applyAlignment="1">
      <alignment horizontal="left"/>
    </xf>
    <xf numFmtId="168" fontId="56" fillId="59" borderId="15" xfId="0" applyNumberFormat="1" applyFont="1" applyFill="1" applyBorder="1" applyAlignment="1">
      <alignment horizontal="left"/>
    </xf>
    <xf numFmtId="168" fontId="56" fillId="58" borderId="189" xfId="0" applyNumberFormat="1" applyFont="1" applyFill="1" applyBorder="1" applyAlignment="1">
      <alignment horizontal="left"/>
    </xf>
    <xf numFmtId="168" fontId="56" fillId="58" borderId="19" xfId="0" applyNumberFormat="1" applyFont="1" applyFill="1" applyBorder="1" applyAlignment="1">
      <alignment horizontal="left"/>
    </xf>
    <xf numFmtId="168" fontId="56" fillId="58" borderId="32" xfId="0" applyNumberFormat="1" applyFont="1" applyFill="1" applyBorder="1" applyAlignment="1">
      <alignment horizontal="left"/>
    </xf>
    <xf numFmtId="0" fontId="56" fillId="58" borderId="63" xfId="0" applyFont="1" applyFill="1" applyBorder="1" applyAlignment="1">
      <alignment horizontal="left"/>
    </xf>
    <xf numFmtId="168" fontId="56" fillId="59" borderId="63" xfId="0" applyNumberFormat="1" applyFont="1" applyFill="1" applyBorder="1" applyAlignment="1">
      <alignment horizontal="left"/>
    </xf>
    <xf numFmtId="168" fontId="56" fillId="58" borderId="197" xfId="0" applyNumberFormat="1" applyFont="1" applyFill="1" applyBorder="1" applyAlignment="1">
      <alignment horizontal="left"/>
    </xf>
    <xf numFmtId="168" fontId="56" fillId="58" borderId="26" xfId="0" applyNumberFormat="1" applyFont="1" applyFill="1" applyBorder="1" applyAlignment="1">
      <alignment horizontal="left"/>
    </xf>
    <xf numFmtId="168" fontId="56" fillId="58" borderId="16" xfId="0" applyNumberFormat="1" applyFont="1" applyFill="1" applyBorder="1" applyAlignment="1">
      <alignment horizontal="left"/>
    </xf>
    <xf numFmtId="0" fontId="56" fillId="58" borderId="35" xfId="0" applyFont="1" applyFill="1" applyBorder="1" applyAlignment="1">
      <alignment horizontal="left"/>
    </xf>
    <xf numFmtId="168" fontId="56" fillId="59" borderId="35" xfId="0" applyNumberFormat="1" applyFont="1" applyFill="1" applyBorder="1" applyAlignment="1">
      <alignment horizontal="left"/>
    </xf>
    <xf numFmtId="168" fontId="56" fillId="58" borderId="188" xfId="0" applyNumberFormat="1" applyFont="1" applyFill="1" applyBorder="1" applyAlignment="1">
      <alignment horizontal="left"/>
    </xf>
    <xf numFmtId="168" fontId="56" fillId="58" borderId="38" xfId="0" applyNumberFormat="1" applyFont="1" applyFill="1" applyBorder="1" applyAlignment="1">
      <alignment horizontal="left"/>
    </xf>
    <xf numFmtId="0" fontId="56" fillId="58" borderId="42" xfId="0" applyFont="1" applyFill="1" applyBorder="1" applyAlignment="1">
      <alignment horizontal="left"/>
    </xf>
    <xf numFmtId="168" fontId="56" fillId="59" borderId="42" xfId="0" applyNumberFormat="1" applyFont="1" applyFill="1" applyBorder="1" applyAlignment="1">
      <alignment horizontal="left"/>
    </xf>
    <xf numFmtId="168" fontId="56" fillId="58" borderId="190" xfId="0" applyNumberFormat="1" applyFont="1" applyFill="1" applyBorder="1" applyAlignment="1">
      <alignment horizontal="left"/>
    </xf>
    <xf numFmtId="168" fontId="56" fillId="58" borderId="40" xfId="0" applyNumberFormat="1" applyFont="1" applyFill="1" applyBorder="1" applyAlignment="1">
      <alignment horizontal="left"/>
    </xf>
    <xf numFmtId="0" fontId="56" fillId="58" borderId="24" xfId="0" applyFont="1" applyFill="1" applyBorder="1" applyAlignment="1">
      <alignment horizontal="left" vertical="top"/>
    </xf>
    <xf numFmtId="0" fontId="56" fillId="58" borderId="14" xfId="0" applyFont="1" applyFill="1" applyBorder="1" applyAlignment="1">
      <alignment horizontal="left"/>
    </xf>
    <xf numFmtId="0" fontId="56" fillId="58" borderId="51" xfId="0" applyFont="1" applyFill="1" applyBorder="1" applyAlignment="1">
      <alignment horizontal="left"/>
    </xf>
    <xf numFmtId="0" fontId="36" fillId="0" borderId="51" xfId="0" applyFont="1" applyBorder="1" applyAlignment="1">
      <alignment horizontal="left" vertical="top"/>
    </xf>
    <xf numFmtId="0" fontId="36" fillId="0" borderId="24" xfId="0" applyFont="1" applyBorder="1" applyAlignment="1">
      <alignment horizontal="left" vertical="top"/>
    </xf>
    <xf numFmtId="0" fontId="36" fillId="0" borderId="14" xfId="0" applyFont="1" applyBorder="1" applyAlignment="1">
      <alignment horizontal="left" vertical="top"/>
    </xf>
    <xf numFmtId="0" fontId="36" fillId="0" borderId="48" xfId="0" applyFont="1" applyBorder="1" applyAlignment="1">
      <alignment horizontal="left" vertical="top"/>
    </xf>
    <xf numFmtId="0" fontId="36" fillId="56" borderId="24" xfId="0" applyFont="1" applyFill="1" applyBorder="1" applyAlignment="1">
      <alignment horizontal="left" vertical="top"/>
    </xf>
    <xf numFmtId="0" fontId="28" fillId="27" borderId="37" xfId="0" applyFont="1" applyFill="1" applyBorder="1" applyAlignment="1" applyProtection="1">
      <alignment horizontal="right" indent="1"/>
      <protection locked="0"/>
    </xf>
    <xf numFmtId="49" fontId="28" fillId="3" borderId="0" xfId="0" applyNumberFormat="1" applyFont="1" applyFill="1" applyAlignment="1" applyProtection="1">
      <alignment horizontal="right" indent="1"/>
      <protection locked="0"/>
    </xf>
    <xf numFmtId="0" fontId="56" fillId="0" borderId="0" xfId="0" applyFont="1" applyAlignment="1">
      <alignment horizontal="right"/>
    </xf>
    <xf numFmtId="0" fontId="30" fillId="3" borderId="37" xfId="0" applyFont="1" applyFill="1" applyBorder="1" applyAlignment="1">
      <alignment horizontal="center" wrapText="1"/>
    </xf>
    <xf numFmtId="185" fontId="38" fillId="0" borderId="145" xfId="0" applyNumberFormat="1" applyFont="1" applyBorder="1" applyAlignment="1" applyProtection="1">
      <alignment horizontal="center"/>
      <protection locked="0"/>
    </xf>
    <xf numFmtId="185" fontId="38" fillId="0" borderId="146" xfId="0" applyNumberFormat="1" applyFont="1" applyBorder="1" applyAlignment="1" applyProtection="1">
      <alignment horizontal="center"/>
      <protection locked="0"/>
    </xf>
    <xf numFmtId="185" fontId="38" fillId="0" borderId="147" xfId="0" applyNumberFormat="1" applyFont="1" applyBorder="1" applyAlignment="1" applyProtection="1">
      <alignment horizontal="center"/>
      <protection locked="0"/>
    </xf>
    <xf numFmtId="0" fontId="61" fillId="22" borderId="86" xfId="0" applyFont="1" applyFill="1" applyBorder="1" applyAlignment="1">
      <alignment horizontal="left" vertical="center"/>
    </xf>
    <xf numFmtId="0" fontId="65" fillId="22" borderId="87" xfId="0" applyFont="1" applyFill="1" applyBorder="1"/>
    <xf numFmtId="0" fontId="65" fillId="22" borderId="88" xfId="0" applyFont="1" applyFill="1" applyBorder="1"/>
    <xf numFmtId="0" fontId="61" fillId="16" borderId="83" xfId="0" applyFont="1" applyFill="1" applyBorder="1" applyAlignment="1">
      <alignment horizontal="center" vertical="center"/>
    </xf>
    <xf numFmtId="0" fontId="61" fillId="16" borderId="84" xfId="0" applyFont="1" applyFill="1" applyBorder="1" applyAlignment="1">
      <alignment horizontal="center" vertical="center"/>
    </xf>
    <xf numFmtId="0" fontId="61" fillId="16" borderId="85" xfId="0" applyFont="1" applyFill="1" applyBorder="1" applyAlignment="1">
      <alignment horizontal="center" vertical="center"/>
    </xf>
    <xf numFmtId="0" fontId="66" fillId="53" borderId="151" xfId="0" applyFont="1" applyFill="1" applyBorder="1" applyAlignment="1">
      <alignment horizontal="center" vertical="center" textRotation="90"/>
    </xf>
    <xf numFmtId="0" fontId="66" fillId="53" borderId="0" xfId="0" applyFont="1" applyFill="1" applyAlignment="1">
      <alignment horizontal="center" vertical="center" textRotation="90"/>
    </xf>
    <xf numFmtId="168" fontId="32" fillId="7" borderId="15" xfId="0" applyNumberFormat="1" applyFont="1" applyFill="1" applyBorder="1" applyAlignment="1" applyProtection="1">
      <alignment horizontal="center"/>
      <protection locked="0"/>
    </xf>
    <xf numFmtId="168" fontId="32" fillId="7" borderId="17" xfId="0" applyNumberFormat="1" applyFont="1" applyFill="1" applyBorder="1" applyAlignment="1" applyProtection="1">
      <alignment horizontal="center"/>
      <protection locked="0"/>
    </xf>
    <xf numFmtId="0" fontId="27" fillId="3" borderId="1"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27" fillId="3" borderId="6" xfId="0" applyFont="1" applyFill="1" applyBorder="1" applyAlignment="1">
      <alignment horizontal="center" vertical="center" wrapText="1"/>
    </xf>
    <xf numFmtId="0" fontId="28" fillId="3" borderId="7" xfId="0" applyFont="1" applyFill="1" applyBorder="1" applyAlignment="1">
      <alignment horizontal="right"/>
    </xf>
    <xf numFmtId="0" fontId="28" fillId="0" borderId="18" xfId="0" applyFont="1" applyBorder="1" applyAlignment="1" applyProtection="1">
      <alignment horizontal="left" indent="1"/>
      <protection locked="0"/>
    </xf>
    <xf numFmtId="0" fontId="28" fillId="0" borderId="19" xfId="0" applyFont="1" applyBorder="1" applyAlignment="1" applyProtection="1">
      <alignment horizontal="left" indent="1"/>
      <protection locked="0"/>
    </xf>
    <xf numFmtId="0" fontId="28" fillId="0" borderId="16" xfId="0" applyFont="1" applyBorder="1" applyAlignment="1" applyProtection="1">
      <alignment horizontal="left" indent="1"/>
      <protection locked="0"/>
    </xf>
    <xf numFmtId="0" fontId="28" fillId="45" borderId="15" xfId="0" applyFont="1" applyFill="1" applyBorder="1" applyAlignment="1" applyProtection="1">
      <alignment horizontal="left" indent="1"/>
      <protection locked="0"/>
    </xf>
    <xf numFmtId="0" fontId="28" fillId="45" borderId="16" xfId="0" applyFont="1" applyFill="1" applyBorder="1" applyAlignment="1" applyProtection="1">
      <alignment horizontal="left" indent="1"/>
      <protection locked="0"/>
    </xf>
    <xf numFmtId="0" fontId="27" fillId="62" borderId="1" xfId="0" applyFont="1" applyFill="1" applyBorder="1" applyAlignment="1">
      <alignment horizontal="center" vertical="center" wrapText="1"/>
    </xf>
    <xf numFmtId="0" fontId="27" fillId="62" borderId="3" xfId="0" applyFont="1" applyFill="1" applyBorder="1" applyAlignment="1">
      <alignment horizontal="center" vertical="center" wrapText="1"/>
    </xf>
    <xf numFmtId="0" fontId="27" fillId="62" borderId="4" xfId="0" applyFont="1" applyFill="1" applyBorder="1" applyAlignment="1">
      <alignment horizontal="center" vertical="center" wrapText="1"/>
    </xf>
    <xf numFmtId="0" fontId="27" fillId="62" borderId="5" xfId="0" applyFont="1" applyFill="1" applyBorder="1" applyAlignment="1">
      <alignment horizontal="center" vertical="center" wrapText="1"/>
    </xf>
    <xf numFmtId="0" fontId="27" fillId="62" borderId="6" xfId="0" applyFont="1" applyFill="1" applyBorder="1" applyAlignment="1">
      <alignment horizontal="center" vertical="center" wrapText="1"/>
    </xf>
    <xf numFmtId="0" fontId="27" fillId="62" borderId="8" xfId="0" applyFont="1" applyFill="1" applyBorder="1" applyAlignment="1">
      <alignment horizontal="center" vertical="center" wrapText="1"/>
    </xf>
    <xf numFmtId="0" fontId="28" fillId="3" borderId="7" xfId="0" applyFont="1" applyFill="1" applyBorder="1" applyAlignment="1">
      <alignment horizontal="center" vertical="top"/>
    </xf>
    <xf numFmtId="0" fontId="30" fillId="3" borderId="0" xfId="0" applyFont="1" applyFill="1" applyAlignment="1">
      <alignment horizontal="center"/>
    </xf>
    <xf numFmtId="0" fontId="31" fillId="5" borderId="0" xfId="0" applyFont="1" applyFill="1" applyAlignment="1">
      <alignment horizontal="center" vertical="top"/>
    </xf>
    <xf numFmtId="0" fontId="28" fillId="3" borderId="7" xfId="0" applyFont="1" applyFill="1" applyBorder="1" applyAlignment="1">
      <alignment horizontal="center"/>
    </xf>
    <xf numFmtId="0" fontId="28" fillId="3" borderId="40" xfId="0" applyFont="1" applyFill="1" applyBorder="1" applyAlignment="1" applyProtection="1">
      <alignment horizontal="center"/>
      <protection locked="0"/>
    </xf>
    <xf numFmtId="0" fontId="38" fillId="0" borderId="122" xfId="0" applyFont="1" applyBorder="1" applyAlignment="1" applyProtection="1">
      <alignment horizontal="center"/>
      <protection locked="0"/>
    </xf>
    <xf numFmtId="0" fontId="38" fillId="0" borderId="123" xfId="0" applyFont="1" applyBorder="1" applyAlignment="1" applyProtection="1">
      <alignment horizontal="center"/>
      <protection locked="0"/>
    </xf>
    <xf numFmtId="0" fontId="38" fillId="0" borderId="124" xfId="0" applyFont="1" applyBorder="1" applyAlignment="1" applyProtection="1">
      <alignment horizontal="center"/>
      <protection locked="0"/>
    </xf>
    <xf numFmtId="0" fontId="38" fillId="0" borderId="15" xfId="0" applyFont="1" applyBorder="1" applyAlignment="1" applyProtection="1">
      <alignment horizontal="center"/>
      <protection locked="0"/>
    </xf>
    <xf numFmtId="0" fontId="38" fillId="0" borderId="19" xfId="0" applyFont="1" applyBorder="1" applyAlignment="1" applyProtection="1">
      <alignment horizontal="center"/>
      <protection locked="0"/>
    </xf>
    <xf numFmtId="0" fontId="38" fillId="0" borderId="16" xfId="0" applyFont="1" applyBorder="1" applyAlignment="1" applyProtection="1">
      <alignment horizontal="center"/>
      <protection locked="0"/>
    </xf>
    <xf numFmtId="0" fontId="38" fillId="0" borderId="209" xfId="0" applyFont="1" applyBorder="1" applyAlignment="1" applyProtection="1">
      <alignment horizontal="left"/>
      <protection locked="0"/>
    </xf>
    <xf numFmtId="0" fontId="38" fillId="0" borderId="210" xfId="0" applyFont="1" applyBorder="1" applyAlignment="1" applyProtection="1">
      <alignment horizontal="left"/>
      <protection locked="0"/>
    </xf>
    <xf numFmtId="0" fontId="38" fillId="0" borderId="163" xfId="0" applyFont="1" applyBorder="1" applyAlignment="1" applyProtection="1">
      <alignment horizontal="left"/>
      <protection locked="0"/>
    </xf>
    <xf numFmtId="0" fontId="20" fillId="50" borderId="151" xfId="0" applyFont="1" applyFill="1" applyBorder="1" applyAlignment="1">
      <alignment horizontal="center" vertical="center" textRotation="90"/>
    </xf>
    <xf numFmtId="0" fontId="20" fillId="50" borderId="0" xfId="0" applyFont="1" applyFill="1" applyAlignment="1">
      <alignment horizontal="center" vertical="center" textRotation="90"/>
    </xf>
    <xf numFmtId="0" fontId="38" fillId="0" borderId="119" xfId="0" applyFont="1" applyBorder="1" applyAlignment="1" applyProtection="1">
      <alignment horizontal="center"/>
      <protection locked="0"/>
    </xf>
    <xf numFmtId="0" fontId="38" fillId="0" borderId="120" xfId="0" applyFont="1" applyBorder="1" applyAlignment="1" applyProtection="1">
      <alignment horizontal="center"/>
      <protection locked="0"/>
    </xf>
    <xf numFmtId="0" fontId="38" fillId="0" borderId="121" xfId="0" applyFont="1" applyBorder="1" applyAlignment="1" applyProtection="1">
      <alignment horizontal="center"/>
      <protection locked="0"/>
    </xf>
    <xf numFmtId="0" fontId="42" fillId="3" borderId="117" xfId="0" applyFont="1" applyFill="1" applyBorder="1" applyAlignment="1">
      <alignment horizontal="center" wrapText="1"/>
    </xf>
    <xf numFmtId="0" fontId="42" fillId="3" borderId="116" xfId="0" applyFont="1" applyFill="1" applyBorder="1" applyAlignment="1">
      <alignment horizontal="center" wrapText="1"/>
    </xf>
    <xf numFmtId="0" fontId="42" fillId="3" borderId="118" xfId="0" applyFont="1" applyFill="1" applyBorder="1" applyAlignment="1">
      <alignment horizontal="center" wrapText="1"/>
    </xf>
    <xf numFmtId="0" fontId="28" fillId="48" borderId="38" xfId="0" applyFont="1" applyFill="1" applyBorder="1" applyAlignment="1">
      <alignment horizontal="center" vertical="center"/>
    </xf>
    <xf numFmtId="0" fontId="5" fillId="3" borderId="6" xfId="0" applyFont="1" applyFill="1" applyBorder="1" applyAlignment="1">
      <alignment horizontal="center"/>
    </xf>
    <xf numFmtId="0" fontId="5" fillId="3" borderId="7" xfId="0" applyFont="1" applyFill="1" applyBorder="1" applyAlignment="1">
      <alignment horizontal="center"/>
    </xf>
    <xf numFmtId="0" fontId="11" fillId="21" borderId="9" xfId="0" applyFont="1" applyFill="1" applyBorder="1" applyAlignment="1" applyProtection="1">
      <alignment horizontal="left"/>
      <protection locked="0"/>
    </xf>
    <xf numFmtId="0" fontId="11" fillId="21" borderId="10" xfId="0" applyFont="1" applyFill="1" applyBorder="1" applyAlignment="1" applyProtection="1">
      <alignment horizontal="left"/>
      <protection locked="0"/>
    </xf>
    <xf numFmtId="0" fontId="11" fillId="21" borderId="126" xfId="0" applyFont="1" applyFill="1" applyBorder="1" applyAlignment="1" applyProtection="1">
      <alignment horizontal="left"/>
      <protection locked="0"/>
    </xf>
    <xf numFmtId="0" fontId="11" fillId="21" borderId="69" xfId="0" applyFont="1" applyFill="1" applyBorder="1" applyAlignment="1" applyProtection="1">
      <alignment horizontal="left"/>
      <protection locked="0"/>
    </xf>
    <xf numFmtId="0" fontId="11" fillId="21" borderId="65" xfId="0" applyFont="1" applyFill="1" applyBorder="1" applyAlignment="1" applyProtection="1">
      <alignment horizontal="left"/>
      <protection locked="0"/>
    </xf>
    <xf numFmtId="0" fontId="11" fillId="21" borderId="127" xfId="0" applyFont="1" applyFill="1" applyBorder="1" applyAlignment="1" applyProtection="1">
      <alignment horizontal="left"/>
      <protection locked="0"/>
    </xf>
    <xf numFmtId="0" fontId="72" fillId="11" borderId="1" xfId="0" applyFont="1" applyFill="1" applyBorder="1" applyAlignment="1">
      <alignment horizontal="center"/>
    </xf>
    <xf numFmtId="0" fontId="72" fillId="11" borderId="65" xfId="0" applyFont="1" applyFill="1" applyBorder="1" applyAlignment="1">
      <alignment horizontal="center"/>
    </xf>
    <xf numFmtId="0" fontId="72" fillId="11" borderId="66" xfId="0" applyFont="1" applyFill="1" applyBorder="1" applyAlignment="1">
      <alignment horizontal="center"/>
    </xf>
    <xf numFmtId="0" fontId="52" fillId="15" borderId="4" xfId="0" applyFont="1" applyFill="1" applyBorder="1" applyAlignment="1">
      <alignment horizontal="center" vertical="top"/>
    </xf>
    <xf numFmtId="0" fontId="52" fillId="15" borderId="0" xfId="0" applyFont="1" applyFill="1" applyAlignment="1">
      <alignment horizontal="center" vertical="top"/>
    </xf>
    <xf numFmtId="0" fontId="52" fillId="15" borderId="5" xfId="0" applyFont="1" applyFill="1" applyBorder="1" applyAlignment="1">
      <alignment horizontal="center" vertical="top"/>
    </xf>
    <xf numFmtId="0" fontId="36" fillId="0" borderId="18" xfId="0" applyFont="1" applyBorder="1" applyAlignment="1">
      <alignment horizontal="left" indent="1"/>
    </xf>
    <xf numFmtId="0" fontId="36" fillId="0" borderId="16" xfId="0" applyFont="1" applyBorder="1" applyAlignment="1">
      <alignment horizontal="left" indent="1"/>
    </xf>
    <xf numFmtId="0" fontId="36" fillId="3" borderId="30" xfId="0" applyFont="1" applyFill="1" applyBorder="1" applyAlignment="1">
      <alignment horizontal="right" wrapText="1" indent="1"/>
    </xf>
    <xf numFmtId="0" fontId="36" fillId="3" borderId="0" xfId="0" applyFont="1" applyFill="1" applyAlignment="1">
      <alignment horizontal="right" wrapText="1" indent="1"/>
    </xf>
    <xf numFmtId="0" fontId="36" fillId="3" borderId="37" xfId="0" applyFont="1" applyFill="1" applyBorder="1" applyAlignment="1">
      <alignment horizontal="right" wrapText="1" indent="1"/>
    </xf>
    <xf numFmtId="0" fontId="36" fillId="3" borderId="6" xfId="0" applyFont="1" applyFill="1" applyBorder="1" applyAlignment="1">
      <alignment horizontal="right" indent="1"/>
    </xf>
    <xf numFmtId="0" fontId="36" fillId="3" borderId="47" xfId="0" applyFont="1" applyFill="1" applyBorder="1" applyAlignment="1">
      <alignment horizontal="right" indent="1"/>
    </xf>
    <xf numFmtId="0" fontId="36" fillId="3" borderId="74" xfId="0" applyFont="1" applyFill="1" applyBorder="1" applyAlignment="1">
      <alignment horizontal="right" wrapText="1" indent="1"/>
    </xf>
    <xf numFmtId="0" fontId="36" fillId="3" borderId="7" xfId="0" applyFont="1" applyFill="1" applyBorder="1" applyAlignment="1">
      <alignment horizontal="right" wrapText="1" indent="1"/>
    </xf>
    <xf numFmtId="0" fontId="36" fillId="3" borderId="47" xfId="0" applyFont="1" applyFill="1" applyBorder="1" applyAlignment="1">
      <alignment horizontal="right" wrapText="1" indent="1"/>
    </xf>
    <xf numFmtId="0" fontId="36" fillId="5" borderId="18" xfId="0" applyFont="1" applyFill="1" applyBorder="1" applyAlignment="1">
      <alignment horizontal="center"/>
    </xf>
    <xf numFmtId="0" fontId="36" fillId="5" borderId="17" xfId="0" applyFont="1" applyFill="1" applyBorder="1" applyAlignment="1">
      <alignment horizontal="center"/>
    </xf>
    <xf numFmtId="0" fontId="68" fillId="38" borderId="191" xfId="0" applyFont="1" applyFill="1" applyBorder="1" applyAlignment="1">
      <alignment horizontal="center" vertical="center"/>
    </xf>
    <xf numFmtId="0" fontId="68" fillId="38" borderId="192" xfId="0" applyFont="1" applyFill="1" applyBorder="1" applyAlignment="1">
      <alignment horizontal="center" vertical="center"/>
    </xf>
    <xf numFmtId="0" fontId="68" fillId="38" borderId="193" xfId="0" applyFont="1" applyFill="1" applyBorder="1" applyAlignment="1">
      <alignment horizontal="center" vertical="center"/>
    </xf>
    <xf numFmtId="0" fontId="68" fillId="38" borderId="194" xfId="0" applyFont="1" applyFill="1" applyBorder="1" applyAlignment="1">
      <alignment horizontal="center" vertical="center"/>
    </xf>
    <xf numFmtId="0" fontId="68" fillId="38" borderId="195" xfId="0" applyFont="1" applyFill="1" applyBorder="1" applyAlignment="1">
      <alignment horizontal="center" vertical="center"/>
    </xf>
    <xf numFmtId="0" fontId="68" fillId="38" borderId="196" xfId="0" applyFont="1" applyFill="1" applyBorder="1" applyAlignment="1">
      <alignment horizontal="center" vertical="center"/>
    </xf>
    <xf numFmtId="0" fontId="53" fillId="3" borderId="69" xfId="0" applyFont="1" applyFill="1" applyBorder="1" applyAlignment="1">
      <alignment horizontal="center" wrapText="1"/>
    </xf>
    <xf numFmtId="0" fontId="53" fillId="3" borderId="73" xfId="0" applyFont="1" applyFill="1" applyBorder="1" applyAlignment="1">
      <alignment horizontal="center" wrapText="1"/>
    </xf>
    <xf numFmtId="0" fontId="36" fillId="3" borderId="4" xfId="0" applyFont="1" applyFill="1" applyBorder="1" applyAlignment="1">
      <alignment horizontal="right" indent="1"/>
    </xf>
    <xf numFmtId="0" fontId="36" fillId="3" borderId="37" xfId="0" applyFont="1" applyFill="1" applyBorder="1" applyAlignment="1">
      <alignment horizontal="right" indent="1"/>
    </xf>
    <xf numFmtId="0" fontId="36" fillId="3" borderId="4" xfId="0" applyFont="1" applyFill="1" applyBorder="1" applyAlignment="1">
      <alignment horizontal="right" wrapText="1"/>
    </xf>
    <xf numFmtId="0" fontId="36" fillId="3" borderId="0" xfId="0" applyFont="1" applyFill="1" applyAlignment="1">
      <alignment horizontal="right" wrapText="1"/>
    </xf>
    <xf numFmtId="0" fontId="53" fillId="3" borderId="46" xfId="0" applyFont="1" applyFill="1" applyBorder="1" applyAlignment="1">
      <alignment horizontal="right"/>
    </xf>
    <xf numFmtId="0" fontId="53" fillId="3" borderId="32" xfId="0" applyFont="1" applyFill="1" applyBorder="1" applyAlignment="1">
      <alignment horizontal="right"/>
    </xf>
    <xf numFmtId="0" fontId="54" fillId="3" borderId="0" xfId="0" applyFont="1" applyFill="1" applyAlignment="1">
      <alignment horizontal="right" wrapText="1"/>
    </xf>
    <xf numFmtId="0" fontId="52" fillId="15" borderId="6" xfId="0" applyFont="1" applyFill="1" applyBorder="1" applyAlignment="1">
      <alignment horizontal="center" vertical="top"/>
    </xf>
    <xf numFmtId="0" fontId="52" fillId="15" borderId="7" xfId="0" applyFont="1" applyFill="1" applyBorder="1" applyAlignment="1">
      <alignment horizontal="center" vertical="top"/>
    </xf>
    <xf numFmtId="0" fontId="52" fillId="15" borderId="8" xfId="0" applyFont="1" applyFill="1" applyBorder="1" applyAlignment="1">
      <alignment horizontal="center" vertical="top"/>
    </xf>
    <xf numFmtId="0" fontId="4" fillId="39" borderId="2" xfId="0" applyFont="1" applyFill="1" applyBorder="1" applyAlignment="1">
      <alignment horizontal="right" indent="1"/>
    </xf>
    <xf numFmtId="0" fontId="4" fillId="39" borderId="3" xfId="0" applyFont="1" applyFill="1" applyBorder="1" applyAlignment="1">
      <alignment horizontal="right" indent="1"/>
    </xf>
    <xf numFmtId="0" fontId="2" fillId="39" borderId="1" xfId="0" applyFont="1" applyFill="1" applyBorder="1" applyAlignment="1">
      <alignment horizontal="right"/>
    </xf>
    <xf numFmtId="0" fontId="2" fillId="39" borderId="2" xfId="0" applyFont="1" applyFill="1" applyBorder="1" applyAlignment="1">
      <alignment horizontal="right"/>
    </xf>
    <xf numFmtId="0" fontId="2" fillId="39" borderId="25" xfId="0" applyFont="1" applyFill="1" applyBorder="1" applyAlignment="1">
      <alignment horizontal="right"/>
    </xf>
    <xf numFmtId="0" fontId="2" fillId="39" borderId="38" xfId="0" applyFont="1" applyFill="1" applyBorder="1" applyAlignment="1">
      <alignment horizontal="right"/>
    </xf>
    <xf numFmtId="171" fontId="23" fillId="39" borderId="40" xfId="0" applyNumberFormat="1" applyFont="1" applyFill="1" applyBorder="1" applyAlignment="1">
      <alignment horizontal="right"/>
    </xf>
    <xf numFmtId="171" fontId="23" fillId="39" borderId="43" xfId="0" applyNumberFormat="1" applyFont="1" applyFill="1" applyBorder="1" applyAlignment="1">
      <alignment horizontal="right"/>
    </xf>
    <xf numFmtId="0" fontId="19" fillId="26" borderId="101" xfId="0" applyFont="1" applyFill="1" applyBorder="1" applyAlignment="1">
      <alignment horizontal="center" vertical="top" wrapText="1"/>
    </xf>
    <xf numFmtId="0" fontId="3" fillId="2" borderId="9" xfId="0" applyFont="1" applyFill="1" applyBorder="1" applyAlignment="1">
      <alignment horizontal="center" vertical="top"/>
    </xf>
    <xf numFmtId="0" fontId="3" fillId="2" borderId="10" xfId="0" applyFont="1" applyFill="1" applyBorder="1" applyAlignment="1">
      <alignment horizontal="center" vertical="top"/>
    </xf>
    <xf numFmtId="0" fontId="3" fillId="2" borderId="11" xfId="0" applyFont="1" applyFill="1" applyBorder="1" applyAlignment="1">
      <alignment horizontal="center" vertical="top"/>
    </xf>
    <xf numFmtId="165" fontId="8" fillId="7" borderId="15" xfId="0" applyNumberFormat="1" applyFont="1" applyFill="1" applyBorder="1" applyAlignment="1">
      <alignment horizontal="center"/>
    </xf>
    <xf numFmtId="165" fontId="8" fillId="7" borderId="16" xfId="0" applyNumberFormat="1" applyFont="1" applyFill="1" applyBorder="1" applyAlignment="1">
      <alignment horizontal="center"/>
    </xf>
    <xf numFmtId="168" fontId="8" fillId="7" borderId="15" xfId="0" applyNumberFormat="1" applyFont="1" applyFill="1" applyBorder="1" applyAlignment="1">
      <alignment horizontal="center"/>
    </xf>
    <xf numFmtId="168" fontId="8" fillId="7" borderId="16" xfId="0" applyNumberFormat="1" applyFont="1" applyFill="1" applyBorder="1" applyAlignment="1">
      <alignment horizontal="center"/>
    </xf>
  </cellXfs>
  <cellStyles count="9">
    <cellStyle name="Comma" xfId="1" builtinId="3"/>
    <cellStyle name="Currency" xfId="2" builtinId="4"/>
    <cellStyle name="Normal" xfId="0" builtinId="0" customBuiltin="1"/>
    <cellStyle name="Normal 2" xfId="5" xr:uid="{AF038111-4494-42B6-AE9B-56F7511A9F23}"/>
    <cellStyle name="Normal 3" xfId="4" xr:uid="{139DDB3A-E5F1-4989-8D48-ED5914DA4D84}"/>
    <cellStyle name="Normal 3 2" xfId="8" xr:uid="{911775C9-0B1B-407F-823B-6EA8F69FB5E2}"/>
    <cellStyle name="Normal 4" xfId="6" xr:uid="{AB797054-5AB6-4409-9ACB-0861E6C94DEB}"/>
    <cellStyle name="Percent" xfId="3" builtinId="5"/>
    <cellStyle name="Percent 3" xfId="7" xr:uid="{25FDD828-3B07-47F0-BB49-BB672943DE12}"/>
  </cellStyles>
  <dxfs count="151">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darkTrellis">
          <bgColor rgb="FFAFABAB"/>
        </patternFill>
      </fill>
    </dxf>
    <dxf>
      <fill>
        <patternFill patternType="lightHorizontal">
          <fgColor rgb="FFF4B183"/>
          <bgColor rgb="FFF4B183"/>
        </patternFill>
      </fill>
    </dxf>
    <dxf>
      <fill>
        <patternFill patternType="solid">
          <fgColor rgb="FFFFFF00"/>
          <bgColor rgb="FFFFFF00"/>
        </patternFill>
      </fill>
    </dxf>
    <dxf>
      <fill>
        <patternFill patternType="darkTrellis">
          <bgColor rgb="FFAFABAB"/>
        </patternFill>
      </fill>
    </dxf>
    <dxf>
      <font>
        <color rgb="FFC00000"/>
      </font>
      <fill>
        <patternFill>
          <bgColor theme="5" tint="0.79998168889431442"/>
        </patternFill>
      </fill>
    </dxf>
    <dxf>
      <font>
        <color theme="6" tint="-0.499984740745262"/>
      </font>
      <fill>
        <patternFill>
          <bgColor theme="9" tint="0.79998168889431442"/>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font>
        <color rgb="FF9C0006"/>
      </font>
      <fill>
        <patternFill patternType="solid">
          <fgColor rgb="FFFFC7CE"/>
          <bgColor rgb="FFFFC7CE"/>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border>
        <right style="thin">
          <color rgb="FF000000"/>
        </right>
      </border>
    </dxf>
    <dxf>
      <border>
        <right style="thin">
          <color rgb="FF000000"/>
        </right>
      </border>
    </dxf>
    <dxf>
      <border>
        <right style="thin">
          <color rgb="FF000000"/>
        </right>
      </border>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border>
        <right style="thin">
          <color rgb="FF000000"/>
        </right>
      </border>
    </dxf>
    <dxf>
      <font>
        <color rgb="FFD0CECE"/>
      </font>
      <border>
        <left style="thin">
          <color rgb="FFD0CECE"/>
        </left>
        <right style="thin">
          <color rgb="FFD0CECE"/>
        </right>
        <top style="thin">
          <color rgb="FFD0CECE"/>
        </top>
        <bottom style="thin">
          <color rgb="FFD0CECE"/>
        </bottom>
      </border>
    </dxf>
    <dxf>
      <font>
        <color rgb="FFD0CECE"/>
      </font>
      <border>
        <left style="thin">
          <color rgb="FFD0CECE"/>
        </left>
        <right style="thin">
          <color rgb="FFD0CECE"/>
        </right>
        <top style="thin">
          <color rgb="FFD0CECE"/>
        </top>
        <bottom style="thin">
          <color rgb="FFD0CECE"/>
        </bottom>
      </border>
    </dxf>
    <dxf>
      <border>
        <left style="thin">
          <color rgb="FF000000"/>
        </left>
      </border>
    </dxf>
    <dxf>
      <border>
        <bottom style="thin">
          <color rgb="FF000000"/>
        </bottom>
      </border>
    </dxf>
    <dxf>
      <font>
        <b/>
        <i val="0"/>
      </font>
      <fill>
        <patternFill patternType="solid">
          <fgColor indexed="64"/>
          <bgColor rgb="FFD0CECE"/>
        </patternFill>
      </fill>
    </dxf>
    <dxf>
      <font>
        <b/>
        <i val="0"/>
      </font>
      <fill>
        <patternFill patternType="solid">
          <fgColor indexed="64"/>
          <bgColor rgb="FFD0CECE"/>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font>
        <color rgb="FFFFFFFF"/>
      </font>
      <fill>
        <patternFill patternType="solid">
          <fgColor indexed="64"/>
          <bgColor rgb="FFFFFFFF"/>
        </patternFill>
      </fill>
      <border>
        <left/>
        <right/>
        <top/>
        <bottom/>
      </border>
    </dxf>
    <dxf>
      <font>
        <color rgb="FF000000"/>
      </font>
      <fill>
        <patternFill patternType="solid">
          <fgColor indexed="64"/>
          <bgColor rgb="FFFFFFFF"/>
        </patternFill>
      </fill>
      <border>
        <left style="thin">
          <color rgb="FF000000"/>
        </left>
        <right style="thin">
          <color rgb="FF000000"/>
        </right>
        <top style="thin">
          <color rgb="FF000000"/>
        </top>
        <bottom style="thin">
          <color rgb="FF000000"/>
        </bottom>
      </border>
    </dxf>
    <dxf>
      <font>
        <color rgb="FF000000"/>
      </font>
      <fill>
        <patternFill patternType="solid">
          <fgColor indexed="64"/>
          <bgColor rgb="FFD0CECE"/>
        </patternFill>
      </fill>
      <border>
        <left style="thin">
          <color rgb="FF000000"/>
        </left>
        <right style="thin">
          <color rgb="FF000000"/>
        </right>
        <top style="thin">
          <color rgb="FF000000"/>
        </top>
        <bottom style="thin">
          <color rgb="FF000000"/>
        </bottom>
      </border>
    </dxf>
    <dxf>
      <border>
        <bottom style="thin">
          <color rgb="FF000000"/>
        </bottom>
      </border>
    </dxf>
    <dxf>
      <border>
        <top style="thin">
          <color rgb="FFD0CECE"/>
        </top>
      </border>
    </dxf>
    <dxf>
      <border>
        <bottom style="thin">
          <color rgb="FFD0CECE"/>
        </bottom>
      </border>
    </dxf>
    <dxf>
      <fill>
        <patternFill patternType="solid">
          <fgColor indexed="64"/>
          <bgColor rgb="FFD0CECE"/>
        </patternFill>
      </fill>
    </dxf>
    <dxf>
      <border>
        <bottom style="thin">
          <color rgb="FF000000"/>
        </bottom>
      </border>
    </dxf>
    <dxf>
      <font>
        <b/>
        <i val="0"/>
      </font>
      <fill>
        <patternFill patternType="solid">
          <fgColor indexed="64"/>
          <bgColor rgb="FFD0CECE"/>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font>
        <color rgb="FFFFFFFF"/>
      </font>
      <fill>
        <patternFill patternType="solid">
          <fgColor indexed="64"/>
          <bgColor rgb="FFFFFFFF"/>
        </patternFill>
      </fill>
      <border>
        <left/>
        <right/>
        <top/>
        <bottom/>
      </border>
    </dxf>
    <dxf>
      <font>
        <b val="0"/>
        <i val="0"/>
        <color rgb="FF000000"/>
      </font>
      <fill>
        <patternFill patternType="solid">
          <fgColor indexed="64"/>
          <bgColor rgb="FFFFFFFF"/>
        </patternFill>
      </fill>
      <border>
        <left style="thin">
          <color rgb="FF000000"/>
        </left>
        <right style="thin">
          <color rgb="FF000000"/>
        </right>
        <bottom style="thin">
          <color rgb="FFF2F2F2"/>
        </bottom>
      </border>
    </dxf>
    <dxf>
      <font>
        <b val="0"/>
        <i val="0"/>
        <color rgb="FF000000"/>
      </font>
      <fill>
        <patternFill patternType="solid">
          <fgColor indexed="64"/>
          <bgColor rgb="FFFFFFFF"/>
        </patternFill>
      </fill>
      <border>
        <left style="thin">
          <color rgb="FF000000"/>
        </left>
        <right style="thin">
          <color rgb="FF000000"/>
        </right>
        <bottom style="thin">
          <color rgb="FF000000"/>
        </bottom>
      </border>
    </dxf>
    <dxf>
      <font>
        <b val="0"/>
        <i val="0"/>
        <color rgb="FF000000"/>
      </font>
      <fill>
        <patternFill patternType="solid">
          <fgColor indexed="64"/>
          <bgColor rgb="FFD0CECE"/>
        </patternFill>
      </fill>
      <border>
        <left style="thin">
          <color rgb="FF000000"/>
        </left>
        <right style="thin">
          <color rgb="FF000000"/>
        </right>
        <top style="thin">
          <color rgb="FF000000"/>
        </top>
        <bottom style="thin">
          <color rgb="FF000000"/>
        </bottom>
      </border>
    </dxf>
    <dxf>
      <font>
        <b/>
        <i val="0"/>
        <color rgb="FF000000"/>
      </font>
      <fill>
        <patternFill patternType="solid">
          <fgColor indexed="64"/>
          <bgColor rgb="FFD0CECE"/>
        </patternFill>
      </fill>
      <border>
        <left style="thin">
          <color rgb="FF000000"/>
        </left>
        <right style="thin">
          <color rgb="FF000000"/>
        </right>
        <top style="thin">
          <color rgb="FF000000"/>
        </top>
        <bottom style="thin">
          <color rgb="FF000000"/>
        </bottom>
      </border>
    </dxf>
    <dxf>
      <border>
        <top style="thin">
          <color rgb="FF000000"/>
        </top>
      </border>
    </dxf>
    <dxf>
      <border>
        <right style="thin">
          <color rgb="FF000000"/>
        </right>
      </border>
    </dxf>
    <dxf>
      <border>
        <right style="thin">
          <color rgb="FF000000"/>
        </right>
      </border>
    </dxf>
    <dxf>
      <border>
        <right style="thin">
          <color rgb="FF000000"/>
        </right>
      </border>
    </dxf>
    <dxf>
      <font>
        <b/>
        <i val="0"/>
        <color rgb="FF70AD47"/>
      </font>
    </dxf>
    <dxf>
      <font>
        <color rgb="FFFFFFFF"/>
      </font>
      <fill>
        <patternFill patternType="solid">
          <fgColor indexed="64"/>
          <bgColor rgb="FFFFFFFF"/>
        </patternFill>
      </fill>
      <border>
        <left/>
        <right/>
        <top/>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border>
    </dxf>
    <dxf>
      <border>
        <left style="thin">
          <color rgb="FF000000"/>
        </left>
      </border>
    </dxf>
    <dxf>
      <font>
        <color theme="1" tint="0.499984740745262"/>
      </font>
      <fill>
        <patternFill>
          <bgColor theme="2" tint="-9.9948118533890809E-2"/>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color rgb="FFFF0000"/>
      </font>
    </dxf>
    <dxf>
      <font>
        <b val="0"/>
        <i/>
        <color rgb="FFFF0000"/>
      </font>
    </dxf>
    <dxf>
      <fill>
        <patternFill patternType="solid">
          <fgColor rgb="FFFFFF00"/>
          <bgColor rgb="FFFFFF00"/>
        </patternFill>
      </fill>
    </dxf>
    <dxf>
      <font>
        <color rgb="FFFF0000"/>
      </font>
      <fill>
        <patternFill patternType="solid">
          <fgColor theme="2" tint="-9.9917600024414813E-2"/>
          <bgColor theme="2" tint="-9.9948118533890809E-2"/>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6" tint="-0.499984740745262"/>
      </font>
      <fill>
        <patternFill>
          <bgColor theme="9" tint="0.79998168889431442"/>
        </patternFill>
      </fill>
    </dxf>
    <dxf>
      <font>
        <color rgb="FFC00000"/>
      </font>
      <fill>
        <patternFill>
          <bgColor theme="5" tint="0.7999816888943144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b val="0"/>
        <i/>
        <color rgb="FF8B0000"/>
      </font>
    </dxf>
    <dxf>
      <font>
        <color theme="5" tint="-0.499984740745262"/>
      </font>
      <fill>
        <patternFill patternType="solid">
          <fgColor indexed="64"/>
          <bgColor rgb="FFFFC000"/>
        </patternFill>
      </fill>
    </dxf>
    <dxf>
      <font>
        <b val="0"/>
        <i/>
        <color rgb="FFFF0000"/>
      </font>
    </dxf>
    <dxf>
      <font>
        <b val="0"/>
        <i/>
        <color rgb="FFFF0000"/>
      </font>
    </dxf>
    <dxf>
      <font>
        <b val="0"/>
        <i/>
        <color rgb="FFFF0000"/>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ill>
        <patternFill patternType="solid">
          <fgColor rgb="FFDDEBF7"/>
          <bgColor rgb="FFDDEBF7"/>
        </patternFill>
      </fill>
    </dxf>
    <dxf>
      <fill>
        <patternFill patternType="solid">
          <fgColor rgb="FFDDEBF7"/>
          <bgColor rgb="FFDDEBF7"/>
        </patternFill>
      </fill>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9BC2E6"/>
        </left>
        <right style="thin">
          <color rgb="FF9BC2E6"/>
        </right>
        <top style="thin">
          <color rgb="FF9BC2E6"/>
        </top>
        <bottom style="thin">
          <color rgb="FF9BC2E6"/>
        </bottom>
        <horizontal style="thin">
          <color rgb="FF9BC2E6"/>
        </horizontal>
      </border>
    </dxf>
  </dxfs>
  <tableStyles count="1" defaultTableStyle="TableStyleMedium2" defaultPivotStyle="PivotStyleLight16">
    <tableStyle name="TableStyleMedium2 2" pivot="0" count="7" xr9:uid="{69746DBC-06CB-40AA-BAC5-833E62701217}">
      <tableStyleElement type="wholeTable" dxfId="150"/>
      <tableStyleElement type="headerRow" dxfId="149"/>
      <tableStyleElement type="totalRow" dxfId="148"/>
      <tableStyleElement type="firstColumn" dxfId="147"/>
      <tableStyleElement type="lastColumn" dxfId="146"/>
      <tableStyleElement type="firstRowStripe" dxfId="145"/>
      <tableStyleElement type="firstColumnStripe" dxfId="144"/>
    </tableStyle>
  </tableStyles>
  <colors>
    <mruColors>
      <color rgb="FFD0CECE"/>
      <color rgb="FFF1FAFD"/>
      <color rgb="FFDEF2FA"/>
      <color rgb="FFD5ABFF"/>
      <color rgb="FFE3D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693420</xdr:colOff>
      <xdr:row>25</xdr:row>
      <xdr:rowOff>7620</xdr:rowOff>
    </xdr:to>
    <xdr:sp macro="" textlink="">
      <xdr:nvSpPr>
        <xdr:cNvPr id="1026" name="_x0000_t202" hidden="1">
          <a:extLst>
            <a:ext uri="{FF2B5EF4-FFF2-40B4-BE49-F238E27FC236}">
              <a16:creationId xmlns:a16="http://schemas.microsoft.com/office/drawing/2014/main" id="{801A6349-3D98-F54D-8206-517AC4AFC0A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editAs="oneCell">
    <xdr:from>
      <xdr:col>9</xdr:col>
      <xdr:colOff>403409</xdr:colOff>
      <xdr:row>1</xdr:row>
      <xdr:rowOff>161370</xdr:rowOff>
    </xdr:from>
    <xdr:to>
      <xdr:col>10</xdr:col>
      <xdr:colOff>802774</xdr:colOff>
      <xdr:row>4</xdr:row>
      <xdr:rowOff>41132</xdr:rowOff>
    </xdr:to>
    <xdr:pic>
      <xdr:nvPicPr>
        <xdr:cNvPr id="3" name="Picture 2">
          <a:extLst>
            <a:ext uri="{FF2B5EF4-FFF2-40B4-BE49-F238E27FC236}">
              <a16:creationId xmlns:a16="http://schemas.microsoft.com/office/drawing/2014/main" id="{EDD16092-FCA3-F658-B03C-5BE081851FFB}"/>
            </a:ext>
          </a:extLst>
        </xdr:cNvPr>
        <xdr:cNvPicPr>
          <a:picLocks noChangeAspect="1"/>
        </xdr:cNvPicPr>
      </xdr:nvPicPr>
      <xdr:blipFill>
        <a:blip xmlns:r="http://schemas.openxmlformats.org/officeDocument/2006/relationships" r:embed="rId1"/>
        <a:stretch>
          <a:fillRect/>
        </a:stretch>
      </xdr:blipFill>
      <xdr:spPr>
        <a:xfrm>
          <a:off x="11573433" y="340664"/>
          <a:ext cx="1569856" cy="4496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1A69EAB-3C27-D444-BF1E-1F5C4EC38B66}">
  <we:reference id="WA200009404" version="1.0.0.8" store="Omex" storeType="OMEX"/>
  <we:alternateReferences>
    <we:reference id="WA200009404" version="1.0.0.8" store="WA200009404" storeType="OMEX"/>
  </we:alternateReferences>
  <we:properties>
    <we:property name="claude.fileId" value="&quot;1d45bbc7-17d8-4533-89e4-cc0ec018b6d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AN212"/>
  <sheetViews>
    <sheetView showGridLines="0" topLeftCell="A59" zoomScale="140" zoomScaleNormal="140" workbookViewId="0">
      <selection activeCell="Q118" sqref="Q118"/>
    </sheetView>
  </sheetViews>
  <sheetFormatPr defaultColWidth="9.109375" defaultRowHeight="16.95" customHeight="1" outlineLevelRow="1" outlineLevelCol="1" x14ac:dyDescent="0.3"/>
  <cols>
    <col min="1" max="1" width="5.77734375" style="306" customWidth="1"/>
    <col min="2" max="2" width="38.21875" style="306" customWidth="1"/>
    <col min="3" max="11" width="17" style="306" customWidth="1"/>
    <col min="12" max="12" width="6.5546875" style="306" customWidth="1"/>
    <col min="13" max="13" width="5.77734375" style="306" customWidth="1"/>
    <col min="14" max="14" width="29.6640625" style="306" customWidth="1" outlineLevel="1"/>
    <col min="15" max="15" width="17" style="306" customWidth="1" outlineLevel="1"/>
    <col min="16" max="16" width="11.21875" style="306" customWidth="1" outlineLevel="1"/>
    <col min="17" max="17" width="17" style="306" customWidth="1" outlineLevel="1"/>
    <col min="18" max="18" width="8.44140625" style="306" customWidth="1" outlineLevel="1"/>
    <col min="19" max="19" width="4.88671875" style="306" customWidth="1" outlineLevel="1"/>
    <col min="20" max="20" width="27.88671875" style="306" customWidth="1" outlineLevel="1"/>
    <col min="21" max="22" width="5.77734375" style="306" customWidth="1"/>
    <col min="23" max="23" width="30.77734375" style="306" hidden="1" customWidth="1" outlineLevel="1"/>
    <col min="24" max="24" width="14.109375" style="306" hidden="1" customWidth="1" outlineLevel="1"/>
    <col min="25" max="25" width="9.88671875" style="306" hidden="1" customWidth="1" outlineLevel="1"/>
    <col min="26" max="26" width="15" style="306" hidden="1" customWidth="1" outlineLevel="1"/>
    <col min="27" max="27" width="11.5546875" style="306" hidden="1" customWidth="1" outlineLevel="1"/>
    <col min="28" max="28" width="7" style="306" hidden="1" customWidth="1" outlineLevel="1"/>
    <col min="29" max="29" width="6.77734375" style="306" hidden="1" customWidth="1" outlineLevel="1"/>
    <col min="30" max="30" width="5.77734375" style="306" customWidth="1" collapsed="1"/>
    <col min="31" max="31" width="5.77734375" style="306" customWidth="1"/>
    <col min="32" max="32" width="32.88671875" style="306" hidden="1" customWidth="1" outlineLevel="1"/>
    <col min="33" max="38" width="17" style="306" hidden="1" customWidth="1" outlineLevel="1"/>
    <col min="39" max="39" width="5.77734375" style="306" hidden="1" customWidth="1" outlineLevel="1"/>
    <col min="40" max="40" width="5.77734375" style="306" customWidth="1" collapsed="1"/>
    <col min="41" max="41" width="5.77734375" style="306" customWidth="1"/>
    <col min="42" max="43" width="9.109375" style="306" customWidth="1"/>
    <col min="44" max="45" width="10" style="306" bestFit="1" customWidth="1"/>
    <col min="46" max="46" width="12.6640625" style="306" bestFit="1" customWidth="1"/>
    <col min="47" max="50" width="9.109375" style="306" customWidth="1"/>
    <col min="51" max="52" width="10" style="306" bestFit="1" customWidth="1"/>
    <col min="53" max="16384" width="9.109375" style="306"/>
  </cols>
  <sheetData>
    <row r="1" spans="1:40" ht="14.4" customHeight="1" thickBot="1" x14ac:dyDescent="0.35">
      <c r="A1" s="306" t="s">
        <v>0</v>
      </c>
    </row>
    <row r="2" spans="1:40" ht="15" customHeight="1" x14ac:dyDescent="0.3">
      <c r="B2" s="1247" t="s">
        <v>1</v>
      </c>
      <c r="C2" s="632"/>
      <c r="D2" s="632"/>
      <c r="E2" s="632"/>
      <c r="F2" s="632"/>
      <c r="G2" s="632"/>
      <c r="H2" s="632"/>
      <c r="I2" s="632"/>
      <c r="J2" s="1256"/>
      <c r="K2" s="1257"/>
      <c r="L2" s="635"/>
      <c r="N2" s="307"/>
      <c r="U2" s="1243" t="s">
        <v>517</v>
      </c>
      <c r="AD2" s="1243" t="s">
        <v>519</v>
      </c>
      <c r="AN2" s="1243" t="s">
        <v>518</v>
      </c>
    </row>
    <row r="3" spans="1:40" ht="15" customHeight="1" x14ac:dyDescent="0.3">
      <c r="B3" s="1248"/>
      <c r="C3" s="633"/>
      <c r="D3" s="633"/>
      <c r="E3" s="633"/>
      <c r="F3" s="633"/>
      <c r="G3" s="633"/>
      <c r="H3" s="633"/>
      <c r="I3" s="633"/>
      <c r="J3" s="1258"/>
      <c r="K3" s="1259"/>
      <c r="L3" s="636"/>
      <c r="U3" s="1244"/>
      <c r="AD3" s="1244"/>
      <c r="AN3" s="1244"/>
    </row>
    <row r="4" spans="1:40" ht="15" customHeight="1" x14ac:dyDescent="0.3">
      <c r="B4" s="1248"/>
      <c r="C4" s="633"/>
      <c r="D4" s="633"/>
      <c r="E4" s="633"/>
      <c r="F4" s="633"/>
      <c r="G4" s="633"/>
      <c r="H4" s="633"/>
      <c r="I4" s="633"/>
      <c r="J4" s="1258"/>
      <c r="K4" s="1259"/>
      <c r="L4" s="636"/>
      <c r="U4" s="1244"/>
      <c r="AD4" s="1244"/>
      <c r="AN4" s="1244"/>
    </row>
    <row r="5" spans="1:40" ht="16.05" customHeight="1" thickBot="1" x14ac:dyDescent="0.35">
      <c r="B5" s="1249"/>
      <c r="C5" s="634"/>
      <c r="D5" s="634"/>
      <c r="E5" s="634"/>
      <c r="F5" s="634"/>
      <c r="G5" s="634"/>
      <c r="H5" s="634"/>
      <c r="I5" s="634"/>
      <c r="J5" s="1260"/>
      <c r="K5" s="1261"/>
      <c r="L5" s="637"/>
      <c r="U5" s="1244"/>
      <c r="AD5" s="1244"/>
      <c r="AN5" s="1244"/>
    </row>
    <row r="6" spans="1:40" ht="15" thickBot="1" x14ac:dyDescent="0.35">
      <c r="B6" s="1193"/>
      <c r="C6" s="308"/>
      <c r="D6" s="308"/>
      <c r="E6" s="308"/>
      <c r="F6" s="308"/>
      <c r="G6" s="308"/>
      <c r="H6" s="308"/>
      <c r="I6" s="308"/>
      <c r="J6" s="308"/>
      <c r="K6" s="309"/>
      <c r="L6" s="310"/>
      <c r="U6" s="1244"/>
      <c r="AD6" s="1244"/>
      <c r="AF6" s="1041" t="s">
        <v>525</v>
      </c>
      <c r="AG6" s="1042" t="s">
        <v>524</v>
      </c>
      <c r="AH6" s="1042" t="s">
        <v>526</v>
      </c>
      <c r="AN6" s="1244"/>
    </row>
    <row r="7" spans="1:40" ht="16.2" thickBot="1" x14ac:dyDescent="0.35">
      <c r="B7" s="168" t="s">
        <v>383</v>
      </c>
      <c r="C7" s="169"/>
      <c r="D7" s="169"/>
      <c r="E7" s="169"/>
      <c r="F7" s="169"/>
      <c r="G7" s="169"/>
      <c r="H7" s="169"/>
      <c r="I7" s="169"/>
      <c r="J7" s="169"/>
      <c r="K7" s="169"/>
      <c r="L7" s="170"/>
      <c r="U7" s="1244"/>
      <c r="AD7" s="1244"/>
      <c r="AF7" s="1039" t="s">
        <v>523</v>
      </c>
      <c r="AG7" s="1040">
        <f t="shared" ref="AG7:AH9" si="0">P46</f>
        <v>0.5</v>
      </c>
      <c r="AH7" s="1045">
        <f t="shared" si="0"/>
        <v>-2886462.5</v>
      </c>
      <c r="AN7" s="1244"/>
    </row>
    <row r="8" spans="1:40" ht="14.4" x14ac:dyDescent="0.3">
      <c r="B8" s="311"/>
      <c r="C8" s="312"/>
      <c r="D8" s="312"/>
      <c r="E8" s="312"/>
      <c r="F8" s="312"/>
      <c r="G8" s="312"/>
      <c r="H8" s="312"/>
      <c r="I8" s="312"/>
      <c r="J8" s="312"/>
      <c r="K8" s="176"/>
      <c r="L8" s="174"/>
      <c r="U8" s="1244"/>
      <c r="AD8" s="1244"/>
      <c r="AF8" s="1039" t="s">
        <v>522</v>
      </c>
      <c r="AG8" s="1040">
        <f t="shared" si="0"/>
        <v>0.3</v>
      </c>
      <c r="AH8" s="1045">
        <f t="shared" si="0"/>
        <v>-669942.5</v>
      </c>
      <c r="AN8" s="1244"/>
    </row>
    <row r="9" spans="1:40" ht="14.4" x14ac:dyDescent="0.3">
      <c r="B9" s="313" t="s">
        <v>384</v>
      </c>
      <c r="C9" s="314"/>
      <c r="D9" s="1263"/>
      <c r="E9" s="1263"/>
      <c r="F9" s="315"/>
      <c r="G9" s="315"/>
      <c r="H9" s="176"/>
      <c r="I9" s="176"/>
      <c r="J9" s="176"/>
      <c r="K9" s="176"/>
      <c r="L9" s="178"/>
      <c r="U9" s="1244"/>
      <c r="AD9" s="1244"/>
      <c r="AF9" s="1039" t="s">
        <v>521</v>
      </c>
      <c r="AG9" s="1040">
        <f t="shared" si="0"/>
        <v>0.2</v>
      </c>
      <c r="AH9" s="1045">
        <f t="shared" si="0"/>
        <v>-122793</v>
      </c>
      <c r="AN9" s="1244"/>
    </row>
    <row r="10" spans="1:40" ht="15" thickBot="1" x14ac:dyDescent="0.35">
      <c r="B10" s="1251"/>
      <c r="C10" s="1252"/>
      <c r="D10" s="1252"/>
      <c r="E10" s="1252"/>
      <c r="F10" s="1252"/>
      <c r="G10" s="1253"/>
      <c r="H10" s="176"/>
      <c r="I10" s="316" t="s">
        <v>2</v>
      </c>
      <c r="J10" s="1254"/>
      <c r="K10" s="1255"/>
      <c r="L10" s="178"/>
      <c r="U10" s="1244"/>
      <c r="AD10" s="1244"/>
      <c r="AF10" s="1043" t="s">
        <v>8</v>
      </c>
      <c r="AG10" s="1044">
        <f>SUM(AG7:AG9)</f>
        <v>1</v>
      </c>
      <c r="AH10" s="1046">
        <f>AG55</f>
        <v>3541935</v>
      </c>
      <c r="AN10" s="1244"/>
    </row>
    <row r="11" spans="1:40" ht="14.4" x14ac:dyDescent="0.3">
      <c r="B11" s="628"/>
      <c r="C11" s="629"/>
      <c r="D11" s="202"/>
      <c r="E11" s="202"/>
      <c r="F11" s="630"/>
      <c r="G11" s="631"/>
      <c r="H11" s="176"/>
      <c r="I11" s="316" t="s">
        <v>3</v>
      </c>
      <c r="J11" s="1254"/>
      <c r="K11" s="1255"/>
      <c r="L11" s="178"/>
      <c r="U11" s="1244"/>
      <c r="AD11" s="1244"/>
      <c r="AN11" s="1244"/>
    </row>
    <row r="12" spans="1:40" ht="15" thickBot="1" x14ac:dyDescent="0.35">
      <c r="B12" s="317"/>
      <c r="C12" s="1262"/>
      <c r="D12" s="1262"/>
      <c r="E12" s="1262"/>
      <c r="F12" s="1265"/>
      <c r="G12" s="1265"/>
      <c r="H12" s="1265"/>
      <c r="I12" s="1265"/>
      <c r="J12" s="1266"/>
      <c r="K12" s="1266"/>
      <c r="L12" s="207"/>
      <c r="U12" s="1244"/>
      <c r="AD12" s="1244"/>
      <c r="AN12" s="1244"/>
    </row>
    <row r="13" spans="1:40" ht="15" thickBot="1" x14ac:dyDescent="0.35">
      <c r="F13" s="1264"/>
      <c r="G13" s="1264"/>
      <c r="H13" s="319"/>
      <c r="I13" s="319"/>
      <c r="O13" s="320"/>
      <c r="U13" s="1244"/>
      <c r="AD13" s="1244"/>
      <c r="AF13" s="1009"/>
      <c r="AG13" s="1010" t="str">
        <f>C36</f>
        <v>Total</v>
      </c>
      <c r="AH13" s="1047" t="str">
        <f>D36</f>
        <v>Equity</v>
      </c>
      <c r="AI13" s="1011" t="str">
        <f>Lists!L4</f>
        <v>SBA 7(a)</v>
      </c>
      <c r="AJ13" s="1048" t="str">
        <f>Lists!L9</f>
        <v>Seller Note</v>
      </c>
      <c r="AN13" s="1244"/>
    </row>
    <row r="14" spans="1:40" ht="16.95" customHeight="1" thickBot="1" x14ac:dyDescent="0.35">
      <c r="B14" s="168" t="s">
        <v>4</v>
      </c>
      <c r="C14" s="169"/>
      <c r="D14" s="169"/>
      <c r="E14" s="169"/>
      <c r="F14" s="169"/>
      <c r="G14" s="169"/>
      <c r="H14" s="169"/>
      <c r="I14" s="169"/>
      <c r="J14" s="169"/>
      <c r="K14" s="169"/>
      <c r="L14" s="170"/>
      <c r="M14" s="321"/>
      <c r="N14" s="564" t="s">
        <v>5</v>
      </c>
      <c r="O14" s="565" t="s">
        <v>6</v>
      </c>
      <c r="P14" s="565" t="s">
        <v>7</v>
      </c>
      <c r="Q14" s="566" t="s">
        <v>8</v>
      </c>
      <c r="R14" s="322"/>
      <c r="S14" s="322"/>
      <c r="U14" s="1244"/>
      <c r="AD14" s="1244"/>
      <c r="AF14" s="366" t="s">
        <v>514</v>
      </c>
      <c r="AG14" s="367"/>
      <c r="AH14" s="367"/>
      <c r="AI14" s="367"/>
      <c r="AJ14" s="1013"/>
      <c r="AN14" s="1244"/>
    </row>
    <row r="15" spans="1:40" ht="14.4" customHeight="1" x14ac:dyDescent="0.3">
      <c r="B15" s="311"/>
      <c r="C15" s="312"/>
      <c r="D15" s="312"/>
      <c r="E15" s="323">
        <v>1</v>
      </c>
      <c r="F15" s="324">
        <v>2</v>
      </c>
      <c r="G15" s="323">
        <v>3</v>
      </c>
      <c r="H15" s="323">
        <v>4</v>
      </c>
      <c r="I15" s="323">
        <v>5</v>
      </c>
      <c r="J15" s="323">
        <v>6</v>
      </c>
      <c r="K15" s="325">
        <v>7</v>
      </c>
      <c r="L15" s="326" t="s">
        <v>478</v>
      </c>
      <c r="M15" s="327"/>
      <c r="N15" s="567" t="s">
        <v>14</v>
      </c>
      <c r="O15" s="485">
        <v>0</v>
      </c>
      <c r="P15" s="486">
        <v>0</v>
      </c>
      <c r="Q15" s="487">
        <f t="shared" ref="Q15:Q29" si="1">O15*P15</f>
        <v>0</v>
      </c>
      <c r="R15" s="328" t="s">
        <v>15</v>
      </c>
      <c r="S15" s="328"/>
      <c r="T15" s="322"/>
      <c r="U15" s="1244"/>
      <c r="AD15" s="1244"/>
      <c r="AF15" s="368" t="str">
        <f t="shared" ref="AF15:AF31" si="2">B38</f>
        <v>Real Estate Acquisition</v>
      </c>
      <c r="AG15" s="806">
        <f t="shared" ref="AG15:AG31" si="3">SUM(AH15:AJ15)</f>
        <v>0</v>
      </c>
      <c r="AH15" s="499">
        <v>0</v>
      </c>
      <c r="AI15" s="496">
        <f t="shared" ref="AI15:AJ31" si="4">IFERROR(INDEX($C38:$K38,MATCH(AI$13,$C$36:$K$36,0)),0)</f>
        <v>0</v>
      </c>
      <c r="AJ15" s="1015">
        <f t="shared" si="4"/>
        <v>0</v>
      </c>
      <c r="AN15" s="1244"/>
    </row>
    <row r="16" spans="1:40" ht="14.4" x14ac:dyDescent="0.3">
      <c r="B16" s="624"/>
      <c r="C16" s="204" t="s">
        <v>469</v>
      </c>
      <c r="D16" s="329" t="s">
        <v>11</v>
      </c>
      <c r="E16" s="477" t="s">
        <v>470</v>
      </c>
      <c r="F16" s="477" t="s">
        <v>470</v>
      </c>
      <c r="G16" s="477" t="s">
        <v>470</v>
      </c>
      <c r="H16" s="477" t="s">
        <v>471</v>
      </c>
      <c r="I16" s="477" t="s">
        <v>472</v>
      </c>
      <c r="J16" s="477" t="s">
        <v>209</v>
      </c>
      <c r="K16" s="477" t="s">
        <v>209</v>
      </c>
      <c r="L16" s="330"/>
      <c r="M16" s="331"/>
      <c r="N16" s="567" t="s">
        <v>16</v>
      </c>
      <c r="O16" s="485">
        <v>0</v>
      </c>
      <c r="P16" s="486">
        <v>0</v>
      </c>
      <c r="Q16" s="487">
        <f t="shared" si="1"/>
        <v>0</v>
      </c>
      <c r="R16" s="328" t="s">
        <v>460</v>
      </c>
      <c r="S16" s="328"/>
      <c r="T16" s="328"/>
      <c r="U16" s="1244"/>
      <c r="AD16" s="1244"/>
      <c r="AF16" s="368" t="str">
        <f t="shared" si="2"/>
        <v>Debt Refi - CRE</v>
      </c>
      <c r="AG16" s="806">
        <f t="shared" si="3"/>
        <v>0</v>
      </c>
      <c r="AH16" s="499">
        <v>0</v>
      </c>
      <c r="AI16" s="496">
        <f t="shared" si="4"/>
        <v>0</v>
      </c>
      <c r="AJ16" s="1015">
        <f t="shared" si="4"/>
        <v>0</v>
      </c>
      <c r="AN16" s="1244"/>
    </row>
    <row r="17" spans="2:40" ht="14.4" x14ac:dyDescent="0.3">
      <c r="B17" s="625"/>
      <c r="C17" s="204" t="s">
        <v>353</v>
      </c>
      <c r="D17" s="332" t="s">
        <v>308</v>
      </c>
      <c r="E17" s="478" t="s">
        <v>366</v>
      </c>
      <c r="F17" s="478" t="s">
        <v>366</v>
      </c>
      <c r="G17" s="478" t="s">
        <v>361</v>
      </c>
      <c r="H17" s="478" t="s">
        <v>12</v>
      </c>
      <c r="I17" s="478" t="s">
        <v>362</v>
      </c>
      <c r="J17" s="478" t="s">
        <v>209</v>
      </c>
      <c r="K17" s="478" t="s">
        <v>209</v>
      </c>
      <c r="L17" s="178"/>
      <c r="M17" s="331"/>
      <c r="N17" s="567" t="s">
        <v>18</v>
      </c>
      <c r="O17" s="485">
        <v>3000</v>
      </c>
      <c r="P17" s="486">
        <v>0</v>
      </c>
      <c r="Q17" s="487">
        <f t="shared" si="1"/>
        <v>0</v>
      </c>
      <c r="R17" s="328" t="s">
        <v>19</v>
      </c>
      <c r="S17" s="328"/>
      <c r="T17" s="328"/>
      <c r="U17" s="1244"/>
      <c r="AD17" s="1244"/>
      <c r="AF17" s="368" t="str">
        <f t="shared" si="2"/>
        <v>Debt Refi - Non-CRE</v>
      </c>
      <c r="AG17" s="806">
        <f t="shared" si="3"/>
        <v>0</v>
      </c>
      <c r="AH17" s="499">
        <v>0</v>
      </c>
      <c r="AI17" s="496">
        <f t="shared" si="4"/>
        <v>0</v>
      </c>
      <c r="AJ17" s="1015">
        <f t="shared" si="4"/>
        <v>0</v>
      </c>
      <c r="AN17" s="1244"/>
    </row>
    <row r="18" spans="2:40" ht="14.4" x14ac:dyDescent="0.3">
      <c r="B18" s="625"/>
      <c r="C18" s="204" t="s">
        <v>17</v>
      </c>
      <c r="D18" s="333">
        <f t="shared" ref="D18:K18" si="5">D55</f>
        <v>1571792</v>
      </c>
      <c r="E18" s="333">
        <f t="shared" si="5"/>
        <v>612591</v>
      </c>
      <c r="F18" s="333">
        <f t="shared" si="5"/>
        <v>2746607</v>
      </c>
      <c r="G18" s="333">
        <f t="shared" si="5"/>
        <v>1350000</v>
      </c>
      <c r="H18" s="333">
        <f t="shared" si="5"/>
        <v>320000</v>
      </c>
      <c r="I18" s="333">
        <f t="shared" si="5"/>
        <v>1871935</v>
      </c>
      <c r="J18" s="333">
        <f t="shared" si="5"/>
        <v>0</v>
      </c>
      <c r="K18" s="333">
        <f t="shared" si="5"/>
        <v>0</v>
      </c>
      <c r="L18" s="178"/>
      <c r="M18" s="331"/>
      <c r="N18" s="567" t="s">
        <v>21</v>
      </c>
      <c r="O18" s="485">
        <v>3500</v>
      </c>
      <c r="P18" s="486">
        <v>0</v>
      </c>
      <c r="Q18" s="487">
        <f t="shared" si="1"/>
        <v>0</v>
      </c>
      <c r="R18" s="328" t="s">
        <v>22</v>
      </c>
      <c r="S18" s="328"/>
      <c r="T18" s="328"/>
      <c r="U18" s="1244"/>
      <c r="AD18" s="1244"/>
      <c r="AF18" s="368" t="str">
        <f t="shared" si="2"/>
        <v>Machinery &amp; Equipment</v>
      </c>
      <c r="AG18" s="806">
        <f t="shared" si="3"/>
        <v>0</v>
      </c>
      <c r="AH18" s="499">
        <v>0</v>
      </c>
      <c r="AI18" s="496">
        <f t="shared" si="4"/>
        <v>0</v>
      </c>
      <c r="AJ18" s="1015">
        <f t="shared" si="4"/>
        <v>0</v>
      </c>
      <c r="AN18" s="1244"/>
    </row>
    <row r="19" spans="2:40" ht="14.4" x14ac:dyDescent="0.3">
      <c r="B19" s="625"/>
      <c r="C19" s="204" t="s">
        <v>20</v>
      </c>
      <c r="D19" s="334"/>
      <c r="E19" s="479">
        <v>6.7500000000000004E-2</v>
      </c>
      <c r="F19" s="479">
        <v>5.9400000000000001E-2</v>
      </c>
      <c r="G19" s="479">
        <v>6.7500000000000004E-2</v>
      </c>
      <c r="H19" s="479">
        <v>0.05</v>
      </c>
      <c r="I19" s="479">
        <v>0.05</v>
      </c>
      <c r="J19" s="479">
        <v>6.7500000000000004E-2</v>
      </c>
      <c r="K19" s="479">
        <v>0</v>
      </c>
      <c r="L19" s="335"/>
      <c r="M19" s="331"/>
      <c r="N19" s="567" t="s">
        <v>33</v>
      </c>
      <c r="O19" s="485">
        <v>2500</v>
      </c>
      <c r="P19" s="486">
        <v>0</v>
      </c>
      <c r="Q19" s="487">
        <f t="shared" si="1"/>
        <v>0</v>
      </c>
      <c r="R19" s="336" t="s">
        <v>34</v>
      </c>
      <c r="S19" s="328"/>
      <c r="T19" s="328"/>
      <c r="U19" s="1244"/>
      <c r="AD19" s="1244"/>
      <c r="AF19" s="368" t="str">
        <f t="shared" si="2"/>
        <v>Furniture &amp; Fixtures</v>
      </c>
      <c r="AG19" s="806">
        <f t="shared" si="3"/>
        <v>0</v>
      </c>
      <c r="AH19" s="499">
        <v>0</v>
      </c>
      <c r="AI19" s="496">
        <f t="shared" si="4"/>
        <v>0</v>
      </c>
      <c r="AJ19" s="1015">
        <f t="shared" si="4"/>
        <v>0</v>
      </c>
      <c r="AN19" s="1244"/>
    </row>
    <row r="20" spans="2:40" ht="14.4" x14ac:dyDescent="0.3">
      <c r="B20" s="625"/>
      <c r="C20" s="204" t="s">
        <v>23</v>
      </c>
      <c r="D20" s="337"/>
      <c r="E20" s="479">
        <v>1.4999999999999999E-2</v>
      </c>
      <c r="F20" s="479">
        <v>0</v>
      </c>
      <c r="G20" s="479">
        <v>2.75E-2</v>
      </c>
      <c r="H20" s="479">
        <v>0</v>
      </c>
      <c r="I20" s="479">
        <v>0.01</v>
      </c>
      <c r="J20" s="479">
        <v>0.03</v>
      </c>
      <c r="K20" s="479">
        <v>0</v>
      </c>
      <c r="L20" s="335"/>
      <c r="M20" s="331"/>
      <c r="N20" s="567" t="s">
        <v>38</v>
      </c>
      <c r="O20" s="485">
        <v>500</v>
      </c>
      <c r="P20" s="486">
        <v>0</v>
      </c>
      <c r="Q20" s="487">
        <f t="shared" si="1"/>
        <v>0</v>
      </c>
      <c r="R20" s="336" t="s">
        <v>39</v>
      </c>
      <c r="S20" s="328"/>
      <c r="T20" s="328"/>
      <c r="U20" s="1244"/>
      <c r="AD20" s="1244"/>
      <c r="AF20" s="368" t="str">
        <f t="shared" si="2"/>
        <v>Inventory</v>
      </c>
      <c r="AG20" s="806">
        <f t="shared" si="3"/>
        <v>0</v>
      </c>
      <c r="AH20" s="499">
        <v>0</v>
      </c>
      <c r="AI20" s="496">
        <f t="shared" si="4"/>
        <v>0</v>
      </c>
      <c r="AJ20" s="1015">
        <f t="shared" si="4"/>
        <v>0</v>
      </c>
      <c r="AN20" s="1244"/>
    </row>
    <row r="21" spans="2:40" ht="14.4" x14ac:dyDescent="0.3">
      <c r="B21" s="625"/>
      <c r="C21" s="204" t="s">
        <v>26</v>
      </c>
      <c r="D21" s="337"/>
      <c r="E21" s="338">
        <f t="shared" ref="E21:K21" si="6">E19+E20</f>
        <v>8.2500000000000004E-2</v>
      </c>
      <c r="F21" s="338">
        <f t="shared" si="6"/>
        <v>5.9400000000000001E-2</v>
      </c>
      <c r="G21" s="338">
        <f t="shared" si="6"/>
        <v>9.5000000000000001E-2</v>
      </c>
      <c r="H21" s="338">
        <f t="shared" si="6"/>
        <v>0.05</v>
      </c>
      <c r="I21" s="338">
        <f t="shared" si="6"/>
        <v>6.0000000000000005E-2</v>
      </c>
      <c r="J21" s="338">
        <f t="shared" si="6"/>
        <v>9.7500000000000003E-2</v>
      </c>
      <c r="K21" s="338">
        <f t="shared" si="6"/>
        <v>0</v>
      </c>
      <c r="L21" s="178"/>
      <c r="M21" s="331"/>
      <c r="N21" s="567" t="s">
        <v>30</v>
      </c>
      <c r="O21" s="485">
        <v>2500</v>
      </c>
      <c r="P21" s="486">
        <v>1</v>
      </c>
      <c r="Q21" s="487">
        <f t="shared" si="1"/>
        <v>2500</v>
      </c>
      <c r="R21" s="336" t="s">
        <v>36</v>
      </c>
      <c r="S21" s="328"/>
      <c r="T21" s="328"/>
      <c r="U21" s="1244"/>
      <c r="AD21" s="1244"/>
      <c r="AF21" s="368" t="str">
        <f t="shared" si="2"/>
        <v>Working Capital</v>
      </c>
      <c r="AG21" s="806">
        <f t="shared" si="3"/>
        <v>0</v>
      </c>
      <c r="AH21" s="499">
        <v>0</v>
      </c>
      <c r="AI21" s="496">
        <f t="shared" si="4"/>
        <v>0</v>
      </c>
      <c r="AJ21" s="1015">
        <f t="shared" si="4"/>
        <v>0</v>
      </c>
      <c r="AN21" s="1244"/>
    </row>
    <row r="22" spans="2:40" ht="14.4" x14ac:dyDescent="0.3">
      <c r="B22" s="625"/>
      <c r="C22" s="204" t="s">
        <v>382</v>
      </c>
      <c r="D22" s="337"/>
      <c r="E22" s="480" t="s">
        <v>29</v>
      </c>
      <c r="F22" s="480" t="s">
        <v>29</v>
      </c>
      <c r="G22" s="480" t="s">
        <v>29</v>
      </c>
      <c r="H22" s="480" t="s">
        <v>29</v>
      </c>
      <c r="I22" s="480" t="s">
        <v>29</v>
      </c>
      <c r="J22" s="480" t="s">
        <v>29</v>
      </c>
      <c r="K22" s="480" t="s">
        <v>29</v>
      </c>
      <c r="L22" s="178"/>
      <c r="M22" s="331"/>
      <c r="N22" s="567" t="s">
        <v>24</v>
      </c>
      <c r="O22" s="485">
        <v>0</v>
      </c>
      <c r="P22" s="486">
        <v>0</v>
      </c>
      <c r="Q22" s="487">
        <f t="shared" si="1"/>
        <v>0</v>
      </c>
      <c r="R22" s="336" t="s">
        <v>25</v>
      </c>
      <c r="S22" s="328"/>
      <c r="T22" s="328"/>
      <c r="U22" s="1244"/>
      <c r="AD22" s="1244"/>
      <c r="AF22" s="368" t="str">
        <f t="shared" si="2"/>
        <v>Working Capital - Pre Opening</v>
      </c>
      <c r="AG22" s="806">
        <f t="shared" si="3"/>
        <v>0</v>
      </c>
      <c r="AH22" s="499">
        <v>0</v>
      </c>
      <c r="AI22" s="496">
        <f t="shared" si="4"/>
        <v>0</v>
      </c>
      <c r="AJ22" s="1015">
        <f t="shared" si="4"/>
        <v>0</v>
      </c>
      <c r="AN22" s="1244"/>
    </row>
    <row r="23" spans="2:40" ht="14.4" x14ac:dyDescent="0.3">
      <c r="B23" s="625"/>
      <c r="C23" s="204" t="s">
        <v>32</v>
      </c>
      <c r="D23" s="339"/>
      <c r="E23" s="1188">
        <v>10</v>
      </c>
      <c r="F23" s="481">
        <v>10</v>
      </c>
      <c r="G23" s="481">
        <v>10</v>
      </c>
      <c r="H23" s="481">
        <v>7</v>
      </c>
      <c r="I23" s="481">
        <v>3</v>
      </c>
      <c r="J23" s="481">
        <v>5</v>
      </c>
      <c r="K23" s="481">
        <v>0</v>
      </c>
      <c r="L23" s="178"/>
      <c r="M23" s="331"/>
      <c r="N23" s="567" t="s">
        <v>31</v>
      </c>
      <c r="O23" s="485">
        <v>350</v>
      </c>
      <c r="P23" s="486">
        <v>0</v>
      </c>
      <c r="Q23" s="487">
        <f t="shared" si="1"/>
        <v>0</v>
      </c>
      <c r="R23" s="340">
        <v>350</v>
      </c>
      <c r="S23" s="341"/>
      <c r="T23" s="328"/>
      <c r="U23" s="1244"/>
      <c r="AD23" s="1244"/>
      <c r="AF23" s="368" t="str">
        <f t="shared" si="2"/>
        <v>Business Acquisition</v>
      </c>
      <c r="AG23" s="806">
        <f t="shared" si="3"/>
        <v>644000</v>
      </c>
      <c r="AH23" s="499">
        <v>0</v>
      </c>
      <c r="AI23" s="496">
        <f t="shared" si="4"/>
        <v>324000</v>
      </c>
      <c r="AJ23" s="1015">
        <f t="shared" si="4"/>
        <v>320000</v>
      </c>
      <c r="AN23" s="1244"/>
    </row>
    <row r="24" spans="2:40" ht="14.4" x14ac:dyDescent="0.3">
      <c r="B24" s="625"/>
      <c r="C24" s="204" t="s">
        <v>35</v>
      </c>
      <c r="D24" s="339"/>
      <c r="E24" s="481">
        <f t="shared" ref="E24:K24" si="7">E23*12</f>
        <v>120</v>
      </c>
      <c r="F24" s="481">
        <f t="shared" si="7"/>
        <v>120</v>
      </c>
      <c r="G24" s="481">
        <f t="shared" si="7"/>
        <v>120</v>
      </c>
      <c r="H24" s="481">
        <f t="shared" si="7"/>
        <v>84</v>
      </c>
      <c r="I24" s="481">
        <f t="shared" si="7"/>
        <v>36</v>
      </c>
      <c r="J24" s="481">
        <f t="shared" si="7"/>
        <v>60</v>
      </c>
      <c r="K24" s="481">
        <f t="shared" si="7"/>
        <v>0</v>
      </c>
      <c r="L24" s="178"/>
      <c r="M24" s="331"/>
      <c r="N24" s="567" t="s">
        <v>46</v>
      </c>
      <c r="O24" s="485">
        <v>0</v>
      </c>
      <c r="P24" s="486">
        <v>0</v>
      </c>
      <c r="Q24" s="487">
        <f t="shared" si="1"/>
        <v>0</v>
      </c>
      <c r="R24" s="336" t="s">
        <v>47</v>
      </c>
      <c r="S24" s="328"/>
      <c r="T24" s="341"/>
      <c r="U24" s="1244"/>
      <c r="AD24" s="1244"/>
      <c r="AF24" s="368" t="str">
        <f t="shared" si="2"/>
        <v>Franchise Fees</v>
      </c>
      <c r="AG24" s="806">
        <f t="shared" si="3"/>
        <v>0</v>
      </c>
      <c r="AH24" s="499">
        <v>0</v>
      </c>
      <c r="AI24" s="496">
        <f t="shared" si="4"/>
        <v>0</v>
      </c>
      <c r="AJ24" s="1015">
        <f t="shared" si="4"/>
        <v>0</v>
      </c>
      <c r="AN24" s="1244"/>
    </row>
    <row r="25" spans="2:40" ht="14.4" x14ac:dyDescent="0.3">
      <c r="B25" s="625"/>
      <c r="C25" s="342" t="s">
        <v>37</v>
      </c>
      <c r="D25" s="343"/>
      <c r="E25" s="344">
        <f ca="1">IFERROR(INDEX(Calculations!$K$4:$K$7,MATCH($E$22,Calculations!$B$4:$B$7,0)),0)</f>
        <v>7515.7978922910297</v>
      </c>
      <c r="F25" s="344">
        <f ca="1">IFERROR(INDEX(Calculations!$K$10:$K$13,MATCH($F$22,Calculations!$B$10:$B$13,0)),0)</f>
        <v>30417.001209321479</v>
      </c>
      <c r="G25" s="344">
        <f ca="1">IFERROR(INDEX(Calculations!$K$16:$K$19,MATCH($G$22,Calculations!$B$16:$B$19,0)),0)</f>
        <v>17474.442107317682</v>
      </c>
      <c r="H25" s="344">
        <f ca="1">IFERROR(INDEX(Calculations!$K$22:$K$25,MATCH($H$22,Calculations!$B$22:$B$25,0)),0)</f>
        <v>4523.4394305464957</v>
      </c>
      <c r="I25" s="344">
        <f ca="1">IFERROR(INDEX(Calculations!$K$28:$K$31,MATCH($I$22,Calculations!$B$28:$B$31,0)),0)</f>
        <v>56952.537141593348</v>
      </c>
      <c r="J25" s="344">
        <f ca="1">IFERROR(INDEX(Calculations!$K$34:$K$37,MATCH($J$22,Calculations!$B$34:$B$37,0)),0)</f>
        <v>0</v>
      </c>
      <c r="K25" s="344">
        <f ca="1">IFERROR(INDEX(Calculations!$K$40:$K$43,MATCH($K$22,Calculations!$B$40:$B$43,0)),0)</f>
        <v>0</v>
      </c>
      <c r="L25" s="178"/>
      <c r="M25" s="331"/>
      <c r="N25" s="567" t="s">
        <v>9</v>
      </c>
      <c r="O25" s="485">
        <v>2500</v>
      </c>
      <c r="P25" s="486">
        <v>1</v>
      </c>
      <c r="Q25" s="487">
        <f t="shared" si="1"/>
        <v>2500</v>
      </c>
      <c r="R25" s="328" t="s">
        <v>10</v>
      </c>
      <c r="S25" s="328"/>
      <c r="T25" s="328"/>
      <c r="U25" s="1244"/>
      <c r="AD25" s="1244"/>
      <c r="AF25" s="368" t="str">
        <f t="shared" si="2"/>
        <v>Construction Hard Costs</v>
      </c>
      <c r="AG25" s="806">
        <f t="shared" si="3"/>
        <v>0</v>
      </c>
      <c r="AH25" s="499">
        <v>0</v>
      </c>
      <c r="AI25" s="496">
        <f t="shared" si="4"/>
        <v>0</v>
      </c>
      <c r="AJ25" s="1015">
        <f t="shared" si="4"/>
        <v>0</v>
      </c>
      <c r="AN25" s="1244"/>
    </row>
    <row r="26" spans="2:40" ht="14.4" x14ac:dyDescent="0.3">
      <c r="B26" s="625"/>
      <c r="C26" s="204" t="s">
        <v>371</v>
      </c>
      <c r="D26" s="343"/>
      <c r="E26" s="345">
        <f>IF(E17=Lists!$L$4,Calculations!T7,0)</f>
        <v>13784</v>
      </c>
      <c r="F26" s="345">
        <f>IF(F17=Lists!$L$4,Calculations!T13,0)</f>
        <v>74749</v>
      </c>
      <c r="G26" s="345">
        <f>IF(G17=Lists!$L$4,Calculations!T19,0)</f>
        <v>0</v>
      </c>
      <c r="H26" s="345">
        <f>IF(H17=Lists!$L$4,Calculations!T25,0)</f>
        <v>0</v>
      </c>
      <c r="I26" s="345">
        <f>IF(I17=Lists!$L$4,Calculations!T31,0)</f>
        <v>0</v>
      </c>
      <c r="J26" s="345">
        <f>IF(J17=Lists!$L$4,Calculations!T37,0)</f>
        <v>0</v>
      </c>
      <c r="K26" s="345">
        <f>IF(K17=Lists!$L$4,Calculations!T43,0)</f>
        <v>0</v>
      </c>
      <c r="L26" s="178"/>
      <c r="M26" s="331"/>
      <c r="N26" s="567" t="s">
        <v>459</v>
      </c>
      <c r="O26" s="485">
        <v>7000</v>
      </c>
      <c r="P26" s="486">
        <v>0</v>
      </c>
      <c r="Q26" s="487">
        <f t="shared" si="1"/>
        <v>0</v>
      </c>
      <c r="R26" s="336" t="s">
        <v>42</v>
      </c>
      <c r="S26" s="328"/>
      <c r="U26" s="1244"/>
      <c r="AD26" s="1244"/>
      <c r="AF26" s="368" t="str">
        <f t="shared" si="2"/>
        <v>Construction Contingency - 10%</v>
      </c>
      <c r="AG26" s="806">
        <f t="shared" si="3"/>
        <v>222807</v>
      </c>
      <c r="AH26" s="499">
        <v>0</v>
      </c>
      <c r="AI26" s="499">
        <f t="shared" si="4"/>
        <v>222807</v>
      </c>
      <c r="AJ26" s="1015">
        <f t="shared" si="4"/>
        <v>0</v>
      </c>
      <c r="AN26" s="1244"/>
    </row>
    <row r="27" spans="2:40" ht="14.4" x14ac:dyDescent="0.3">
      <c r="B27" s="625"/>
      <c r="C27" s="204" t="s">
        <v>373</v>
      </c>
      <c r="D27" s="343"/>
      <c r="E27" s="345">
        <f>IF(E17=Lists!$L$10,Calculations!Z7,0)</f>
        <v>0</v>
      </c>
      <c r="F27" s="345">
        <f>IF(F17=Lists!$L$10,Calculations!Z13,0)</f>
        <v>0</v>
      </c>
      <c r="G27" s="345">
        <f>IF(G17=Lists!$L$10,Calculations!Z19,0)</f>
        <v>0</v>
      </c>
      <c r="H27" s="345">
        <f>IF(H17=Lists!$L$10,Calculations!Z25,0)</f>
        <v>0</v>
      </c>
      <c r="I27" s="345">
        <f>IF(I17=Lists!$L$10,Calculations!Z31,0)</f>
        <v>0</v>
      </c>
      <c r="J27" s="345">
        <f>IF(J17=Lists!$L$10,Calculations!Z37,0)</f>
        <v>0</v>
      </c>
      <c r="K27" s="345">
        <f>IF(K17=Lists!$L$10,Calculations!Z43,0)</f>
        <v>0</v>
      </c>
      <c r="L27" s="178"/>
      <c r="M27" s="331"/>
      <c r="N27" s="567" t="s">
        <v>44</v>
      </c>
      <c r="O27" s="485">
        <f>Q57-O28</f>
        <v>112000</v>
      </c>
      <c r="P27" s="486">
        <v>1</v>
      </c>
      <c r="Q27" s="487">
        <f t="shared" si="1"/>
        <v>112000</v>
      </c>
      <c r="R27" s="336" t="s">
        <v>45</v>
      </c>
      <c r="S27" s="328"/>
      <c r="T27" s="328"/>
      <c r="U27" s="1244"/>
      <c r="AD27" s="1244"/>
      <c r="AF27" s="368" t="str">
        <f t="shared" si="2"/>
        <v>Interest Reserve - 3 Mos</v>
      </c>
      <c r="AG27" s="806">
        <f t="shared" si="3"/>
        <v>0</v>
      </c>
      <c r="AH27" s="501">
        <v>0</v>
      </c>
      <c r="AI27" s="501">
        <f t="shared" si="4"/>
        <v>0</v>
      </c>
      <c r="AJ27" s="1016">
        <f t="shared" si="4"/>
        <v>0</v>
      </c>
      <c r="AN27" s="1244"/>
    </row>
    <row r="28" spans="2:40" ht="14.4" x14ac:dyDescent="0.3">
      <c r="B28" s="625"/>
      <c r="C28" s="204" t="s">
        <v>395</v>
      </c>
      <c r="D28" s="346"/>
      <c r="E28" s="480" t="s">
        <v>43</v>
      </c>
      <c r="F28" s="480" t="s">
        <v>43</v>
      </c>
      <c r="G28" s="480" t="s">
        <v>43</v>
      </c>
      <c r="H28" s="480" t="s">
        <v>43</v>
      </c>
      <c r="I28" s="480" t="s">
        <v>43</v>
      </c>
      <c r="J28" s="480" t="s">
        <v>43</v>
      </c>
      <c r="K28" s="480" t="s">
        <v>43</v>
      </c>
      <c r="L28" s="178"/>
      <c r="M28" s="347"/>
      <c r="N28" s="567" t="s">
        <v>461</v>
      </c>
      <c r="O28" s="485">
        <v>0</v>
      </c>
      <c r="P28" s="486">
        <v>0</v>
      </c>
      <c r="Q28" s="487">
        <f t="shared" si="1"/>
        <v>0</v>
      </c>
      <c r="R28" s="336" t="s">
        <v>367</v>
      </c>
      <c r="S28" s="328"/>
      <c r="T28" s="328"/>
      <c r="U28" s="1244"/>
      <c r="AD28" s="1244"/>
      <c r="AF28" s="368" t="str">
        <f t="shared" si="2"/>
        <v>Construction Soft Costs</v>
      </c>
      <c r="AG28" s="806">
        <f t="shared" si="3"/>
        <v>0</v>
      </c>
      <c r="AH28" s="499">
        <v>0</v>
      </c>
      <c r="AI28" s="496">
        <f t="shared" si="4"/>
        <v>0</v>
      </c>
      <c r="AJ28" s="1015">
        <f t="shared" si="4"/>
        <v>0</v>
      </c>
      <c r="AN28" s="1244"/>
    </row>
    <row r="29" spans="2:40" ht="14.4" x14ac:dyDescent="0.3">
      <c r="B29" s="625"/>
      <c r="C29" s="614"/>
      <c r="D29" s="614"/>
      <c r="E29" s="614"/>
      <c r="F29" s="614"/>
      <c r="G29" s="614"/>
      <c r="H29" s="614"/>
      <c r="I29" s="614"/>
      <c r="J29" s="348"/>
      <c r="K29" s="627"/>
      <c r="L29" s="621"/>
      <c r="M29" s="349"/>
      <c r="N29" s="567" t="s">
        <v>48</v>
      </c>
      <c r="O29" s="485">
        <f>Q31-SUM(Q15:Q28)-Q30</f>
        <v>200</v>
      </c>
      <c r="P29" s="486">
        <v>1</v>
      </c>
      <c r="Q29" s="487">
        <f t="shared" si="1"/>
        <v>200</v>
      </c>
      <c r="R29" s="350"/>
      <c r="S29" s="351"/>
      <c r="T29" s="328"/>
      <c r="U29" s="1244"/>
      <c r="AD29" s="1244"/>
      <c r="AF29" s="368" t="str">
        <f t="shared" si="2"/>
        <v>Closing Costs</v>
      </c>
      <c r="AG29" s="806">
        <f t="shared" si="3"/>
        <v>52000</v>
      </c>
      <c r="AH29" s="499">
        <v>0</v>
      </c>
      <c r="AI29" s="496">
        <f t="shared" si="4"/>
        <v>52000</v>
      </c>
      <c r="AJ29" s="1015">
        <f t="shared" si="4"/>
        <v>0</v>
      </c>
      <c r="AN29" s="1244"/>
    </row>
    <row r="30" spans="2:40" ht="15" thickBot="1" x14ac:dyDescent="0.35">
      <c r="B30" s="625"/>
      <c r="C30" s="355" t="s">
        <v>468</v>
      </c>
      <c r="D30" s="482">
        <v>0.1</v>
      </c>
      <c r="E30" s="626"/>
      <c r="F30" s="355" t="s">
        <v>534</v>
      </c>
      <c r="G30" s="1066">
        <v>0</v>
      </c>
      <c r="H30" s="626"/>
      <c r="I30" s="352" t="s">
        <v>390</v>
      </c>
      <c r="J30" s="482">
        <v>0.75</v>
      </c>
      <c r="K30" s="627"/>
      <c r="L30" s="621"/>
      <c r="M30" s="349"/>
      <c r="N30" s="568" t="s">
        <v>50</v>
      </c>
      <c r="O30" s="569"/>
      <c r="P30" s="570"/>
      <c r="Q30" s="571">
        <f>IF('BDO Prequal'!C55=0,0,Q43)</f>
        <v>800</v>
      </c>
      <c r="R30" s="353"/>
      <c r="S30" s="354"/>
      <c r="T30" s="351"/>
      <c r="U30" s="1244"/>
      <c r="AD30" s="1244"/>
      <c r="AF30" s="368" t="str">
        <f t="shared" si="2"/>
        <v>SBA Gty Fee</v>
      </c>
      <c r="AG30" s="806">
        <f t="shared" si="3"/>
        <v>13784</v>
      </c>
      <c r="AH30" s="501">
        <v>0</v>
      </c>
      <c r="AI30" s="501">
        <f t="shared" si="4"/>
        <v>13784</v>
      </c>
      <c r="AJ30" s="1016">
        <f t="shared" si="4"/>
        <v>0</v>
      </c>
      <c r="AN30" s="1244"/>
    </row>
    <row r="31" spans="2:40" ht="15.6" thickTop="1" thickBot="1" x14ac:dyDescent="0.35">
      <c r="B31" s="625"/>
      <c r="C31" s="204" t="s">
        <v>475</v>
      </c>
      <c r="D31" s="484">
        <v>3</v>
      </c>
      <c r="E31" s="626"/>
      <c r="F31" s="352" t="s">
        <v>533</v>
      </c>
      <c r="G31" s="1066">
        <v>0</v>
      </c>
      <c r="H31" s="626"/>
      <c r="I31" s="355" t="s">
        <v>391</v>
      </c>
      <c r="J31" s="483">
        <v>0.8</v>
      </c>
      <c r="K31" s="627"/>
      <c r="L31" s="621"/>
      <c r="M31" s="349"/>
      <c r="N31" s="508" t="s">
        <v>51</v>
      </c>
      <c r="O31" s="511"/>
      <c r="P31" s="511"/>
      <c r="Q31" s="512">
        <f>ROUNDUP(SUM(Q15,Q16,Q17,Q18,Q19,Q20,Q21,Q22,Q23,Q24,Q25,Q26,Q27,Q28,Q30),-3)</f>
        <v>118000</v>
      </c>
      <c r="R31" s="356"/>
      <c r="S31" s="354"/>
      <c r="T31" s="354"/>
      <c r="U31" s="1244"/>
      <c r="AD31" s="1244"/>
      <c r="AF31" s="368" t="str">
        <f t="shared" si="2"/>
        <v>USDA Gty Fee</v>
      </c>
      <c r="AG31" s="806">
        <f t="shared" si="3"/>
        <v>0</v>
      </c>
      <c r="AH31" s="501">
        <v>0</v>
      </c>
      <c r="AI31" s="501">
        <f t="shared" si="4"/>
        <v>0</v>
      </c>
      <c r="AJ31" s="1016">
        <f t="shared" si="4"/>
        <v>0</v>
      </c>
      <c r="AN31" s="1244"/>
    </row>
    <row r="32" spans="2:40" ht="15" thickBot="1" x14ac:dyDescent="0.35">
      <c r="B32" s="205"/>
      <c r="C32" s="206"/>
      <c r="D32" s="206"/>
      <c r="E32" s="206"/>
      <c r="F32" s="206"/>
      <c r="G32" s="206"/>
      <c r="H32" s="206"/>
      <c r="I32" s="1250"/>
      <c r="J32" s="1250"/>
      <c r="K32" s="359"/>
      <c r="L32" s="360"/>
      <c r="M32" s="349"/>
      <c r="N32" s="650" t="str">
        <f>IF(C52&lt;&gt;Q31,"       ***UOP Closing Costs Do Not Match Above - Ensure Cells C52 and Q31 Match if Using Chart***","")</f>
        <v xml:space="preserve">       ***UOP Closing Costs Do Not Match Above - Ensure Cells C52 and Q31 Match if Using Chart***</v>
      </c>
      <c r="O32" s="358"/>
      <c r="P32" s="358"/>
      <c r="Q32" s="358"/>
      <c r="R32" s="358"/>
      <c r="S32" s="358"/>
      <c r="T32" s="354"/>
      <c r="U32" s="1244"/>
      <c r="AD32" s="1244"/>
      <c r="AF32" s="379"/>
      <c r="AG32" s="806">
        <f>SUM(AG15:AG31)</f>
        <v>932591</v>
      </c>
      <c r="AH32" s="380">
        <f>SUM(AH15:AH31)</f>
        <v>0</v>
      </c>
      <c r="AI32" s="380">
        <f>SUM(AH15:AH31)</f>
        <v>0</v>
      </c>
      <c r="AJ32" s="1017">
        <f>SUM(AJ15:AJ31)</f>
        <v>320000</v>
      </c>
      <c r="AN32" s="1244"/>
    </row>
    <row r="33" spans="2:40" ht="16.2" thickBot="1" x14ac:dyDescent="0.35">
      <c r="I33" s="349"/>
      <c r="J33" s="349"/>
      <c r="K33" s="310"/>
      <c r="L33" s="349"/>
      <c r="M33" s="321"/>
      <c r="N33" s="564" t="s">
        <v>55</v>
      </c>
      <c r="O33" s="565" t="s">
        <v>6</v>
      </c>
      <c r="P33" s="572" t="s">
        <v>7</v>
      </c>
      <c r="Q33" s="566" t="s">
        <v>8</v>
      </c>
      <c r="R33" s="358"/>
      <c r="S33" s="322"/>
      <c r="T33" s="358"/>
      <c r="U33" s="1244"/>
      <c r="AD33" s="1244"/>
      <c r="AF33" s="205"/>
      <c r="AG33" s="1018">
        <f>IFERROR(AG32/$AG$32,0)</f>
        <v>1</v>
      </c>
      <c r="AH33" s="1019">
        <f>IFERROR(AH32/$AG$32,0)</f>
        <v>0</v>
      </c>
      <c r="AI33" s="1019">
        <f>IFERROR(AI32/$AG$32,0)</f>
        <v>0</v>
      </c>
      <c r="AJ33" s="1020">
        <f>IFERROR(AJ32/$AG$32,0)</f>
        <v>0.34313005379635875</v>
      </c>
      <c r="AN33" s="1244"/>
    </row>
    <row r="34" spans="2:40" ht="16.2" thickBot="1" x14ac:dyDescent="0.35">
      <c r="B34" s="168" t="s">
        <v>49</v>
      </c>
      <c r="C34" s="169"/>
      <c r="D34" s="169"/>
      <c r="E34" s="169"/>
      <c r="F34" s="169"/>
      <c r="G34" s="169"/>
      <c r="H34" s="169"/>
      <c r="I34" s="169"/>
      <c r="J34" s="169"/>
      <c r="K34" s="169"/>
      <c r="L34" s="170"/>
      <c r="N34" s="567" t="s">
        <v>57</v>
      </c>
      <c r="O34" s="485">
        <v>35</v>
      </c>
      <c r="P34" s="488">
        <v>1</v>
      </c>
      <c r="Q34" s="487">
        <f t="shared" ref="Q34:Q42" si="8">O34*P34</f>
        <v>35</v>
      </c>
      <c r="R34" s="361"/>
      <c r="S34" s="362"/>
      <c r="T34" s="322"/>
      <c r="U34" s="1244"/>
      <c r="AD34" s="1244"/>
      <c r="AN34" s="1244"/>
    </row>
    <row r="35" spans="2:40" ht="16.2" customHeight="1" thickBot="1" x14ac:dyDescent="0.35">
      <c r="B35" s="203"/>
      <c r="C35" s="176"/>
      <c r="D35" s="176"/>
      <c r="E35" s="614"/>
      <c r="F35" s="614"/>
      <c r="G35" s="614"/>
      <c r="H35" s="614"/>
      <c r="I35" s="614"/>
      <c r="J35" s="614"/>
      <c r="K35" s="614"/>
      <c r="L35" s="623"/>
      <c r="N35" s="567" t="s">
        <v>59</v>
      </c>
      <c r="O35" s="485">
        <v>25</v>
      </c>
      <c r="P35" s="488">
        <v>2</v>
      </c>
      <c r="Q35" s="487">
        <f t="shared" si="8"/>
        <v>50</v>
      </c>
      <c r="R35" s="361"/>
      <c r="S35" s="362"/>
      <c r="T35" s="362"/>
      <c r="U35" s="1244"/>
      <c r="W35" s="584"/>
      <c r="X35" s="587"/>
      <c r="Y35" s="587"/>
      <c r="Z35" s="587"/>
      <c r="AA35" s="587"/>
      <c r="AB35" s="588"/>
      <c r="AD35" s="1244"/>
      <c r="AN35" s="1244"/>
    </row>
    <row r="36" spans="2:40" ht="15" thickBot="1" x14ac:dyDescent="0.35">
      <c r="B36" s="363"/>
      <c r="C36" s="364" t="s">
        <v>8</v>
      </c>
      <c r="D36" s="364" t="str">
        <f>D17</f>
        <v>Equity</v>
      </c>
      <c r="E36" s="365" t="str">
        <f t="shared" ref="E36:K36" si="9">IF(E17=0,"",E17)</f>
        <v>SBA 7(a)</v>
      </c>
      <c r="F36" s="365" t="str">
        <f t="shared" si="9"/>
        <v>SBA 7(a)</v>
      </c>
      <c r="G36" s="365" t="str">
        <f t="shared" si="9"/>
        <v>SBA 504</v>
      </c>
      <c r="H36" s="365" t="str">
        <f t="shared" si="9"/>
        <v>Seller Note</v>
      </c>
      <c r="I36" s="365" t="str">
        <f t="shared" si="9"/>
        <v>Debenture</v>
      </c>
      <c r="J36" s="365" t="str">
        <f t="shared" si="9"/>
        <v>N/A</v>
      </c>
      <c r="K36" s="365" t="str">
        <f t="shared" si="9"/>
        <v>N/A</v>
      </c>
      <c r="L36" s="330"/>
      <c r="N36" s="567" t="s">
        <v>61</v>
      </c>
      <c r="O36" s="485">
        <v>65</v>
      </c>
      <c r="P36" s="488">
        <v>2</v>
      </c>
      <c r="Q36" s="487">
        <f t="shared" si="8"/>
        <v>130</v>
      </c>
      <c r="R36" s="361"/>
      <c r="S36" s="362"/>
      <c r="T36" s="362"/>
      <c r="U36" s="1244"/>
      <c r="W36" s="651" t="s">
        <v>476</v>
      </c>
      <c r="X36" s="652">
        <v>1</v>
      </c>
      <c r="Y36" s="589"/>
      <c r="Z36" s="657" t="s">
        <v>477</v>
      </c>
      <c r="AA36" s="478" t="str">
        <f>IF(X36=E15,E36,IF(X36=F15,F36,IF(X36=G15,G36,IF(X36=H15,H36,IF(X36=I15,I36,IF(X36=J15,J36,IF(X36=K15,K36,L15)))))))</f>
        <v>SBA 7(a)</v>
      </c>
      <c r="AB36" s="590"/>
      <c r="AD36" s="1244"/>
      <c r="AF36" s="1009"/>
      <c r="AG36" s="1010" t="str">
        <f>C36</f>
        <v>Total</v>
      </c>
      <c r="AH36" s="1047" t="str">
        <f>D36</f>
        <v>Equity</v>
      </c>
      <c r="AI36" s="1011" t="str">
        <f>Lists!L5</f>
        <v>SBA 504</v>
      </c>
      <c r="AJ36" s="1011" t="str">
        <f>Lists!L6</f>
        <v>Debenture</v>
      </c>
      <c r="AK36" s="1048" t="str">
        <f>Lists!L9</f>
        <v>Seller Note</v>
      </c>
      <c r="AN36" s="1244"/>
    </row>
    <row r="37" spans="2:40" ht="14.4" x14ac:dyDescent="0.3">
      <c r="B37" s="366" t="s">
        <v>54</v>
      </c>
      <c r="C37" s="367"/>
      <c r="D37" s="367"/>
      <c r="E37" s="367"/>
      <c r="F37" s="367"/>
      <c r="G37" s="367"/>
      <c r="H37" s="367"/>
      <c r="I37" s="367"/>
      <c r="J37" s="367"/>
      <c r="K37" s="367"/>
      <c r="L37" s="178"/>
      <c r="N37" s="567" t="s">
        <v>63</v>
      </c>
      <c r="O37" s="485">
        <v>300</v>
      </c>
      <c r="P37" s="488">
        <v>1</v>
      </c>
      <c r="Q37" s="487">
        <f t="shared" si="8"/>
        <v>300</v>
      </c>
      <c r="R37" s="361"/>
      <c r="S37" s="362"/>
      <c r="T37" s="362"/>
      <c r="U37" s="1244"/>
      <c r="W37" s="651"/>
      <c r="X37" s="655"/>
      <c r="Y37" s="654"/>
      <c r="Z37" s="654"/>
      <c r="AA37" s="654"/>
      <c r="AB37" s="582"/>
      <c r="AD37" s="1244"/>
      <c r="AF37" s="366" t="s">
        <v>515</v>
      </c>
      <c r="AG37" s="367"/>
      <c r="AH37" s="367"/>
      <c r="AI37" s="367"/>
      <c r="AJ37" s="367"/>
      <c r="AK37" s="1013"/>
      <c r="AN37" s="1244"/>
    </row>
    <row r="38" spans="2:40" ht="14.4" x14ac:dyDescent="0.3">
      <c r="B38" s="368" t="s">
        <v>56</v>
      </c>
      <c r="C38" s="806">
        <f t="shared" ref="C38:C54" si="10">SUM(D38:K38)</f>
        <v>0</v>
      </c>
      <c r="D38" s="496"/>
      <c r="E38" s="497">
        <v>0</v>
      </c>
      <c r="F38" s="497">
        <v>0</v>
      </c>
      <c r="G38" s="497">
        <v>0</v>
      </c>
      <c r="H38" s="497">
        <v>0</v>
      </c>
      <c r="I38" s="497">
        <v>0</v>
      </c>
      <c r="J38" s="498">
        <v>0</v>
      </c>
      <c r="K38" s="498">
        <v>0</v>
      </c>
      <c r="L38" s="178"/>
      <c r="N38" s="567" t="s">
        <v>66</v>
      </c>
      <c r="O38" s="485">
        <v>20</v>
      </c>
      <c r="P38" s="488">
        <v>1</v>
      </c>
      <c r="Q38" s="487">
        <f t="shared" si="8"/>
        <v>20</v>
      </c>
      <c r="R38" s="361"/>
      <c r="S38" s="362"/>
      <c r="T38" s="362"/>
      <c r="U38" s="1244"/>
      <c r="W38" s="585"/>
      <c r="X38" s="653"/>
      <c r="Y38" s="656" t="s">
        <v>479</v>
      </c>
      <c r="Z38" s="654" t="s">
        <v>52</v>
      </c>
      <c r="AA38" s="654" t="s">
        <v>53</v>
      </c>
      <c r="AB38" s="582"/>
      <c r="AD38" s="1244"/>
      <c r="AF38" s="368" t="str">
        <f t="shared" ref="AF38:AF54" si="11">B38</f>
        <v>Real Estate Acquisition</v>
      </c>
      <c r="AG38" s="806">
        <f>SUM(AH38:AK38)</f>
        <v>0</v>
      </c>
      <c r="AH38" s="499">
        <v>0</v>
      </c>
      <c r="AI38" s="496">
        <f t="shared" ref="AI38:AK54" si="12">IFERROR(INDEX($C38:$K38,MATCH(AI$36,$C$36:$K$36,0)),0)</f>
        <v>0</v>
      </c>
      <c r="AJ38" s="496">
        <f t="shared" si="12"/>
        <v>0</v>
      </c>
      <c r="AK38" s="1015">
        <f t="shared" si="12"/>
        <v>0</v>
      </c>
      <c r="AN38" s="1244"/>
    </row>
    <row r="39" spans="2:40" ht="14.4" x14ac:dyDescent="0.3">
      <c r="B39" s="368" t="s">
        <v>58</v>
      </c>
      <c r="C39" s="806">
        <f t="shared" si="10"/>
        <v>0</v>
      </c>
      <c r="D39" s="496">
        <v>0</v>
      </c>
      <c r="E39" s="497">
        <v>0</v>
      </c>
      <c r="F39" s="497">
        <v>0</v>
      </c>
      <c r="G39" s="497">
        <v>0</v>
      </c>
      <c r="H39" s="497">
        <v>0</v>
      </c>
      <c r="I39" s="497">
        <v>0</v>
      </c>
      <c r="J39" s="498">
        <v>0</v>
      </c>
      <c r="K39" s="498">
        <v>0</v>
      </c>
      <c r="L39" s="335"/>
      <c r="N39" s="567" t="s">
        <v>69</v>
      </c>
      <c r="O39" s="485">
        <v>18</v>
      </c>
      <c r="P39" s="488">
        <v>1</v>
      </c>
      <c r="Q39" s="487">
        <f t="shared" si="8"/>
        <v>18</v>
      </c>
      <c r="R39" s="361"/>
      <c r="S39" s="362"/>
      <c r="T39" s="362"/>
      <c r="U39" s="1244"/>
      <c r="W39" s="586" t="str">
        <f t="shared" ref="W39:W52" si="13">B38</f>
        <v>Real Estate Acquisition</v>
      </c>
      <c r="X39" s="596">
        <f t="shared" ref="X39:X52" si="14">IF($X$36=$E$15,E38,IF($X$36=$F$15,F38,IF($X$36=$G$15,G38,IF($X$36=$H$15,H38,IF($X$36=$I$15,I38,IF($X$36=$J$15,J38,IF($X$36=$K$15,K38,IF($X$36=$L$15,C38,C38))))))))</f>
        <v>0</v>
      </c>
      <c r="Y39" s="505">
        <v>25</v>
      </c>
      <c r="Z39" s="592">
        <f t="shared" ref="Z39:Z52" si="15">IF($X$53=0,0,X39/$X$53)</f>
        <v>0</v>
      </c>
      <c r="AA39" s="658">
        <f t="shared" ref="AA39:AA52" si="16">Y39*Z39</f>
        <v>0</v>
      </c>
      <c r="AB39" s="591"/>
      <c r="AD39" s="1244"/>
      <c r="AF39" s="368" t="str">
        <f t="shared" si="11"/>
        <v>Debt Refi - CRE</v>
      </c>
      <c r="AG39" s="806">
        <f t="shared" ref="AG39:AG54" si="17">SUM(AH39:AK39)</f>
        <v>0</v>
      </c>
      <c r="AH39" s="499">
        <v>0</v>
      </c>
      <c r="AI39" s="496">
        <f t="shared" si="12"/>
        <v>0</v>
      </c>
      <c r="AJ39" s="496">
        <f t="shared" si="12"/>
        <v>0</v>
      </c>
      <c r="AK39" s="1015">
        <f t="shared" si="12"/>
        <v>0</v>
      </c>
      <c r="AN39" s="1244"/>
    </row>
    <row r="40" spans="2:40" ht="14.4" x14ac:dyDescent="0.3">
      <c r="B40" s="368" t="s">
        <v>60</v>
      </c>
      <c r="C40" s="806">
        <f t="shared" si="10"/>
        <v>0</v>
      </c>
      <c r="D40" s="496">
        <v>0</v>
      </c>
      <c r="E40" s="497">
        <v>0</v>
      </c>
      <c r="F40" s="497">
        <v>0</v>
      </c>
      <c r="G40" s="497">
        <v>0</v>
      </c>
      <c r="H40" s="497">
        <v>0</v>
      </c>
      <c r="I40" s="497">
        <v>0</v>
      </c>
      <c r="J40" s="498">
        <v>0</v>
      </c>
      <c r="K40" s="498">
        <v>0</v>
      </c>
      <c r="L40" s="335"/>
      <c r="N40" s="567" t="s">
        <v>72</v>
      </c>
      <c r="O40" s="485">
        <v>100</v>
      </c>
      <c r="P40" s="488">
        <v>1</v>
      </c>
      <c r="Q40" s="487">
        <f t="shared" si="8"/>
        <v>100</v>
      </c>
      <c r="R40" s="328" t="s">
        <v>73</v>
      </c>
      <c r="S40" s="322"/>
      <c r="T40" s="362"/>
      <c r="U40" s="1244"/>
      <c r="W40" s="586" t="str">
        <f t="shared" si="13"/>
        <v>Debt Refi - CRE</v>
      </c>
      <c r="X40" s="596">
        <f t="shared" si="14"/>
        <v>0</v>
      </c>
      <c r="Y40" s="505">
        <v>25</v>
      </c>
      <c r="Z40" s="592">
        <f t="shared" si="15"/>
        <v>0</v>
      </c>
      <c r="AA40" s="658">
        <f t="shared" si="16"/>
        <v>0</v>
      </c>
      <c r="AB40" s="591"/>
      <c r="AD40" s="1244"/>
      <c r="AF40" s="368" t="str">
        <f t="shared" si="11"/>
        <v>Debt Refi - Non-CRE</v>
      </c>
      <c r="AG40" s="806">
        <f t="shared" si="17"/>
        <v>0</v>
      </c>
      <c r="AH40" s="499">
        <v>0</v>
      </c>
      <c r="AI40" s="496">
        <f t="shared" si="12"/>
        <v>0</v>
      </c>
      <c r="AJ40" s="496">
        <f t="shared" si="12"/>
        <v>0</v>
      </c>
      <c r="AK40" s="1015">
        <f t="shared" si="12"/>
        <v>0</v>
      </c>
      <c r="AN40" s="1244"/>
    </row>
    <row r="41" spans="2:40" ht="14.4" x14ac:dyDescent="0.3">
      <c r="B41" s="368" t="s">
        <v>62</v>
      </c>
      <c r="C41" s="806">
        <f t="shared" si="10"/>
        <v>366285</v>
      </c>
      <c r="D41" s="496">
        <v>366285</v>
      </c>
      <c r="E41" s="497">
        <v>0</v>
      </c>
      <c r="F41" s="497">
        <v>0</v>
      </c>
      <c r="G41" s="497">
        <v>0</v>
      </c>
      <c r="H41" s="497">
        <v>0</v>
      </c>
      <c r="I41" s="497">
        <v>0</v>
      </c>
      <c r="J41" s="498">
        <v>0</v>
      </c>
      <c r="K41" s="498">
        <v>0</v>
      </c>
      <c r="L41" s="178"/>
      <c r="N41" s="567" t="s">
        <v>75</v>
      </c>
      <c r="O41" s="485">
        <v>50</v>
      </c>
      <c r="P41" s="488">
        <v>1</v>
      </c>
      <c r="Q41" s="487">
        <f t="shared" si="8"/>
        <v>50</v>
      </c>
      <c r="R41" s="328" t="s">
        <v>76</v>
      </c>
      <c r="S41" s="322"/>
      <c r="T41" s="322"/>
      <c r="U41" s="1244"/>
      <c r="W41" s="586" t="str">
        <f t="shared" si="13"/>
        <v>Debt Refi - Non-CRE</v>
      </c>
      <c r="X41" s="596">
        <f t="shared" si="14"/>
        <v>0</v>
      </c>
      <c r="Y41" s="505">
        <v>10</v>
      </c>
      <c r="Z41" s="592">
        <f t="shared" si="15"/>
        <v>0</v>
      </c>
      <c r="AA41" s="658">
        <f>Y41*Z41</f>
        <v>0</v>
      </c>
      <c r="AB41" s="591"/>
      <c r="AD41" s="1244"/>
      <c r="AF41" s="368" t="str">
        <f t="shared" si="11"/>
        <v>Machinery &amp; Equipment</v>
      </c>
      <c r="AG41" s="806">
        <f t="shared" si="17"/>
        <v>0</v>
      </c>
      <c r="AH41" s="499">
        <v>0</v>
      </c>
      <c r="AI41" s="496">
        <f t="shared" si="12"/>
        <v>0</v>
      </c>
      <c r="AJ41" s="496">
        <f t="shared" si="12"/>
        <v>0</v>
      </c>
      <c r="AK41" s="1015">
        <f t="shared" si="12"/>
        <v>0</v>
      </c>
      <c r="AN41" s="1244"/>
    </row>
    <row r="42" spans="2:40" ht="15" thickBot="1" x14ac:dyDescent="0.35">
      <c r="B42" s="368" t="s">
        <v>393</v>
      </c>
      <c r="C42" s="806">
        <f t="shared" si="10"/>
        <v>600000</v>
      </c>
      <c r="D42" s="496">
        <v>0</v>
      </c>
      <c r="E42" s="497">
        <v>0</v>
      </c>
      <c r="F42" s="497">
        <v>600000</v>
      </c>
      <c r="G42" s="497">
        <v>0</v>
      </c>
      <c r="H42" s="497">
        <v>0</v>
      </c>
      <c r="I42" s="497">
        <v>0</v>
      </c>
      <c r="J42" s="498">
        <v>0</v>
      </c>
      <c r="K42" s="498">
        <v>0</v>
      </c>
      <c r="L42" s="178"/>
      <c r="N42" s="567" t="s">
        <v>79</v>
      </c>
      <c r="O42" s="485">
        <f>Q43-SUM(Q34:Q41)</f>
        <v>97</v>
      </c>
      <c r="P42" s="488">
        <v>1</v>
      </c>
      <c r="Q42" s="487">
        <f t="shared" si="8"/>
        <v>97</v>
      </c>
      <c r="R42" s="369"/>
      <c r="S42" s="351"/>
      <c r="T42" s="322"/>
      <c r="U42" s="1244"/>
      <c r="W42" s="586" t="str">
        <f t="shared" si="13"/>
        <v>Machinery &amp; Equipment</v>
      </c>
      <c r="X42" s="596">
        <f t="shared" si="14"/>
        <v>0</v>
      </c>
      <c r="Y42" s="505">
        <v>10</v>
      </c>
      <c r="Z42" s="592">
        <f t="shared" si="15"/>
        <v>0</v>
      </c>
      <c r="AA42" s="658">
        <f t="shared" si="16"/>
        <v>0</v>
      </c>
      <c r="AB42" s="591"/>
      <c r="AD42" s="1244"/>
      <c r="AF42" s="368" t="str">
        <f t="shared" si="11"/>
        <v>Furniture &amp; Fixtures</v>
      </c>
      <c r="AG42" s="806">
        <f t="shared" si="17"/>
        <v>0</v>
      </c>
      <c r="AH42" s="499">
        <v>0</v>
      </c>
      <c r="AI42" s="496">
        <f t="shared" si="12"/>
        <v>0</v>
      </c>
      <c r="AJ42" s="496">
        <f t="shared" si="12"/>
        <v>0</v>
      </c>
      <c r="AK42" s="1015">
        <f t="shared" si="12"/>
        <v>0</v>
      </c>
      <c r="AN42" s="1244"/>
    </row>
    <row r="43" spans="2:40" ht="15.6" thickTop="1" thickBot="1" x14ac:dyDescent="0.35">
      <c r="B43" s="368" t="s">
        <v>68</v>
      </c>
      <c r="C43" s="806">
        <f t="shared" si="10"/>
        <v>0</v>
      </c>
      <c r="D43" s="496">
        <v>0</v>
      </c>
      <c r="E43" s="497">
        <v>0</v>
      </c>
      <c r="F43" s="497">
        <v>0</v>
      </c>
      <c r="G43" s="497">
        <v>0</v>
      </c>
      <c r="H43" s="497">
        <v>0</v>
      </c>
      <c r="I43" s="497">
        <v>0</v>
      </c>
      <c r="J43" s="498">
        <v>0</v>
      </c>
      <c r="K43" s="498">
        <v>0</v>
      </c>
      <c r="L43" s="178"/>
      <c r="N43" s="508" t="s">
        <v>81</v>
      </c>
      <c r="O43" s="511"/>
      <c r="P43" s="513"/>
      <c r="Q43" s="510">
        <f>ROUNDUP(SUM(Q34,Q35,Q36,Q37,Q38,Q39,Q40,Q41),-2)</f>
        <v>800</v>
      </c>
      <c r="R43" s="370"/>
      <c r="S43" s="354"/>
      <c r="T43" s="351"/>
      <c r="U43" s="1244"/>
      <c r="W43" s="586" t="str">
        <f t="shared" si="13"/>
        <v>Furniture &amp; Fixtures</v>
      </c>
      <c r="X43" s="596">
        <f t="shared" si="14"/>
        <v>0</v>
      </c>
      <c r="Y43" s="505">
        <v>10</v>
      </c>
      <c r="Z43" s="592">
        <f t="shared" si="15"/>
        <v>0</v>
      </c>
      <c r="AA43" s="658">
        <f t="shared" si="16"/>
        <v>0</v>
      </c>
      <c r="AB43" s="591"/>
      <c r="AD43" s="1244"/>
      <c r="AF43" s="368" t="str">
        <f t="shared" si="11"/>
        <v>Inventory</v>
      </c>
      <c r="AG43" s="806">
        <f t="shared" si="17"/>
        <v>0</v>
      </c>
      <c r="AH43" s="499">
        <v>0</v>
      </c>
      <c r="AI43" s="496">
        <f t="shared" si="12"/>
        <v>0</v>
      </c>
      <c r="AJ43" s="496">
        <f t="shared" si="12"/>
        <v>0</v>
      </c>
      <c r="AK43" s="1015">
        <f t="shared" si="12"/>
        <v>0</v>
      </c>
      <c r="AN43" s="1244"/>
    </row>
    <row r="44" spans="2:40" ht="15" thickBot="1" x14ac:dyDescent="0.35">
      <c r="B44" s="368" t="s">
        <v>71</v>
      </c>
      <c r="C44" s="806">
        <f t="shared" si="10"/>
        <v>573500</v>
      </c>
      <c r="D44" s="496">
        <v>573500</v>
      </c>
      <c r="E44" s="497">
        <v>0</v>
      </c>
      <c r="F44" s="497">
        <v>0</v>
      </c>
      <c r="G44" s="497">
        <v>0</v>
      </c>
      <c r="H44" s="497">
        <v>0</v>
      </c>
      <c r="I44" s="497">
        <v>0</v>
      </c>
      <c r="J44" s="498">
        <v>0</v>
      </c>
      <c r="K44" s="498">
        <v>0</v>
      </c>
      <c r="L44" s="178"/>
      <c r="T44" s="354"/>
      <c r="U44" s="1244"/>
      <c r="W44" s="586" t="str">
        <f t="shared" si="13"/>
        <v>Inventory</v>
      </c>
      <c r="X44" s="596">
        <f t="shared" si="14"/>
        <v>0</v>
      </c>
      <c r="Y44" s="505">
        <v>10</v>
      </c>
      <c r="Z44" s="592">
        <f t="shared" si="15"/>
        <v>0</v>
      </c>
      <c r="AA44" s="658">
        <f t="shared" si="16"/>
        <v>0</v>
      </c>
      <c r="AB44" s="591"/>
      <c r="AD44" s="1244"/>
      <c r="AF44" s="368" t="str">
        <f t="shared" si="11"/>
        <v>Working Capital</v>
      </c>
      <c r="AG44" s="806">
        <f t="shared" si="17"/>
        <v>0</v>
      </c>
      <c r="AH44" s="499">
        <v>0</v>
      </c>
      <c r="AI44" s="496">
        <f t="shared" si="12"/>
        <v>0</v>
      </c>
      <c r="AJ44" s="496">
        <f t="shared" si="12"/>
        <v>0</v>
      </c>
      <c r="AK44" s="1015">
        <f t="shared" si="12"/>
        <v>0</v>
      </c>
      <c r="AN44" s="1244"/>
    </row>
    <row r="45" spans="2:40" ht="14.4" x14ac:dyDescent="0.3">
      <c r="B45" s="368" t="s">
        <v>74</v>
      </c>
      <c r="C45" s="806">
        <f t="shared" si="10"/>
        <v>77000</v>
      </c>
      <c r="D45" s="496">
        <v>77000</v>
      </c>
      <c r="E45" s="497">
        <v>0</v>
      </c>
      <c r="F45" s="497">
        <v>0</v>
      </c>
      <c r="G45" s="497">
        <v>0</v>
      </c>
      <c r="H45" s="497">
        <v>0</v>
      </c>
      <c r="I45" s="497">
        <v>0</v>
      </c>
      <c r="J45" s="498">
        <v>0</v>
      </c>
      <c r="K45" s="498">
        <v>0</v>
      </c>
      <c r="L45" s="178"/>
      <c r="N45" s="580" t="s">
        <v>86</v>
      </c>
      <c r="O45" s="489">
        <f>C55</f>
        <v>8472925</v>
      </c>
      <c r="P45" s="371">
        <f>SUM(P46:P48)</f>
        <v>1</v>
      </c>
      <c r="Q45" s="583" t="s">
        <v>87</v>
      </c>
      <c r="U45" s="1244"/>
      <c r="W45" s="586" t="str">
        <f t="shared" si="13"/>
        <v>Working Capital</v>
      </c>
      <c r="X45" s="596">
        <f t="shared" si="14"/>
        <v>0</v>
      </c>
      <c r="Y45" s="505">
        <v>10</v>
      </c>
      <c r="Z45" s="592">
        <f t="shared" si="15"/>
        <v>0</v>
      </c>
      <c r="AA45" s="658">
        <f t="shared" si="16"/>
        <v>0</v>
      </c>
      <c r="AB45" s="591"/>
      <c r="AD45" s="1244"/>
      <c r="AF45" s="368" t="str">
        <f t="shared" si="11"/>
        <v>Working Capital - Pre Opening</v>
      </c>
      <c r="AG45" s="806">
        <f t="shared" si="17"/>
        <v>0</v>
      </c>
      <c r="AH45" s="499">
        <v>0</v>
      </c>
      <c r="AI45" s="496">
        <f t="shared" si="12"/>
        <v>0</v>
      </c>
      <c r="AJ45" s="496">
        <f t="shared" si="12"/>
        <v>0</v>
      </c>
      <c r="AK45" s="1015">
        <f t="shared" si="12"/>
        <v>0</v>
      </c>
      <c r="AN45" s="1244"/>
    </row>
    <row r="46" spans="2:40" ht="14.4" x14ac:dyDescent="0.3">
      <c r="B46" s="368" t="s">
        <v>78</v>
      </c>
      <c r="C46" s="806">
        <f t="shared" si="10"/>
        <v>2219000</v>
      </c>
      <c r="D46" s="496">
        <v>225000</v>
      </c>
      <c r="E46" s="497">
        <v>324000</v>
      </c>
      <c r="F46" s="497">
        <v>0</v>
      </c>
      <c r="G46" s="497">
        <v>1350000</v>
      </c>
      <c r="H46" s="497">
        <v>320000</v>
      </c>
      <c r="I46" s="497">
        <v>0</v>
      </c>
      <c r="J46" s="498">
        <v>0</v>
      </c>
      <c r="K46" s="498">
        <v>0</v>
      </c>
      <c r="L46" s="178"/>
      <c r="N46" s="573" t="s">
        <v>89</v>
      </c>
      <c r="O46" s="490">
        <f>O45*P46</f>
        <v>4236462.5</v>
      </c>
      <c r="P46" s="491">
        <v>0.5</v>
      </c>
      <c r="Q46" s="492" cm="1">
        <f t="array" ref="Q46">SUMPRODUCT((E17:K17=Lists!$L$5)*E18:K18)-O46</f>
        <v>-2886462.5</v>
      </c>
      <c r="U46" s="1244"/>
      <c r="W46" s="586" t="str">
        <f t="shared" si="13"/>
        <v>Working Capital - Pre Opening</v>
      </c>
      <c r="X46" s="596">
        <f t="shared" si="14"/>
        <v>0</v>
      </c>
      <c r="Y46" s="505">
        <v>10</v>
      </c>
      <c r="Z46" s="592">
        <f t="shared" si="15"/>
        <v>0</v>
      </c>
      <c r="AA46" s="658">
        <f t="shared" si="16"/>
        <v>0</v>
      </c>
      <c r="AB46" s="591"/>
      <c r="AD46" s="1244"/>
      <c r="AF46" s="368" t="str">
        <f t="shared" si="11"/>
        <v>Business Acquisition</v>
      </c>
      <c r="AG46" s="806">
        <f t="shared" si="17"/>
        <v>1670000</v>
      </c>
      <c r="AH46" s="499">
        <v>0</v>
      </c>
      <c r="AI46" s="496">
        <f t="shared" si="12"/>
        <v>1350000</v>
      </c>
      <c r="AJ46" s="496">
        <f t="shared" si="12"/>
        <v>0</v>
      </c>
      <c r="AK46" s="1015">
        <f t="shared" si="12"/>
        <v>320000</v>
      </c>
      <c r="AN46" s="1244"/>
    </row>
    <row r="47" spans="2:40" ht="14.4" x14ac:dyDescent="0.3">
      <c r="B47" s="368" t="s">
        <v>80</v>
      </c>
      <c r="C47" s="806">
        <f t="shared" si="10"/>
        <v>0</v>
      </c>
      <c r="D47" s="496">
        <v>0</v>
      </c>
      <c r="E47" s="497">
        <v>0</v>
      </c>
      <c r="F47" s="497">
        <v>0</v>
      </c>
      <c r="G47" s="497">
        <v>0</v>
      </c>
      <c r="H47" s="497">
        <v>0</v>
      </c>
      <c r="I47" s="497">
        <v>0</v>
      </c>
      <c r="J47" s="498">
        <v>0</v>
      </c>
      <c r="K47" s="498">
        <v>0</v>
      </c>
      <c r="L47" s="178"/>
      <c r="N47" s="573" t="s">
        <v>91</v>
      </c>
      <c r="O47" s="490">
        <f>O45*P47</f>
        <v>2541877.5</v>
      </c>
      <c r="P47" s="491">
        <v>0.3</v>
      </c>
      <c r="Q47" s="492" cm="1">
        <f t="array" ref="Q47">SUMPRODUCT((E17:K17=Lists!$L$6)*E18:K18)-O47</f>
        <v>-669942.5</v>
      </c>
      <c r="U47" s="1244"/>
      <c r="W47" s="586" t="str">
        <f t="shared" si="13"/>
        <v>Business Acquisition</v>
      </c>
      <c r="X47" s="596">
        <f t="shared" si="14"/>
        <v>324000</v>
      </c>
      <c r="Y47" s="505">
        <v>10</v>
      </c>
      <c r="Z47" s="592">
        <f t="shared" si="15"/>
        <v>0.592530819832226</v>
      </c>
      <c r="AA47" s="658">
        <f t="shared" si="16"/>
        <v>5.9253081983222602</v>
      </c>
      <c r="AB47" s="591"/>
      <c r="AD47" s="1244"/>
      <c r="AF47" s="368" t="str">
        <f t="shared" si="11"/>
        <v>Franchise Fees</v>
      </c>
      <c r="AG47" s="806">
        <f t="shared" si="17"/>
        <v>0</v>
      </c>
      <c r="AH47" s="499">
        <v>0</v>
      </c>
      <c r="AI47" s="496">
        <f t="shared" si="12"/>
        <v>0</v>
      </c>
      <c r="AJ47" s="496">
        <f t="shared" si="12"/>
        <v>0</v>
      </c>
      <c r="AK47" s="1015">
        <f t="shared" si="12"/>
        <v>0</v>
      </c>
      <c r="AN47" s="1244"/>
    </row>
    <row r="48" spans="2:40" ht="14.4" x14ac:dyDescent="0.3">
      <c r="B48" s="368" t="s">
        <v>82</v>
      </c>
      <c r="C48" s="806">
        <f t="shared" si="10"/>
        <v>4100000</v>
      </c>
      <c r="D48" s="496">
        <v>276207</v>
      </c>
      <c r="E48" s="497">
        <v>0</v>
      </c>
      <c r="F48" s="497">
        <v>1951858</v>
      </c>
      <c r="G48" s="497">
        <v>0</v>
      </c>
      <c r="H48" s="497">
        <v>0</v>
      </c>
      <c r="I48" s="497">
        <v>1871935</v>
      </c>
      <c r="J48" s="498">
        <v>0</v>
      </c>
      <c r="K48" s="498">
        <v>0</v>
      </c>
      <c r="L48" s="178"/>
      <c r="N48" s="573" t="s">
        <v>92</v>
      </c>
      <c r="O48" s="490">
        <f>O45*P48</f>
        <v>1694585</v>
      </c>
      <c r="P48" s="491">
        <v>0.2</v>
      </c>
      <c r="Q48" s="492">
        <f>D55-O48</f>
        <v>-122793</v>
      </c>
      <c r="U48" s="1244"/>
      <c r="W48" s="586" t="str">
        <f t="shared" si="13"/>
        <v>Franchise Fees</v>
      </c>
      <c r="X48" s="596">
        <f t="shared" si="14"/>
        <v>0</v>
      </c>
      <c r="Y48" s="505">
        <v>10</v>
      </c>
      <c r="Z48" s="592">
        <f t="shared" si="15"/>
        <v>0</v>
      </c>
      <c r="AA48" s="658">
        <f t="shared" si="16"/>
        <v>0</v>
      </c>
      <c r="AB48" s="591"/>
      <c r="AD48" s="1244"/>
      <c r="AF48" s="368" t="str">
        <f t="shared" si="11"/>
        <v>Construction Hard Costs</v>
      </c>
      <c r="AG48" s="806">
        <f t="shared" si="17"/>
        <v>1871935</v>
      </c>
      <c r="AH48" s="499">
        <v>0</v>
      </c>
      <c r="AI48" s="496">
        <f t="shared" si="12"/>
        <v>0</v>
      </c>
      <c r="AJ48" s="496">
        <f t="shared" si="12"/>
        <v>1871935</v>
      </c>
      <c r="AK48" s="1015">
        <f t="shared" si="12"/>
        <v>0</v>
      </c>
      <c r="AN48" s="1244"/>
    </row>
    <row r="49" spans="2:40" ht="14.4" x14ac:dyDescent="0.3">
      <c r="B49" s="368" t="str">
        <f>"Construction Contingency - "&amp;TEXT(D30,"0%")</f>
        <v>Construction Contingency - 10%</v>
      </c>
      <c r="C49" s="1147">
        <f>Calculations!$K$47</f>
        <v>222807</v>
      </c>
      <c r="D49" s="499">
        <v>0</v>
      </c>
      <c r="E49" s="500">
        <f>C49</f>
        <v>222807</v>
      </c>
      <c r="F49" s="500">
        <v>0</v>
      </c>
      <c r="G49" s="500">
        <v>0</v>
      </c>
      <c r="H49" s="500">
        <v>0</v>
      </c>
      <c r="I49" s="500">
        <v>0</v>
      </c>
      <c r="J49" s="500">
        <v>0</v>
      </c>
      <c r="K49" s="500">
        <v>0</v>
      </c>
      <c r="L49" s="621"/>
      <c r="N49" s="574"/>
      <c r="O49" s="578"/>
      <c r="P49" s="581"/>
      <c r="Q49" s="582"/>
      <c r="U49" s="1244"/>
      <c r="W49" s="586" t="str">
        <f t="shared" si="13"/>
        <v>Construction Hard Costs</v>
      </c>
      <c r="X49" s="596">
        <f t="shared" si="14"/>
        <v>0</v>
      </c>
      <c r="Y49" s="505">
        <v>25</v>
      </c>
      <c r="Z49" s="592">
        <f t="shared" si="15"/>
        <v>0</v>
      </c>
      <c r="AA49" s="658">
        <f t="shared" si="16"/>
        <v>0</v>
      </c>
      <c r="AB49" s="591"/>
      <c r="AD49" s="1244"/>
      <c r="AF49" s="368" t="str">
        <f t="shared" si="11"/>
        <v>Construction Contingency - 10%</v>
      </c>
      <c r="AG49" s="806">
        <f t="shared" si="17"/>
        <v>0</v>
      </c>
      <c r="AH49" s="499">
        <v>0</v>
      </c>
      <c r="AI49" s="499">
        <f t="shared" si="12"/>
        <v>0</v>
      </c>
      <c r="AJ49" s="499">
        <f t="shared" si="12"/>
        <v>0</v>
      </c>
      <c r="AK49" s="1015">
        <f t="shared" si="12"/>
        <v>0</v>
      </c>
      <c r="AN49" s="1244"/>
    </row>
    <row r="50" spans="2:40" ht="14.4" x14ac:dyDescent="0.3">
      <c r="B50" s="368" t="str">
        <f>"Interest Reserve - "&amp;D31&amp;" Mos"</f>
        <v>Interest Reserve - 3 Mos</v>
      </c>
      <c r="C50" s="1147">
        <f>Calculations!$K$48</f>
        <v>0</v>
      </c>
      <c r="D50" s="501">
        <v>0</v>
      </c>
      <c r="E50" s="502">
        <f>C50</f>
        <v>0</v>
      </c>
      <c r="F50" s="502">
        <v>0</v>
      </c>
      <c r="G50" s="502">
        <v>0</v>
      </c>
      <c r="H50" s="502">
        <v>0</v>
      </c>
      <c r="I50" s="502">
        <v>0</v>
      </c>
      <c r="J50" s="502">
        <v>0</v>
      </c>
      <c r="K50" s="502">
        <v>0</v>
      </c>
      <c r="L50" s="372"/>
      <c r="N50" s="574"/>
      <c r="O50" s="573" t="s">
        <v>473</v>
      </c>
      <c r="P50" s="1245" cm="1">
        <f t="array" ref="P50">SUMPRODUCT((E17:K17=Lists!$L$5)+(E17:K17=Lists!$L$6),E18:K18)</f>
        <v>3221935</v>
      </c>
      <c r="Q50" s="1246"/>
      <c r="U50" s="1244"/>
      <c r="W50" s="586" t="str">
        <f t="shared" si="13"/>
        <v>Construction Contingency - 10%</v>
      </c>
      <c r="X50" s="596">
        <f t="shared" si="14"/>
        <v>222807</v>
      </c>
      <c r="Y50" s="505">
        <v>25</v>
      </c>
      <c r="Z50" s="592">
        <f t="shared" si="15"/>
        <v>0.407469180167774</v>
      </c>
      <c r="AA50" s="658">
        <f t="shared" si="16"/>
        <v>10.18672950419435</v>
      </c>
      <c r="AB50" s="593"/>
      <c r="AD50" s="1244"/>
      <c r="AF50" s="368" t="str">
        <f t="shared" si="11"/>
        <v>Interest Reserve - 3 Mos</v>
      </c>
      <c r="AG50" s="806">
        <f t="shared" si="17"/>
        <v>0</v>
      </c>
      <c r="AH50" s="501">
        <v>0</v>
      </c>
      <c r="AI50" s="501">
        <f t="shared" si="12"/>
        <v>0</v>
      </c>
      <c r="AJ50" s="501">
        <f t="shared" si="12"/>
        <v>0</v>
      </c>
      <c r="AK50" s="1016">
        <f t="shared" si="12"/>
        <v>0</v>
      </c>
      <c r="AN50" s="1244"/>
    </row>
    <row r="51" spans="2:40" ht="15" thickBot="1" x14ac:dyDescent="0.35">
      <c r="B51" s="368" t="s">
        <v>392</v>
      </c>
      <c r="C51" s="806">
        <f t="shared" si="10"/>
        <v>173800</v>
      </c>
      <c r="D51" s="496">
        <v>53800</v>
      </c>
      <c r="E51" s="497">
        <v>0</v>
      </c>
      <c r="F51" s="497">
        <v>120000</v>
      </c>
      <c r="G51" s="497">
        <v>0</v>
      </c>
      <c r="H51" s="497">
        <v>0</v>
      </c>
      <c r="I51" s="497">
        <v>0</v>
      </c>
      <c r="J51" s="498">
        <v>0</v>
      </c>
      <c r="K51" s="498">
        <v>0</v>
      </c>
      <c r="L51" s="330"/>
      <c r="N51" s="575"/>
      <c r="O51" s="577" t="s">
        <v>481</v>
      </c>
      <c r="P51" s="493">
        <v>1.4999999999999999E-2</v>
      </c>
      <c r="Q51" s="582"/>
      <c r="U51" s="1244"/>
      <c r="W51" s="586" t="str">
        <f t="shared" si="13"/>
        <v>Interest Reserve - 3 Mos</v>
      </c>
      <c r="X51" s="596">
        <f t="shared" si="14"/>
        <v>0</v>
      </c>
      <c r="Y51" s="505">
        <v>25</v>
      </c>
      <c r="Z51" s="592">
        <f t="shared" si="15"/>
        <v>0</v>
      </c>
      <c r="AA51" s="658">
        <f t="shared" si="16"/>
        <v>0</v>
      </c>
      <c r="AB51" s="593"/>
      <c r="AD51" s="1244"/>
      <c r="AF51" s="368" t="str">
        <f t="shared" si="11"/>
        <v>Construction Soft Costs</v>
      </c>
      <c r="AG51" s="806">
        <f t="shared" si="17"/>
        <v>0</v>
      </c>
      <c r="AH51" s="499">
        <v>0</v>
      </c>
      <c r="AI51" s="496">
        <f t="shared" si="12"/>
        <v>0</v>
      </c>
      <c r="AJ51" s="496">
        <f t="shared" si="12"/>
        <v>0</v>
      </c>
      <c r="AK51" s="1015">
        <f t="shared" si="12"/>
        <v>0</v>
      </c>
      <c r="AN51" s="1244"/>
    </row>
    <row r="52" spans="2:40" ht="15" thickBot="1" x14ac:dyDescent="0.35">
      <c r="B52" s="375" t="s">
        <v>5</v>
      </c>
      <c r="C52" s="1147">
        <f>SUM(D52:K52)</f>
        <v>52000</v>
      </c>
      <c r="D52" s="499">
        <v>0</v>
      </c>
      <c r="E52" s="500">
        <v>52000</v>
      </c>
      <c r="F52" s="500">
        <v>0</v>
      </c>
      <c r="G52" s="500">
        <v>0</v>
      </c>
      <c r="H52" s="500">
        <v>0</v>
      </c>
      <c r="I52" s="500">
        <v>0</v>
      </c>
      <c r="J52" s="502">
        <v>0</v>
      </c>
      <c r="K52" s="502">
        <v>0</v>
      </c>
      <c r="L52" s="330"/>
      <c r="N52" s="575"/>
      <c r="O52" s="577" t="s">
        <v>480</v>
      </c>
      <c r="P52" s="373">
        <f>Q52/O46</f>
        <v>1.1407872724000272E-2</v>
      </c>
      <c r="Q52" s="374">
        <f>P50*P51</f>
        <v>48329.025000000001</v>
      </c>
      <c r="U52" s="1244"/>
      <c r="W52" s="586" t="str">
        <f t="shared" si="13"/>
        <v>Construction Soft Costs</v>
      </c>
      <c r="X52" s="596">
        <f t="shared" si="14"/>
        <v>0</v>
      </c>
      <c r="Y52" s="505">
        <v>25</v>
      </c>
      <c r="Z52" s="592">
        <f t="shared" si="15"/>
        <v>0</v>
      </c>
      <c r="AA52" s="658">
        <f t="shared" si="16"/>
        <v>0</v>
      </c>
      <c r="AB52" s="591"/>
      <c r="AD52" s="1244"/>
      <c r="AF52" s="368" t="str">
        <f t="shared" si="11"/>
        <v>Closing Costs</v>
      </c>
      <c r="AG52" s="806">
        <f t="shared" si="17"/>
        <v>0</v>
      </c>
      <c r="AH52" s="499">
        <v>0</v>
      </c>
      <c r="AI52" s="496">
        <f t="shared" si="12"/>
        <v>0</v>
      </c>
      <c r="AJ52" s="496">
        <f t="shared" si="12"/>
        <v>0</v>
      </c>
      <c r="AK52" s="1015">
        <f t="shared" si="12"/>
        <v>0</v>
      </c>
      <c r="AN52" s="1244"/>
    </row>
    <row r="53" spans="2:40" ht="15" thickBot="1" x14ac:dyDescent="0.35">
      <c r="B53" s="375" t="s">
        <v>93</v>
      </c>
      <c r="C53" s="806">
        <f t="shared" si="10"/>
        <v>88533</v>
      </c>
      <c r="D53" s="501">
        <v>0</v>
      </c>
      <c r="E53" s="502">
        <f>IF(E17&lt;&gt;Lists!$L$4,0, _xlfn.LET( _xlpm.base, SUM(E38:E52)+E54, _xlpm.gty, $J$30, _xlpm.tier1_fee, 0.02*_xlpm.gty*_xlpm.base/(1-0.02*_xlpm.gty), _xlpm.tier2_fee, 0.03*_xlpm.gty*_xlpm.base/(1-0.03*_xlpm.gty), _xlpm.tier3_lowfee, 0.035*_xlpm.gty*_xlpm.base/(1-0.035*_xlpm.gty), _xlpm.tier3_highfee, (-2500+0.0375*_xlpm.gty*_xlpm.base)/(1-0.0375*_xlpm.gty), _xlpm.total1, _xlpm.base+_xlpm.tier1_fee, _xlpm.total2, _xlpm.base+_xlpm.tier2_fee, _xlpm.total3_low, _xlpm.base+_xlpm.tier3_lowfee, _xlpm.total3_high, _xlpm.base+_xlpm.tier3_highfee, _xlpm.result, IF(_xlpm.total1&lt;=150000, _xlpm.tier1_fee, IF(_xlpm.total2&lt;=700000, _xlpm.tier2_fee, IF(_xlpm.total3_low*_xlpm.gty&lt;=1000000, _xlpm.tier3_lowfee, _xlpm.tier3_highfee))), ROUNDUP(_xlpm.result,0) ))</f>
        <v>13784</v>
      </c>
      <c r="F53" s="502">
        <f>IF(F17&lt;&gt;Lists!$L$4,0,_xlfn.LET(_xlpm.base,SUM(F38:F52)+F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74749</v>
      </c>
      <c r="G53" s="502">
        <f>IF(G17&lt;&gt;Lists!$L$4,0,_xlfn.LET(_xlpm.base,SUM(G38:G52)+G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H53" s="502">
        <f>IF(H17&lt;&gt;Lists!$L$4,0,_xlfn.LET(_xlpm.base,SUM(H38:H52)+H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I53" s="502">
        <f>IF(I17&lt;&gt;Lists!$L$4,0,_xlfn.LET(_xlpm.base,SUM(I38:I52)+I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J53" s="502">
        <f>IF(J17&lt;&gt;Lists!$L$4,0,_xlfn.LET(_xlpm.base,SUM(J38:J52)+J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K53" s="502">
        <f>IF(K17&lt;&gt;Lists!$L$4,0,_xlfn.LET(_xlpm.base,SUM(K38:K52)+K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L53" s="178"/>
      <c r="N53" s="575"/>
      <c r="O53" s="577" t="s">
        <v>96</v>
      </c>
      <c r="P53" s="494">
        <v>5.0000000000000001E-3</v>
      </c>
      <c r="Q53" s="376">
        <f>O46*P53</f>
        <v>21182.3125</v>
      </c>
      <c r="U53" s="1244"/>
      <c r="W53" s="586" t="s">
        <v>8</v>
      </c>
      <c r="X53" s="596">
        <f>SUM(X39:X52)</f>
        <v>546807</v>
      </c>
      <c r="Y53" s="597"/>
      <c r="Z53" s="660" t="s">
        <v>94</v>
      </c>
      <c r="AA53" s="659">
        <f>SUM(AA39:AA52)</f>
        <v>16.112037702516609</v>
      </c>
      <c r="AB53" s="582"/>
      <c r="AD53" s="1244"/>
      <c r="AF53" s="368" t="str">
        <f t="shared" si="11"/>
        <v>SBA Gty Fee</v>
      </c>
      <c r="AG53" s="806">
        <f t="shared" si="17"/>
        <v>0</v>
      </c>
      <c r="AH53" s="501">
        <v>0</v>
      </c>
      <c r="AI53" s="501">
        <f t="shared" si="12"/>
        <v>0</v>
      </c>
      <c r="AJ53" s="501">
        <f t="shared" si="12"/>
        <v>0</v>
      </c>
      <c r="AK53" s="1016">
        <f t="shared" si="12"/>
        <v>0</v>
      </c>
      <c r="AN53" s="1244"/>
    </row>
    <row r="54" spans="2:40" ht="15" thickBot="1" x14ac:dyDescent="0.35">
      <c r="B54" s="377" t="s">
        <v>377</v>
      </c>
      <c r="C54" s="806">
        <f t="shared" si="10"/>
        <v>0</v>
      </c>
      <c r="D54" s="501">
        <v>0</v>
      </c>
      <c r="E54" s="502">
        <f>IF(E17&lt;&gt;Lists!$L$10,0,_xlfn.LET(_xlpm.nc,SUM(E38:E47)+E50+SUM(E51:E53),_xlpm.cn,E48+E49,_xlpm.gty,Calculations!$X$3,_xlpm.raw,(_xlpm.gty*0.03*_xlpm.nc+_xlpm.gty*0.035*_xlpm.cn)/(1-_xlpm.gty*0.03),ROUNDUP(_xlpm.raw,0)))</f>
        <v>0</v>
      </c>
      <c r="F54" s="502">
        <f>IF(F17&lt;&gt;Lists!$L$10,0,_xlfn.LET(_xlpm.nc,SUM(F38:F47)+F50+SUM(F51:F53),_xlpm.cn,F48+F49,_xlpm.gty,Calculations!$X$3,_xlpm.raw,(_xlpm.gty*0.03*_xlpm.nc+_xlpm.gty*0.035*_xlpm.cn)/(1-_xlpm.gty*0.03),ROUNDUP(_xlpm.raw,0)))</f>
        <v>0</v>
      </c>
      <c r="G54" s="502">
        <f>IF(G17&lt;&gt;Lists!$L$10,0,_xlfn.LET(_xlpm.nc,SUM(G38:G47)+G50+SUM(G51:G53),_xlpm.cn,G48+G49,_xlpm.gty,Calculations!$X$3,_xlpm.raw,(_xlpm.gty*0.03*_xlpm.nc+_xlpm.gty*0.035*_xlpm.cn)/(1-_xlpm.gty*0.03),ROUNDUP(_xlpm.raw,0)))</f>
        <v>0</v>
      </c>
      <c r="H54" s="502">
        <f>IF(H17&lt;&gt;Lists!$L$10,0,_xlfn.LET(_xlpm.nc,SUM(H38:H47)+H50+SUM(H51:H53),_xlpm.cn,H48+H49,_xlpm.gty,Calculations!$X$3,_xlpm.raw,(_xlpm.gty*0.03*_xlpm.nc+_xlpm.gty*0.035*_xlpm.cn)/(1-_xlpm.gty*0.03),ROUNDUP(_xlpm.raw,0)))</f>
        <v>0</v>
      </c>
      <c r="I54" s="502">
        <f>IF(I17&lt;&gt;Lists!$L$10,0,_xlfn.LET(_xlpm.nc,SUM(I38:I47)+I50+SUM(I51:I53),_xlpm.cn,I48+I49,_xlpm.gty,Calculations!$X$3,_xlpm.raw,(_xlpm.gty*0.03*_xlpm.nc+_xlpm.gty*0.035*_xlpm.cn)/(1-_xlpm.gty*0.03),ROUNDUP(_xlpm.raw,0)))</f>
        <v>0</v>
      </c>
      <c r="J54" s="502">
        <f>IF(J17&lt;&gt;Lists!$L$10,0,_xlfn.LET(_xlpm.nc,SUM(J38:J47)+J50+SUM(J51:J53),_xlpm.cn,J48+J49,_xlpm.gty,Calculations!$X$3,_xlpm.raw,(_xlpm.gty*0.03*_xlpm.nc+_xlpm.gty*0.035*_xlpm.cn)/(1-_xlpm.gty*0.03),ROUNDUP(_xlpm.raw,0)))</f>
        <v>0</v>
      </c>
      <c r="K54" s="502">
        <v>0</v>
      </c>
      <c r="L54" s="178"/>
      <c r="N54" s="575"/>
      <c r="O54" s="579" t="s">
        <v>97</v>
      </c>
      <c r="P54" s="494">
        <v>0.01</v>
      </c>
      <c r="Q54" s="376">
        <f>O46*P54</f>
        <v>42364.625</v>
      </c>
      <c r="U54" s="1244"/>
      <c r="W54" s="576"/>
      <c r="X54" s="594"/>
      <c r="Y54" s="594"/>
      <c r="Z54" s="594"/>
      <c r="AA54" s="594"/>
      <c r="AB54" s="595"/>
      <c r="AD54" s="1244"/>
      <c r="AF54" s="368" t="str">
        <f t="shared" si="11"/>
        <v>USDA Gty Fee</v>
      </c>
      <c r="AG54" s="806">
        <f t="shared" si="17"/>
        <v>0</v>
      </c>
      <c r="AH54" s="501">
        <v>0</v>
      </c>
      <c r="AI54" s="501">
        <f t="shared" si="12"/>
        <v>0</v>
      </c>
      <c r="AJ54" s="501">
        <f t="shared" si="12"/>
        <v>0</v>
      </c>
      <c r="AK54" s="1016">
        <f t="shared" si="12"/>
        <v>0</v>
      </c>
      <c r="AN54" s="1244"/>
    </row>
    <row r="55" spans="2:40" ht="15.6" thickTop="1" thickBot="1" x14ac:dyDescent="0.35">
      <c r="B55" s="379"/>
      <c r="C55" s="807">
        <f>SUM(C38:C53)</f>
        <v>8472925</v>
      </c>
      <c r="D55" s="380">
        <f t="shared" ref="D55:K55" si="18">SUM(D38:D54)</f>
        <v>1571792</v>
      </c>
      <c r="E55" s="381">
        <f t="shared" si="18"/>
        <v>612591</v>
      </c>
      <c r="F55" s="381">
        <f t="shared" si="18"/>
        <v>2746607</v>
      </c>
      <c r="G55" s="381">
        <f t="shared" si="18"/>
        <v>1350000</v>
      </c>
      <c r="H55" s="381">
        <f t="shared" si="18"/>
        <v>320000</v>
      </c>
      <c r="I55" s="381">
        <f t="shared" si="18"/>
        <v>1871935</v>
      </c>
      <c r="J55" s="381">
        <f t="shared" si="18"/>
        <v>0</v>
      </c>
      <c r="K55" s="381">
        <f t="shared" si="18"/>
        <v>0</v>
      </c>
      <c r="L55" s="335"/>
      <c r="N55" s="575"/>
      <c r="O55" s="579" t="s">
        <v>98</v>
      </c>
      <c r="P55" s="495">
        <v>0</v>
      </c>
      <c r="Q55" s="378">
        <f>P55*O46</f>
        <v>0</v>
      </c>
      <c r="U55" s="1244"/>
      <c r="W55" s="508" t="s">
        <v>394</v>
      </c>
      <c r="X55" s="509"/>
      <c r="Y55" s="509"/>
      <c r="Z55" s="509"/>
      <c r="AA55" s="509"/>
      <c r="AB55" s="514"/>
      <c r="AD55" s="1244"/>
      <c r="AF55" s="379"/>
      <c r="AG55" s="806">
        <f>SUM(AG38:AG54)</f>
        <v>3541935</v>
      </c>
      <c r="AH55" s="380">
        <f>SUM(AH38:AH54)</f>
        <v>0</v>
      </c>
      <c r="AI55" s="380">
        <f>SUM(AI38:AI54)</f>
        <v>1350000</v>
      </c>
      <c r="AJ55" s="380">
        <f>SUM(AJ38:AJ54)</f>
        <v>1871935</v>
      </c>
      <c r="AK55" s="1017">
        <f>SUM(AK38:AK54)</f>
        <v>320000</v>
      </c>
      <c r="AN55" s="1244"/>
    </row>
    <row r="56" spans="2:40" ht="15" thickBot="1" x14ac:dyDescent="0.35">
      <c r="B56" s="203"/>
      <c r="C56" s="808">
        <f t="shared" ref="C56:K56" si="19">IFERROR(C55/$C$55,0)</f>
        <v>1</v>
      </c>
      <c r="D56" s="384">
        <f>IFERROR(D55/$C$55,0)</f>
        <v>0.18550760215628015</v>
      </c>
      <c r="E56" s="385">
        <f t="shared" si="19"/>
        <v>7.229982562102226E-2</v>
      </c>
      <c r="F56" s="385">
        <f t="shared" si="19"/>
        <v>0.32416278911945995</v>
      </c>
      <c r="G56" s="385">
        <f t="shared" si="19"/>
        <v>0.15933104565424572</v>
      </c>
      <c r="H56" s="385">
        <f t="shared" si="19"/>
        <v>3.7767358969895283E-2</v>
      </c>
      <c r="I56" s="385">
        <f t="shared" si="19"/>
        <v>0.22093137847909666</v>
      </c>
      <c r="J56" s="385">
        <f t="shared" si="19"/>
        <v>0</v>
      </c>
      <c r="K56" s="385">
        <f t="shared" si="19"/>
        <v>0</v>
      </c>
      <c r="L56" s="335"/>
      <c r="M56" s="358"/>
      <c r="N56" s="575"/>
      <c r="O56" s="577" t="s">
        <v>100</v>
      </c>
      <c r="P56" s="382">
        <f>SUM(P51:P55)</f>
        <v>4.1407872724000275E-2</v>
      </c>
      <c r="Q56" s="383">
        <f>SUM(Q52:Q55)</f>
        <v>111875.96249999999</v>
      </c>
      <c r="U56" s="1244"/>
      <c r="W56" s="799"/>
      <c r="AB56" s="1232" t="s">
        <v>555</v>
      </c>
      <c r="AD56" s="1244"/>
      <c r="AF56" s="205"/>
      <c r="AG56" s="1018">
        <f>IFERROR(AG55/$AG$55,0)</f>
        <v>1</v>
      </c>
      <c r="AH56" s="1019">
        <f>IFERROR(AH55/$AG$55,0)</f>
        <v>0</v>
      </c>
      <c r="AI56" s="1019">
        <f>IFERROR(AI55/$AG$55,0)</f>
        <v>0.38114759305294987</v>
      </c>
      <c r="AJ56" s="1019">
        <f>IFERROR(AJ55/$AG$55,0)</f>
        <v>0.52850631081598054</v>
      </c>
      <c r="AK56" s="1020">
        <f>IFERROR(AK55/$AG$55,0)</f>
        <v>9.03460961310696E-2</v>
      </c>
      <c r="AN56" s="1244"/>
    </row>
    <row r="57" spans="2:40" ht="15" thickBot="1" x14ac:dyDescent="0.35">
      <c r="B57" s="205"/>
      <c r="C57" s="206"/>
      <c r="D57" s="206"/>
      <c r="E57" s="206"/>
      <c r="F57" s="206"/>
      <c r="G57" s="206"/>
      <c r="H57" s="206"/>
      <c r="I57" s="206"/>
      <c r="J57" s="206"/>
      <c r="K57" s="206"/>
      <c r="L57" s="360"/>
      <c r="M57" s="358"/>
      <c r="N57" s="576"/>
      <c r="O57" s="577" t="s">
        <v>105</v>
      </c>
      <c r="P57" s="578"/>
      <c r="Q57" s="386">
        <f>ROUNDUP(Q56,-3)</f>
        <v>112000</v>
      </c>
      <c r="U57" s="1244"/>
      <c r="AD57" s="1244"/>
      <c r="AF57" s="1049" t="s">
        <v>527</v>
      </c>
      <c r="AN57" s="1244"/>
    </row>
    <row r="58" spans="2:40" ht="15.6" thickTop="1" thickBot="1" x14ac:dyDescent="0.35">
      <c r="B58" s="1065" t="str">
        <f>IF(SUM(D49:J49)&lt;&gt;C49,"*** Construction contingency does not match total contingency in C49.","")</f>
        <v/>
      </c>
      <c r="C58" s="387"/>
      <c r="D58" s="387"/>
      <c r="E58" s="387"/>
      <c r="F58" s="387"/>
      <c r="G58" s="387"/>
      <c r="H58" s="387"/>
      <c r="I58" s="387"/>
      <c r="J58" s="387"/>
      <c r="K58" s="387"/>
      <c r="L58" s="358"/>
      <c r="M58" s="358"/>
      <c r="N58" s="508" t="s">
        <v>474</v>
      </c>
      <c r="O58" s="509"/>
      <c r="P58" s="509"/>
      <c r="Q58" s="510"/>
      <c r="U58" s="1244"/>
      <c r="AD58" s="1244"/>
      <c r="AN58" s="1244"/>
    </row>
    <row r="59" spans="2:40" ht="16.2" thickBot="1" x14ac:dyDescent="0.35">
      <c r="B59" s="168" t="s">
        <v>99</v>
      </c>
      <c r="C59" s="169"/>
      <c r="D59" s="169"/>
      <c r="E59" s="169"/>
      <c r="F59" s="169"/>
      <c r="G59" s="169"/>
      <c r="H59" s="169"/>
      <c r="I59" s="169"/>
      <c r="J59" s="170"/>
      <c r="K59" s="358"/>
      <c r="M59" s="358"/>
      <c r="AF59" s="1009"/>
      <c r="AG59" s="1010" t="str">
        <f>C36</f>
        <v>Total</v>
      </c>
      <c r="AH59" s="1010" t="str">
        <f>D36</f>
        <v>Equity</v>
      </c>
      <c r="AI59" s="1010" t="str">
        <f>Lists!L5</f>
        <v>SBA 504</v>
      </c>
      <c r="AJ59" s="1011" t="str">
        <f>Lists!L6</f>
        <v>Debenture</v>
      </c>
      <c r="AK59" s="1011" t="str">
        <f>Lists!L4</f>
        <v>SBA 7(a)</v>
      </c>
      <c r="AL59" s="1012" t="str">
        <f>Lists!L9</f>
        <v>Seller Note</v>
      </c>
    </row>
    <row r="60" spans="2:40" ht="14.4" x14ac:dyDescent="0.3">
      <c r="B60" s="388"/>
      <c r="C60" s="173"/>
      <c r="D60" s="173"/>
      <c r="E60" s="173"/>
      <c r="F60" s="173"/>
      <c r="G60" s="173"/>
      <c r="H60" s="173"/>
      <c r="I60" s="173"/>
      <c r="J60" s="178"/>
      <c r="K60" s="358"/>
      <c r="AF60" s="366" t="s">
        <v>516</v>
      </c>
      <c r="AG60" s="367"/>
      <c r="AH60" s="367"/>
      <c r="AI60" s="367"/>
      <c r="AJ60" s="367"/>
      <c r="AK60" s="367"/>
      <c r="AL60" s="1013"/>
    </row>
    <row r="61" spans="2:40" ht="14.4" outlineLevel="1" x14ac:dyDescent="0.3">
      <c r="B61" s="203"/>
      <c r="C61" s="389" t="s">
        <v>101</v>
      </c>
      <c r="D61" s="176"/>
      <c r="E61" s="176"/>
      <c r="F61" s="389" t="s">
        <v>101</v>
      </c>
      <c r="G61" s="614"/>
      <c r="H61" s="176"/>
      <c r="I61" s="389" t="s">
        <v>101</v>
      </c>
      <c r="J61" s="178"/>
      <c r="K61" s="358"/>
      <c r="AF61" s="368" t="str">
        <f t="shared" ref="AF61:AF77" si="20">B38</f>
        <v>Real Estate Acquisition</v>
      </c>
      <c r="AG61" s="806">
        <f t="shared" ref="AG61:AG77" si="21">C38</f>
        <v>0</v>
      </c>
      <c r="AH61" s="496">
        <v>0</v>
      </c>
      <c r="AI61" s="496">
        <f t="shared" ref="AI61:AL79" si="22">IFERROR(INDEX($C38:$K38,MATCH(AI$59,$C$36:$K$36,0)),0)</f>
        <v>0</v>
      </c>
      <c r="AJ61" s="496">
        <f t="shared" si="22"/>
        <v>0</v>
      </c>
      <c r="AK61" s="496">
        <f t="shared" si="22"/>
        <v>0</v>
      </c>
      <c r="AL61" s="1014">
        <f t="shared" si="22"/>
        <v>0</v>
      </c>
    </row>
    <row r="62" spans="2:40" ht="14.4" outlineLevel="1" x14ac:dyDescent="0.3">
      <c r="B62" s="357" t="s">
        <v>103</v>
      </c>
      <c r="C62" s="506">
        <v>590000</v>
      </c>
      <c r="D62" s="176"/>
      <c r="E62" s="204" t="str">
        <f>IF(Affiliates!$B$43="{Insert business name which represents Affiliate 1}","Affiliate 1",Affiliates!$B$43)</f>
        <v>Affiliate 1</v>
      </c>
      <c r="F62" s="1187">
        <v>0</v>
      </c>
      <c r="G62" s="614"/>
      <c r="H62" s="563" t="s">
        <v>114</v>
      </c>
      <c r="I62" s="507">
        <f>SUM(C62:C73,F62:F73)</f>
        <v>2308100</v>
      </c>
      <c r="J62" s="178"/>
      <c r="K62" s="358"/>
      <c r="AF62" s="368" t="str">
        <f t="shared" si="20"/>
        <v>Debt Refi - CRE</v>
      </c>
      <c r="AG62" s="806">
        <f t="shared" si="21"/>
        <v>0</v>
      </c>
      <c r="AH62" s="496">
        <v>0</v>
      </c>
      <c r="AI62" s="496">
        <f t="shared" si="22"/>
        <v>0</v>
      </c>
      <c r="AJ62" s="496">
        <f t="shared" si="22"/>
        <v>0</v>
      </c>
      <c r="AK62" s="496">
        <f t="shared" si="22"/>
        <v>0</v>
      </c>
      <c r="AL62" s="1014">
        <f t="shared" si="22"/>
        <v>0</v>
      </c>
    </row>
    <row r="63" spans="2:40" ht="14.4" outlineLevel="1" x14ac:dyDescent="0.3">
      <c r="B63" s="357" t="str">
        <f>IF(Guarantors!B6="Customer 1","Owner/Guarantor 1",Guarantors!B6)</f>
        <v>Jeff Able</v>
      </c>
      <c r="C63" s="390">
        <f>Guarantors!F6</f>
        <v>11100</v>
      </c>
      <c r="D63" s="176"/>
      <c r="E63" s="204" t="str">
        <f>IF(Affiliates!$B$99="{Insert business name which represents Affiliate 2}","Affiliate 2",Affiliates!$B$99)</f>
        <v>Affiliate 2</v>
      </c>
      <c r="F63" s="1187">
        <v>0</v>
      </c>
      <c r="G63" s="614"/>
      <c r="H63" s="615"/>
      <c r="I63" s="614"/>
      <c r="J63" s="178"/>
      <c r="K63" s="358"/>
      <c r="AF63" s="368" t="str">
        <f t="shared" si="20"/>
        <v>Debt Refi - Non-CRE</v>
      </c>
      <c r="AG63" s="806">
        <f t="shared" si="21"/>
        <v>0</v>
      </c>
      <c r="AH63" s="496">
        <v>0</v>
      </c>
      <c r="AI63" s="496">
        <f t="shared" si="22"/>
        <v>0</v>
      </c>
      <c r="AJ63" s="496">
        <f t="shared" si="22"/>
        <v>0</v>
      </c>
      <c r="AK63" s="496">
        <f t="shared" si="22"/>
        <v>0</v>
      </c>
      <c r="AL63" s="1014">
        <f t="shared" si="22"/>
        <v>0</v>
      </c>
    </row>
    <row r="64" spans="2:40" ht="14.4" outlineLevel="1" x14ac:dyDescent="0.3">
      <c r="B64" s="357" t="str">
        <f>IF(Guarantors!B7="Customer 2","Owner/Guarantor 2",Guarantors!B7)</f>
        <v>Lisa McClure</v>
      </c>
      <c r="C64" s="390">
        <f>Guarantors!F7</f>
        <v>525000</v>
      </c>
      <c r="D64" s="176"/>
      <c r="E64" s="204" t="str">
        <f>IF(Affiliates!$B$155="{Insert business name which represents Affiliate 3}","Affiliate 3",Affiliates!$B$155)</f>
        <v>Affiliate 3</v>
      </c>
      <c r="F64" s="1187">
        <v>0</v>
      </c>
      <c r="G64" s="614"/>
      <c r="H64" s="420" t="s">
        <v>115</v>
      </c>
      <c r="I64" s="507">
        <f>D55</f>
        <v>1571792</v>
      </c>
      <c r="J64" s="178"/>
      <c r="K64" s="358"/>
      <c r="AF64" s="368" t="str">
        <f t="shared" si="20"/>
        <v>Machinery &amp; Equipment</v>
      </c>
      <c r="AG64" s="806">
        <f t="shared" si="21"/>
        <v>366285</v>
      </c>
      <c r="AH64" s="496">
        <v>0</v>
      </c>
      <c r="AI64" s="496">
        <f t="shared" si="22"/>
        <v>0</v>
      </c>
      <c r="AJ64" s="496">
        <f t="shared" si="22"/>
        <v>0</v>
      </c>
      <c r="AK64" s="496">
        <f t="shared" si="22"/>
        <v>0</v>
      </c>
      <c r="AL64" s="1014">
        <f t="shared" si="22"/>
        <v>0</v>
      </c>
    </row>
    <row r="65" spans="2:38" ht="14.4" outlineLevel="1" x14ac:dyDescent="0.3">
      <c r="B65" s="357" t="str">
        <f>IF(Guarantors!B8="Customer 3","Owner/Guarantor 3",Guarantors!B8)</f>
        <v>Brandon Johnson</v>
      </c>
      <c r="C65" s="390">
        <f>Guarantors!F8</f>
        <v>100000</v>
      </c>
      <c r="D65" s="176"/>
      <c r="E65" s="204" t="str">
        <f>IF(Affiliates!$B$211="{Insert business name which represents Affiliate 4}","Affiliate 4",Affiliates!$B$211)</f>
        <v>Affiliate 4</v>
      </c>
      <c r="F65" s="1187">
        <v>0</v>
      </c>
      <c r="G65" s="614"/>
      <c r="H65" s="615"/>
      <c r="I65" s="176"/>
      <c r="J65" s="621"/>
      <c r="K65" s="358"/>
      <c r="AF65" s="368" t="str">
        <f t="shared" si="20"/>
        <v>Furniture &amp; Fixtures</v>
      </c>
      <c r="AG65" s="806">
        <f t="shared" si="21"/>
        <v>600000</v>
      </c>
      <c r="AH65" s="496">
        <v>0</v>
      </c>
      <c r="AI65" s="496">
        <f t="shared" si="22"/>
        <v>0</v>
      </c>
      <c r="AJ65" s="496">
        <f t="shared" si="22"/>
        <v>0</v>
      </c>
      <c r="AK65" s="496">
        <f t="shared" si="22"/>
        <v>0</v>
      </c>
      <c r="AL65" s="1014">
        <f t="shared" si="22"/>
        <v>0</v>
      </c>
    </row>
    <row r="66" spans="2:38" ht="14.4" outlineLevel="1" x14ac:dyDescent="0.3">
      <c r="B66" s="357" t="str">
        <f>IF(Guarantors!B9="Customer 4","Owner/Guarantor 4",Guarantors!B9)</f>
        <v>Riku Patel</v>
      </c>
      <c r="C66" s="390">
        <f>Guarantors!F9</f>
        <v>425000</v>
      </c>
      <c r="D66" s="176"/>
      <c r="E66" s="204" t="str">
        <f>IF(Affiliates!$B$267="{Insert business name which represents Affiliate 5}","Affiliate 5",Affiliates!$B$267)</f>
        <v>Affiliate 5</v>
      </c>
      <c r="F66" s="1187">
        <v>0</v>
      </c>
      <c r="G66" s="614"/>
      <c r="H66" s="420" t="s">
        <v>493</v>
      </c>
      <c r="I66" s="507">
        <f>C44+C45</f>
        <v>650500</v>
      </c>
      <c r="J66" s="391"/>
      <c r="K66" s="358"/>
      <c r="AF66" s="368" t="str">
        <f t="shared" si="20"/>
        <v>Inventory</v>
      </c>
      <c r="AG66" s="806">
        <f t="shared" si="21"/>
        <v>0</v>
      </c>
      <c r="AH66" s="496">
        <v>0</v>
      </c>
      <c r="AI66" s="496">
        <f t="shared" si="22"/>
        <v>0</v>
      </c>
      <c r="AJ66" s="496">
        <f t="shared" si="22"/>
        <v>0</v>
      </c>
      <c r="AK66" s="496">
        <f t="shared" si="22"/>
        <v>0</v>
      </c>
      <c r="AL66" s="1014">
        <f t="shared" si="22"/>
        <v>0</v>
      </c>
    </row>
    <row r="67" spans="2:38" ht="14.4" outlineLevel="1" x14ac:dyDescent="0.3">
      <c r="B67" s="357" t="str">
        <f>IF(Guarantors!B10="Customer 5","Owner/Guarantor 5",Guarantors!B10)</f>
        <v>Divy Patel</v>
      </c>
      <c r="C67" s="390">
        <f>Guarantors!F10</f>
        <v>657000</v>
      </c>
      <c r="D67" s="176"/>
      <c r="E67" s="204" t="str">
        <f>IF(Affiliates!$B$323="{Insert business name which represents Affiliate 6}","Affiliate 6",Affiliates!$B$323)</f>
        <v>Affiliate 6</v>
      </c>
      <c r="F67" s="1187">
        <v>0</v>
      </c>
      <c r="G67" s="204"/>
      <c r="H67" s="614"/>
      <c r="I67" s="614"/>
      <c r="J67" s="330"/>
      <c r="K67" s="358"/>
      <c r="AF67" s="368" t="str">
        <f t="shared" si="20"/>
        <v>Working Capital</v>
      </c>
      <c r="AG67" s="806">
        <f t="shared" si="21"/>
        <v>573500</v>
      </c>
      <c r="AH67" s="496">
        <v>0</v>
      </c>
      <c r="AI67" s="496">
        <f t="shared" si="22"/>
        <v>0</v>
      </c>
      <c r="AJ67" s="496">
        <f t="shared" si="22"/>
        <v>0</v>
      </c>
      <c r="AK67" s="496">
        <f t="shared" si="22"/>
        <v>0</v>
      </c>
      <c r="AL67" s="1014">
        <f t="shared" si="22"/>
        <v>0</v>
      </c>
    </row>
    <row r="68" spans="2:38" ht="14.4" outlineLevel="1" x14ac:dyDescent="0.3">
      <c r="B68" s="392" t="str">
        <f>IF(Guarantors!B11="Customer 6","Owner/Guarantor 6",Guarantors!B11)</f>
        <v>Owner/Guarantor 6</v>
      </c>
      <c r="C68" s="390">
        <f>Guarantors!F11</f>
        <v>0</v>
      </c>
      <c r="D68" s="176"/>
      <c r="E68" s="204" t="str">
        <f>IF(Affiliates!$B$379="{Insert business name which represents Affiliate 7}","Affiliate 7",Affiliates!$B$379)</f>
        <v>Affiliate 7</v>
      </c>
      <c r="F68" s="1187">
        <v>0</v>
      </c>
      <c r="G68" s="204"/>
      <c r="H68" s="420" t="s">
        <v>260</v>
      </c>
      <c r="I68" s="507">
        <f>I62-I64+I66</f>
        <v>1386808</v>
      </c>
      <c r="J68" s="330"/>
      <c r="K68" s="358"/>
      <c r="AF68" s="368" t="str">
        <f t="shared" si="20"/>
        <v>Working Capital - Pre Opening</v>
      </c>
      <c r="AG68" s="806">
        <f t="shared" si="21"/>
        <v>77000</v>
      </c>
      <c r="AH68" s="496">
        <v>0</v>
      </c>
      <c r="AI68" s="496">
        <f t="shared" si="22"/>
        <v>0</v>
      </c>
      <c r="AJ68" s="496">
        <f t="shared" si="22"/>
        <v>0</v>
      </c>
      <c r="AK68" s="496">
        <f t="shared" si="22"/>
        <v>0</v>
      </c>
      <c r="AL68" s="1014">
        <f t="shared" si="22"/>
        <v>0</v>
      </c>
    </row>
    <row r="69" spans="2:38" ht="14.4" outlineLevel="1" x14ac:dyDescent="0.3">
      <c r="B69" s="392" t="str">
        <f>IF(Guarantors!B12="Customer 7","Owner/Guarantor 7",Guarantors!B12)</f>
        <v>Owner/Guarantor 7</v>
      </c>
      <c r="C69" s="390">
        <f>Guarantors!F12</f>
        <v>0</v>
      </c>
      <c r="D69" s="176"/>
      <c r="E69" s="204" t="str">
        <f>IF(Affiliates!$B$435="{Insert business name which represents Affiliate 8}","Affiliate 8",Affiliates!$B$435)</f>
        <v>Affiliate 8</v>
      </c>
      <c r="F69" s="1187">
        <v>0</v>
      </c>
      <c r="G69" s="204"/>
      <c r="H69" s="614"/>
      <c r="I69" s="614"/>
      <c r="J69" s="178"/>
      <c r="K69" s="358"/>
      <c r="AF69" s="368" t="str">
        <f t="shared" si="20"/>
        <v>Business Acquisition</v>
      </c>
      <c r="AG69" s="806">
        <f t="shared" si="21"/>
        <v>2219000</v>
      </c>
      <c r="AH69" s="496">
        <v>0</v>
      </c>
      <c r="AI69" s="496">
        <f t="shared" si="22"/>
        <v>1350000</v>
      </c>
      <c r="AJ69" s="496">
        <f t="shared" si="22"/>
        <v>0</v>
      </c>
      <c r="AK69" s="496">
        <f t="shared" si="22"/>
        <v>324000</v>
      </c>
      <c r="AL69" s="1014">
        <f t="shared" si="22"/>
        <v>320000</v>
      </c>
    </row>
    <row r="70" spans="2:38" ht="14.4" outlineLevel="1" x14ac:dyDescent="0.3">
      <c r="B70" s="392" t="str">
        <f>IF(Guarantors!B13="Customer 8","Owner/Guarantor 8",Guarantors!B13)</f>
        <v>Owner/Guarantor 8</v>
      </c>
      <c r="C70" s="390">
        <f>Guarantors!F13</f>
        <v>0</v>
      </c>
      <c r="D70" s="176"/>
      <c r="E70" s="204" t="str">
        <f>IF(Affiliates!$B$491="{Insert business name which represents Affiliate 9}","Affiliate 9",Affiliates!$B$491)</f>
        <v>Affiliate 9</v>
      </c>
      <c r="F70" s="1187">
        <v>0</v>
      </c>
      <c r="G70" s="204"/>
      <c r="H70" s="204"/>
      <c r="I70" s="622"/>
      <c r="J70" s="178"/>
      <c r="K70" s="358"/>
      <c r="AF70" s="368" t="str">
        <f t="shared" si="20"/>
        <v>Franchise Fees</v>
      </c>
      <c r="AG70" s="806">
        <f t="shared" si="21"/>
        <v>0</v>
      </c>
      <c r="AH70" s="496">
        <v>0</v>
      </c>
      <c r="AI70" s="496">
        <f t="shared" si="22"/>
        <v>0</v>
      </c>
      <c r="AJ70" s="496">
        <f t="shared" si="22"/>
        <v>0</v>
      </c>
      <c r="AK70" s="496">
        <f t="shared" si="22"/>
        <v>0</v>
      </c>
      <c r="AL70" s="1014">
        <f t="shared" si="22"/>
        <v>0</v>
      </c>
    </row>
    <row r="71" spans="2:38" ht="14.4" outlineLevel="1" x14ac:dyDescent="0.3">
      <c r="B71" s="392" t="str">
        <f>IF(Guarantors!B14="Customer 9","Owner/Guarantor 9",Guarantors!B14)</f>
        <v>Owner/Guarantor 9</v>
      </c>
      <c r="C71" s="390">
        <f>Guarantors!F14</f>
        <v>0</v>
      </c>
      <c r="D71" s="176"/>
      <c r="E71" s="204" t="str">
        <f>IF(Affiliates!$B$547="{Insert business name which represents Affiliate 10}","Affiliate 10",Affiliates!$B$547)</f>
        <v>Affiliate 10</v>
      </c>
      <c r="F71" s="1187">
        <v>0</v>
      </c>
      <c r="G71" s="204"/>
      <c r="H71" s="204"/>
      <c r="I71" s="622"/>
      <c r="J71" s="178"/>
      <c r="K71" s="358"/>
      <c r="AF71" s="368" t="str">
        <f t="shared" si="20"/>
        <v>Construction Hard Costs</v>
      </c>
      <c r="AG71" s="806">
        <f t="shared" si="21"/>
        <v>4100000</v>
      </c>
      <c r="AH71" s="496">
        <v>0</v>
      </c>
      <c r="AI71" s="496">
        <f t="shared" si="22"/>
        <v>0</v>
      </c>
      <c r="AJ71" s="496">
        <f t="shared" si="22"/>
        <v>1871935</v>
      </c>
      <c r="AK71" s="496">
        <f t="shared" si="22"/>
        <v>0</v>
      </c>
      <c r="AL71" s="1014">
        <f t="shared" si="22"/>
        <v>0</v>
      </c>
    </row>
    <row r="72" spans="2:38" ht="14.4" outlineLevel="1" x14ac:dyDescent="0.3">
      <c r="B72" s="392" t="str">
        <f>IF(Guarantors!B15="Customer 10","Owner/Guarantor 10",Guarantors!B15)</f>
        <v>Owner/Guarantor 10</v>
      </c>
      <c r="C72" s="390">
        <f>Guarantors!F15</f>
        <v>0</v>
      </c>
      <c r="D72" s="176"/>
      <c r="E72" s="204" t="str">
        <f>IF(Affiliates!$B$603="{Insert business name which represents Affiliate 11}","Affiliate 11",Affiliates!$B$603)</f>
        <v>Affiliate 11</v>
      </c>
      <c r="F72" s="1187">
        <v>0</v>
      </c>
      <c r="G72" s="204"/>
      <c r="H72" s="204"/>
      <c r="I72" s="622"/>
      <c r="J72" s="178"/>
      <c r="K72" s="358"/>
      <c r="AF72" s="368" t="str">
        <f t="shared" si="20"/>
        <v>Construction Contingency - 10%</v>
      </c>
      <c r="AG72" s="806">
        <f t="shared" si="21"/>
        <v>222807</v>
      </c>
      <c r="AH72" s="499">
        <v>0</v>
      </c>
      <c r="AI72" s="499">
        <f t="shared" si="22"/>
        <v>0</v>
      </c>
      <c r="AJ72" s="499">
        <f t="shared" si="22"/>
        <v>0</v>
      </c>
      <c r="AK72" s="499">
        <f t="shared" si="22"/>
        <v>222807</v>
      </c>
      <c r="AL72" s="1015">
        <f t="shared" si="22"/>
        <v>0</v>
      </c>
    </row>
    <row r="73" spans="2:38" ht="14.4" outlineLevel="1" x14ac:dyDescent="0.3">
      <c r="B73" s="1022" t="s">
        <v>458</v>
      </c>
      <c r="C73" s="506">
        <v>0</v>
      </c>
      <c r="D73" s="176"/>
      <c r="E73" s="204" t="str">
        <f>IF(Affiliates!$B$659="{Insert business name which represents Affiliate 12}","Affiliate 12",Affiliates!$B$659)</f>
        <v>Affiliate 12</v>
      </c>
      <c r="F73" s="1187">
        <v>0</v>
      </c>
      <c r="G73" s="176"/>
      <c r="H73" s="176"/>
      <c r="I73" s="176"/>
      <c r="J73" s="178"/>
      <c r="K73" s="358"/>
      <c r="AF73" s="368" t="str">
        <f t="shared" si="20"/>
        <v>Interest Reserve - 3 Mos</v>
      </c>
      <c r="AG73" s="806">
        <f t="shared" si="21"/>
        <v>0</v>
      </c>
      <c r="AH73" s="501">
        <v>0</v>
      </c>
      <c r="AI73" s="501">
        <f t="shared" si="22"/>
        <v>0</v>
      </c>
      <c r="AJ73" s="501">
        <f t="shared" si="22"/>
        <v>0</v>
      </c>
      <c r="AK73" s="501">
        <f t="shared" si="22"/>
        <v>0</v>
      </c>
      <c r="AL73" s="1016">
        <f t="shared" si="22"/>
        <v>0</v>
      </c>
    </row>
    <row r="74" spans="2:38" ht="13.8" customHeight="1" outlineLevel="1" thickBot="1" x14ac:dyDescent="0.35">
      <c r="B74" s="205"/>
      <c r="C74" s="206"/>
      <c r="D74" s="206"/>
      <c r="E74" s="206"/>
      <c r="F74" s="206"/>
      <c r="G74" s="206"/>
      <c r="H74" s="206"/>
      <c r="I74" s="206"/>
      <c r="J74" s="360"/>
      <c r="AF74" s="368" t="str">
        <f t="shared" si="20"/>
        <v>Construction Soft Costs</v>
      </c>
      <c r="AG74" s="806">
        <f t="shared" si="21"/>
        <v>173800</v>
      </c>
      <c r="AH74" s="496">
        <v>0</v>
      </c>
      <c r="AI74" s="496">
        <f t="shared" si="22"/>
        <v>0</v>
      </c>
      <c r="AJ74" s="496">
        <f t="shared" si="22"/>
        <v>0</v>
      </c>
      <c r="AK74" s="496">
        <f t="shared" si="22"/>
        <v>0</v>
      </c>
      <c r="AL74" s="1014">
        <f t="shared" si="22"/>
        <v>0</v>
      </c>
    </row>
    <row r="75" spans="2:38" ht="15" outlineLevel="1" thickBot="1" x14ac:dyDescent="0.35">
      <c r="B75" s="394"/>
      <c r="C75" s="394"/>
      <c r="D75" s="394"/>
      <c r="E75" s="394"/>
      <c r="F75" s="394"/>
      <c r="G75" s="394"/>
      <c r="H75" s="394"/>
      <c r="I75" s="358"/>
      <c r="J75" s="358"/>
      <c r="K75" s="358"/>
      <c r="L75" s="358"/>
      <c r="AF75" s="368" t="str">
        <f t="shared" si="20"/>
        <v>Closing Costs</v>
      </c>
      <c r="AG75" s="806">
        <f t="shared" si="21"/>
        <v>52000</v>
      </c>
      <c r="AH75" s="496">
        <v>0</v>
      </c>
      <c r="AI75" s="496">
        <f t="shared" si="22"/>
        <v>0</v>
      </c>
      <c r="AJ75" s="496">
        <f t="shared" si="22"/>
        <v>0</v>
      </c>
      <c r="AK75" s="496">
        <f t="shared" si="22"/>
        <v>52000</v>
      </c>
      <c r="AL75" s="1014">
        <f t="shared" si="22"/>
        <v>0</v>
      </c>
    </row>
    <row r="76" spans="2:38" ht="16.2" thickBot="1" x14ac:dyDescent="0.35">
      <c r="B76" s="598" t="s">
        <v>482</v>
      </c>
      <c r="C76" s="599"/>
      <c r="D76" s="599"/>
      <c r="E76" s="599"/>
      <c r="F76" s="599"/>
      <c r="G76" s="599"/>
      <c r="H76" s="599"/>
      <c r="I76" s="599"/>
      <c r="J76" s="600"/>
      <c r="AF76" s="368" t="str">
        <f t="shared" si="20"/>
        <v>SBA Gty Fee</v>
      </c>
      <c r="AG76" s="806">
        <f t="shared" si="21"/>
        <v>88533</v>
      </c>
      <c r="AH76" s="501">
        <v>0</v>
      </c>
      <c r="AI76" s="501">
        <f t="shared" si="22"/>
        <v>0</v>
      </c>
      <c r="AJ76" s="501">
        <f t="shared" si="22"/>
        <v>0</v>
      </c>
      <c r="AK76" s="501">
        <f t="shared" si="22"/>
        <v>13784</v>
      </c>
      <c r="AL76" s="1016">
        <f t="shared" si="22"/>
        <v>0</v>
      </c>
    </row>
    <row r="77" spans="2:38" ht="14.4" x14ac:dyDescent="0.3">
      <c r="B77" s="601"/>
      <c r="C77" s="613"/>
      <c r="D77" s="613"/>
      <c r="E77" s="614"/>
      <c r="F77" s="614"/>
      <c r="G77" s="615"/>
      <c r="H77" s="615"/>
      <c r="I77" s="615"/>
      <c r="J77" s="616"/>
      <c r="AF77" s="368" t="str">
        <f t="shared" si="20"/>
        <v>USDA Gty Fee</v>
      </c>
      <c r="AG77" s="806">
        <f t="shared" si="21"/>
        <v>0</v>
      </c>
      <c r="AH77" s="501">
        <v>0</v>
      </c>
      <c r="AI77" s="501">
        <f t="shared" si="22"/>
        <v>0</v>
      </c>
      <c r="AJ77" s="501">
        <f t="shared" si="22"/>
        <v>0</v>
      </c>
      <c r="AK77" s="501">
        <f t="shared" si="22"/>
        <v>0</v>
      </c>
      <c r="AL77" s="1016">
        <f t="shared" si="22"/>
        <v>0</v>
      </c>
    </row>
    <row r="78" spans="2:38" ht="14.4" outlineLevel="1" x14ac:dyDescent="0.3">
      <c r="B78" s="602" t="s">
        <v>171</v>
      </c>
      <c r="C78" s="603" t="s">
        <v>172</v>
      </c>
      <c r="D78" s="603" t="s">
        <v>494</v>
      </c>
      <c r="E78" s="604" t="s">
        <v>174</v>
      </c>
      <c r="F78" s="604" t="s">
        <v>496</v>
      </c>
      <c r="G78" s="604" t="s">
        <v>499</v>
      </c>
      <c r="H78" s="604" t="s">
        <v>497</v>
      </c>
      <c r="I78" s="603" t="s">
        <v>495</v>
      </c>
      <c r="J78" s="616"/>
      <c r="AF78" s="379"/>
      <c r="AG78" s="806">
        <f>C55</f>
        <v>8472925</v>
      </c>
      <c r="AH78" s="380">
        <f>SUM(AH61:AH77)</f>
        <v>0</v>
      </c>
      <c r="AI78" s="380">
        <f t="shared" si="22"/>
        <v>1350000</v>
      </c>
      <c r="AJ78" s="380">
        <f t="shared" si="22"/>
        <v>1871935</v>
      </c>
      <c r="AK78" s="380">
        <f t="shared" si="22"/>
        <v>612591</v>
      </c>
      <c r="AL78" s="1017">
        <f t="shared" si="22"/>
        <v>320000</v>
      </c>
    </row>
    <row r="79" spans="2:38" ht="15" outlineLevel="1" thickBot="1" x14ac:dyDescent="0.35">
      <c r="B79" s="607"/>
      <c r="C79" s="608">
        <v>0</v>
      </c>
      <c r="D79" s="608">
        <v>0</v>
      </c>
      <c r="E79" s="609" t="s">
        <v>43</v>
      </c>
      <c r="F79" s="611">
        <v>0</v>
      </c>
      <c r="G79" s="612">
        <v>0</v>
      </c>
      <c r="H79" s="503">
        <f>IFERROR(IF(E79=Lists!$H$3,PMT(F79/12,G79,-C79),D79),D79)</f>
        <v>0</v>
      </c>
      <c r="I79" s="610">
        <f t="shared" ref="I79:I91" si="23">IFERROR((D79-H79)/D79,0)</f>
        <v>0</v>
      </c>
      <c r="J79" s="616"/>
      <c r="AF79" s="205"/>
      <c r="AG79" s="1018">
        <f t="shared" ref="AG79" si="24">IFERROR(AG78/$C$55,0)</f>
        <v>1</v>
      </c>
      <c r="AH79" s="1019">
        <f>IFERROR(AH78/$C$55,0)</f>
        <v>0</v>
      </c>
      <c r="AI79" s="1019">
        <f t="shared" si="22"/>
        <v>0.15933104565424572</v>
      </c>
      <c r="AJ79" s="1019">
        <f t="shared" si="22"/>
        <v>0.22093137847909666</v>
      </c>
      <c r="AK79" s="1019">
        <f t="shared" si="22"/>
        <v>7.229982562102226E-2</v>
      </c>
      <c r="AL79" s="1020">
        <f t="shared" si="22"/>
        <v>3.7767358969895283E-2</v>
      </c>
    </row>
    <row r="80" spans="2:38" ht="14.4" outlineLevel="1" x14ac:dyDescent="0.3">
      <c r="B80" s="607"/>
      <c r="C80" s="608">
        <v>0</v>
      </c>
      <c r="D80" s="608">
        <v>0</v>
      </c>
      <c r="E80" s="609" t="s">
        <v>43</v>
      </c>
      <c r="F80" s="611">
        <v>0</v>
      </c>
      <c r="G80" s="612">
        <v>0</v>
      </c>
      <c r="H80" s="503">
        <f>IFERROR(IF(E80=Lists!$H$3,PMT(F80/12,G80,-C80),D80),D80)</f>
        <v>0</v>
      </c>
      <c r="I80" s="610">
        <f t="shared" si="23"/>
        <v>0</v>
      </c>
      <c r="J80" s="616"/>
    </row>
    <row r="81" spans="2:12" ht="14.4" outlineLevel="1" x14ac:dyDescent="0.3">
      <c r="B81" s="607"/>
      <c r="C81" s="608">
        <v>0</v>
      </c>
      <c r="D81" s="608">
        <v>0</v>
      </c>
      <c r="E81" s="609" t="s">
        <v>43</v>
      </c>
      <c r="F81" s="611">
        <v>0</v>
      </c>
      <c r="G81" s="612">
        <v>0</v>
      </c>
      <c r="H81" s="503">
        <f>IFERROR(IF(E81=Lists!$H$3,PMT(F81/12,G81,-C81),D81),D81)</f>
        <v>0</v>
      </c>
      <c r="I81" s="610">
        <f t="shared" si="23"/>
        <v>0</v>
      </c>
      <c r="J81" s="616"/>
    </row>
    <row r="82" spans="2:12" ht="14.4" outlineLevel="1" x14ac:dyDescent="0.3">
      <c r="B82" s="607"/>
      <c r="C82" s="608">
        <v>0</v>
      </c>
      <c r="D82" s="608">
        <v>0</v>
      </c>
      <c r="E82" s="609" t="s">
        <v>43</v>
      </c>
      <c r="F82" s="611">
        <v>0</v>
      </c>
      <c r="G82" s="612">
        <v>0</v>
      </c>
      <c r="H82" s="503">
        <f>IFERROR(IF(E82=Lists!$H$3,PMT(F82/12,G82,-C82),D82),D82)</f>
        <v>0</v>
      </c>
      <c r="I82" s="610">
        <f t="shared" si="23"/>
        <v>0</v>
      </c>
      <c r="J82" s="616"/>
    </row>
    <row r="83" spans="2:12" ht="14.4" outlineLevel="1" x14ac:dyDescent="0.3">
      <c r="B83" s="607"/>
      <c r="C83" s="608">
        <v>0</v>
      </c>
      <c r="D83" s="608">
        <v>0</v>
      </c>
      <c r="E83" s="609" t="s">
        <v>43</v>
      </c>
      <c r="F83" s="611">
        <v>0</v>
      </c>
      <c r="G83" s="612">
        <v>0</v>
      </c>
      <c r="H83" s="503">
        <f>IFERROR(IF(E83=Lists!$H$3,PMT(F83/12,G83,-C83),D83),D83)</f>
        <v>0</v>
      </c>
      <c r="I83" s="610">
        <f t="shared" si="23"/>
        <v>0</v>
      </c>
      <c r="J83" s="616"/>
    </row>
    <row r="84" spans="2:12" ht="14.4" outlineLevel="1" x14ac:dyDescent="0.3">
      <c r="B84" s="607"/>
      <c r="C84" s="608">
        <v>0</v>
      </c>
      <c r="D84" s="608">
        <v>0</v>
      </c>
      <c r="E84" s="609" t="s">
        <v>43</v>
      </c>
      <c r="F84" s="611">
        <v>0</v>
      </c>
      <c r="G84" s="612">
        <v>0</v>
      </c>
      <c r="H84" s="503">
        <f>IFERROR(IF(E84=Lists!$H$3,PMT(F84/12,G84,-C84),D84),D84)</f>
        <v>0</v>
      </c>
      <c r="I84" s="610">
        <f t="shared" si="23"/>
        <v>0</v>
      </c>
      <c r="J84" s="616"/>
    </row>
    <row r="85" spans="2:12" ht="14.4" outlineLevel="1" x14ac:dyDescent="0.3">
      <c r="B85" s="607"/>
      <c r="C85" s="608">
        <v>0</v>
      </c>
      <c r="D85" s="608">
        <v>0</v>
      </c>
      <c r="E85" s="609" t="s">
        <v>43</v>
      </c>
      <c r="F85" s="611">
        <v>0</v>
      </c>
      <c r="G85" s="612">
        <v>0</v>
      </c>
      <c r="H85" s="503">
        <f>IFERROR(IF(E85=Lists!$H$3,PMT(F85/12,G85,-C85),D85),D85)</f>
        <v>0</v>
      </c>
      <c r="I85" s="610">
        <f t="shared" si="23"/>
        <v>0</v>
      </c>
      <c r="J85" s="616"/>
    </row>
    <row r="86" spans="2:12" ht="14.4" outlineLevel="1" x14ac:dyDescent="0.3">
      <c r="B86" s="607"/>
      <c r="C86" s="608">
        <v>0</v>
      </c>
      <c r="D86" s="608">
        <v>0</v>
      </c>
      <c r="E86" s="609" t="s">
        <v>43</v>
      </c>
      <c r="F86" s="611">
        <v>0</v>
      </c>
      <c r="G86" s="612">
        <v>0</v>
      </c>
      <c r="H86" s="503">
        <f>IFERROR(IF(E86=Lists!$H$3,PMT(F86/12,G86,-C86),D86),D86)</f>
        <v>0</v>
      </c>
      <c r="I86" s="610">
        <f t="shared" si="23"/>
        <v>0</v>
      </c>
      <c r="J86" s="616"/>
    </row>
    <row r="87" spans="2:12" ht="14.4" outlineLevel="1" x14ac:dyDescent="0.3">
      <c r="B87" s="607"/>
      <c r="C87" s="608">
        <v>0</v>
      </c>
      <c r="D87" s="608">
        <v>0</v>
      </c>
      <c r="E87" s="609" t="s">
        <v>43</v>
      </c>
      <c r="F87" s="611">
        <v>0</v>
      </c>
      <c r="G87" s="612">
        <v>0</v>
      </c>
      <c r="H87" s="503">
        <f>IFERROR(IF(E87=Lists!$H$3,PMT(F87/12,G87,-C87),D87),D87)</f>
        <v>0</v>
      </c>
      <c r="I87" s="610">
        <f t="shared" si="23"/>
        <v>0</v>
      </c>
      <c r="J87" s="616"/>
    </row>
    <row r="88" spans="2:12" ht="14.4" outlineLevel="1" x14ac:dyDescent="0.3">
      <c r="B88" s="607"/>
      <c r="C88" s="608">
        <v>0</v>
      </c>
      <c r="D88" s="608">
        <v>0</v>
      </c>
      <c r="E88" s="609" t="s">
        <v>43</v>
      </c>
      <c r="F88" s="611">
        <v>0</v>
      </c>
      <c r="G88" s="612">
        <v>0</v>
      </c>
      <c r="H88" s="503">
        <f>IFERROR(IF(E88=Lists!$H$3,PMT(F88/12,G88,-C88),D88),D88)</f>
        <v>0</v>
      </c>
      <c r="I88" s="610">
        <f t="shared" si="23"/>
        <v>0</v>
      </c>
      <c r="J88" s="616"/>
    </row>
    <row r="89" spans="2:12" ht="14.4" outlineLevel="1" x14ac:dyDescent="0.3">
      <c r="B89" s="607"/>
      <c r="C89" s="608">
        <v>0</v>
      </c>
      <c r="D89" s="608">
        <v>0</v>
      </c>
      <c r="E89" s="609" t="s">
        <v>43</v>
      </c>
      <c r="F89" s="611">
        <v>0</v>
      </c>
      <c r="G89" s="612">
        <v>0</v>
      </c>
      <c r="H89" s="503">
        <f>IFERROR(IF(E89=Lists!$H$3,PMT(F89/12,G89,-C89),D89),D89)</f>
        <v>0</v>
      </c>
      <c r="I89" s="610">
        <f t="shared" si="23"/>
        <v>0</v>
      </c>
      <c r="J89" s="616"/>
    </row>
    <row r="90" spans="2:12" ht="14.4" outlineLevel="1" x14ac:dyDescent="0.3">
      <c r="B90" s="607"/>
      <c r="C90" s="608">
        <v>0</v>
      </c>
      <c r="D90" s="608">
        <v>0</v>
      </c>
      <c r="E90" s="609" t="s">
        <v>43</v>
      </c>
      <c r="F90" s="611">
        <v>0</v>
      </c>
      <c r="G90" s="612">
        <v>0</v>
      </c>
      <c r="H90" s="503">
        <f>IFERROR(IF(E90=Lists!$H$3,PMT(F90/12,G90,-C90),D90),D90)</f>
        <v>0</v>
      </c>
      <c r="I90" s="610">
        <f t="shared" si="23"/>
        <v>0</v>
      </c>
      <c r="J90" s="616"/>
    </row>
    <row r="91" spans="2:12" ht="14.4" outlineLevel="1" x14ac:dyDescent="0.3">
      <c r="B91" s="607"/>
      <c r="C91" s="608">
        <v>0</v>
      </c>
      <c r="D91" s="608">
        <v>0</v>
      </c>
      <c r="E91" s="609" t="s">
        <v>43</v>
      </c>
      <c r="F91" s="611">
        <v>0</v>
      </c>
      <c r="G91" s="612">
        <v>0</v>
      </c>
      <c r="H91" s="503">
        <f>IFERROR(IF(E91=Lists!$H$3,PMT(F91/12,G91,-C91),D91),D91)</f>
        <v>0</v>
      </c>
      <c r="I91" s="610">
        <f t="shared" si="23"/>
        <v>0</v>
      </c>
      <c r="J91" s="616"/>
    </row>
    <row r="92" spans="2:12" ht="14.4" outlineLevel="1" x14ac:dyDescent="0.3">
      <c r="B92" s="504" t="s">
        <v>8</v>
      </c>
      <c r="C92" s="605">
        <f>SUM(C79:C91)</f>
        <v>0</v>
      </c>
      <c r="D92" s="605">
        <f>SUM(D79:D91)</f>
        <v>0</v>
      </c>
      <c r="E92" s="614"/>
      <c r="F92" s="614"/>
      <c r="G92" s="615" t="s">
        <v>498</v>
      </c>
      <c r="H92" s="605">
        <f>SUM(H79:H91)</f>
        <v>0</v>
      </c>
      <c r="I92" s="614"/>
      <c r="J92" s="616"/>
    </row>
    <row r="93" spans="2:12" ht="14.4" outlineLevel="1" x14ac:dyDescent="0.3">
      <c r="B93" s="601"/>
      <c r="C93" s="613"/>
      <c r="D93" s="613"/>
      <c r="E93" s="613"/>
      <c r="F93" s="614"/>
      <c r="G93" s="615" t="s">
        <v>560</v>
      </c>
      <c r="H93" s="605">
        <f>SUMIFS(H79:H91,E79:E91,"&lt;&gt;Yes")</f>
        <v>0</v>
      </c>
      <c r="I93" s="614"/>
      <c r="J93" s="616"/>
    </row>
    <row r="94" spans="2:12" ht="13.8" customHeight="1" outlineLevel="1" thickBot="1" x14ac:dyDescent="0.35">
      <c r="B94" s="606"/>
      <c r="C94" s="619"/>
      <c r="D94" s="619"/>
      <c r="E94" s="618"/>
      <c r="F94" s="618"/>
      <c r="G94" s="620"/>
      <c r="H94" s="620"/>
      <c r="I94" s="618"/>
      <c r="J94" s="617"/>
    </row>
    <row r="95" spans="2:12" ht="13.8" customHeight="1" outlineLevel="1" thickBot="1" x14ac:dyDescent="0.35">
      <c r="B95" s="395"/>
      <c r="C95" s="396"/>
    </row>
    <row r="96" spans="2:12" ht="16.2" thickBot="1" x14ac:dyDescent="0.35">
      <c r="B96" s="168" t="s">
        <v>126</v>
      </c>
      <c r="C96" s="169"/>
      <c r="D96" s="169"/>
      <c r="E96" s="169"/>
      <c r="F96" s="169"/>
      <c r="G96" s="169"/>
      <c r="H96" s="169"/>
      <c r="I96" s="169"/>
      <c r="J96" s="169"/>
      <c r="K96" s="169"/>
      <c r="L96" s="170"/>
    </row>
    <row r="97" spans="2:21" ht="16.2" customHeight="1" thickBot="1" x14ac:dyDescent="0.35">
      <c r="B97" s="1273" t="s">
        <v>128</v>
      </c>
      <c r="C97" s="1274"/>
      <c r="D97" s="1274"/>
      <c r="E97" s="1274"/>
      <c r="F97" s="1274"/>
      <c r="G97" s="1274"/>
      <c r="H97" s="1274"/>
      <c r="I97" s="1274"/>
      <c r="J97" s="1274"/>
      <c r="K97" s="1274"/>
      <c r="L97" s="1275"/>
    </row>
    <row r="98" spans="2:21" ht="14.4" x14ac:dyDescent="0.3">
      <c r="B98" s="401"/>
      <c r="C98" s="1186"/>
      <c r="D98" s="315"/>
      <c r="E98" s="315"/>
      <c r="F98" s="315"/>
      <c r="G98" s="315"/>
      <c r="H98" s="315"/>
      <c r="I98" s="315"/>
      <c r="J98" s="315"/>
      <c r="K98" s="315"/>
      <c r="L98" s="562"/>
      <c r="N98" s="397"/>
      <c r="O98" s="397"/>
      <c r="P98" s="397"/>
      <c r="Q98" s="397"/>
      <c r="R98" s="397"/>
      <c r="S98" s="398"/>
      <c r="U98" s="1276" t="s">
        <v>490</v>
      </c>
    </row>
    <row r="99" spans="2:21" ht="14.4" customHeight="1" outlineLevel="1" x14ac:dyDescent="0.3">
      <c r="B99" s="402" t="s">
        <v>132</v>
      </c>
      <c r="C99" s="393"/>
      <c r="D99" s="515">
        <v>45291</v>
      </c>
      <c r="E99" s="389"/>
      <c r="F99" s="515">
        <f>EOMONTH(D99,F100)</f>
        <v>45657</v>
      </c>
      <c r="G99" s="389"/>
      <c r="H99" s="515">
        <f>EOMONTH(F99,H100)</f>
        <v>46022</v>
      </c>
      <c r="I99" s="389"/>
      <c r="J99" s="515">
        <f>EOMONTH(H99,J100)</f>
        <v>46142</v>
      </c>
      <c r="K99" s="176"/>
      <c r="L99" s="178"/>
      <c r="N99" s="399"/>
      <c r="O99" s="404" t="s">
        <v>133</v>
      </c>
      <c r="P99" s="399"/>
      <c r="Q99" s="404" t="s">
        <v>133</v>
      </c>
      <c r="R99" s="399"/>
      <c r="S99" s="400"/>
      <c r="U99" s="1277"/>
    </row>
    <row r="100" spans="2:21" ht="14.4" outlineLevel="1" x14ac:dyDescent="0.3">
      <c r="B100" s="402" t="s">
        <v>134</v>
      </c>
      <c r="C100" s="393"/>
      <c r="D100" s="516">
        <v>12</v>
      </c>
      <c r="E100" s="406"/>
      <c r="F100" s="516">
        <v>12</v>
      </c>
      <c r="G100" s="406"/>
      <c r="H100" s="516">
        <v>12</v>
      </c>
      <c r="I100" s="406"/>
      <c r="J100" s="516">
        <v>4</v>
      </c>
      <c r="K100" s="407"/>
      <c r="L100" s="408"/>
      <c r="N100" s="399"/>
      <c r="O100" s="405" t="s">
        <v>135</v>
      </c>
      <c r="P100" s="399"/>
      <c r="Q100" s="405" t="s">
        <v>135</v>
      </c>
      <c r="R100" s="399"/>
      <c r="S100" s="400"/>
      <c r="U100" s="1277"/>
    </row>
    <row r="101" spans="2:21" ht="14.4" outlineLevel="1" x14ac:dyDescent="0.3">
      <c r="B101" s="402" t="s">
        <v>136</v>
      </c>
      <c r="C101" s="393"/>
      <c r="D101" s="517" t="s">
        <v>137</v>
      </c>
      <c r="E101" s="409"/>
      <c r="F101" s="517" t="s">
        <v>137</v>
      </c>
      <c r="G101" s="409"/>
      <c r="H101" s="517" t="s">
        <v>138</v>
      </c>
      <c r="I101" s="409"/>
      <c r="J101" s="517" t="s">
        <v>138</v>
      </c>
      <c r="K101" s="407"/>
      <c r="L101" s="408"/>
      <c r="N101" s="399"/>
      <c r="O101" s="520" t="s">
        <v>139</v>
      </c>
      <c r="P101" s="399"/>
      <c r="Q101" s="520" t="s">
        <v>139</v>
      </c>
      <c r="R101" s="399"/>
      <c r="S101" s="400"/>
      <c r="U101" s="1277"/>
    </row>
    <row r="102" spans="2:21" ht="14.4" outlineLevel="1" x14ac:dyDescent="0.3">
      <c r="B102" s="402" t="s">
        <v>140</v>
      </c>
      <c r="C102" s="393"/>
      <c r="D102" s="517" t="s">
        <v>295</v>
      </c>
      <c r="E102" s="409"/>
      <c r="F102" s="517" t="s">
        <v>295</v>
      </c>
      <c r="G102" s="409"/>
      <c r="H102" s="517" t="s">
        <v>295</v>
      </c>
      <c r="I102" s="409"/>
      <c r="J102" s="517" t="s">
        <v>298</v>
      </c>
      <c r="K102" s="407"/>
      <c r="L102" s="408"/>
      <c r="N102" s="399"/>
      <c r="O102" s="521">
        <v>1</v>
      </c>
      <c r="P102" s="399"/>
      <c r="Q102" s="521">
        <v>2</v>
      </c>
      <c r="R102" s="399"/>
      <c r="S102" s="400"/>
      <c r="U102" s="1277"/>
    </row>
    <row r="103" spans="2:21" ht="14.4" outlineLevel="1" x14ac:dyDescent="0.3">
      <c r="B103" s="313"/>
      <c r="C103" s="314"/>
      <c r="D103" s="410"/>
      <c r="E103" s="410"/>
      <c r="F103" s="410"/>
      <c r="G103" s="410"/>
      <c r="H103" s="410"/>
      <c r="I103" s="410"/>
      <c r="J103" s="411">
        <f>(J104/J100)*12</f>
        <v>94004760</v>
      </c>
      <c r="K103" s="412"/>
      <c r="L103" s="413"/>
      <c r="N103" s="399"/>
      <c r="O103" s="399"/>
      <c r="P103" s="399"/>
      <c r="Q103" s="399"/>
      <c r="R103" s="399"/>
      <c r="S103" s="400"/>
      <c r="U103" s="1277"/>
    </row>
    <row r="104" spans="2:21" ht="14.4" outlineLevel="1" x14ac:dyDescent="0.3">
      <c r="B104" s="175"/>
      <c r="C104" s="204" t="s">
        <v>141</v>
      </c>
      <c r="D104" s="518">
        <v>29649370</v>
      </c>
      <c r="E104" s="414">
        <f>IF(D$104=0,0,D104/D$104)</f>
        <v>1</v>
      </c>
      <c r="F104" s="518">
        <v>43335889</v>
      </c>
      <c r="G104" s="414">
        <f>IF(F$104=0,0,F104/F$104)</f>
        <v>1</v>
      </c>
      <c r="H104" s="518">
        <v>66978891</v>
      </c>
      <c r="I104" s="414">
        <f>IF(H$104=0,0,H104/H$104)</f>
        <v>1</v>
      </c>
      <c r="J104" s="518">
        <v>31334920</v>
      </c>
      <c r="K104" s="415">
        <f>IF(J$104=0,0,J104/J$104)</f>
        <v>1</v>
      </c>
      <c r="L104" s="416"/>
      <c r="N104" s="417" t="s">
        <v>141</v>
      </c>
      <c r="O104" s="518">
        <v>6030320</v>
      </c>
      <c r="P104" s="418">
        <f>IF(O$104=0,0,O104/O$104)</f>
        <v>1</v>
      </c>
      <c r="Q104" s="518">
        <v>7130112</v>
      </c>
      <c r="R104" s="418">
        <f>IF(Q$104=0,0,Q104/Q$104)</f>
        <v>1</v>
      </c>
      <c r="S104" s="400"/>
      <c r="U104" s="1277"/>
    </row>
    <row r="105" spans="2:21" ht="14.4" outlineLevel="1" x14ac:dyDescent="0.3">
      <c r="B105" s="203"/>
      <c r="C105" s="204" t="s">
        <v>142</v>
      </c>
      <c r="D105" s="519">
        <v>26862626</v>
      </c>
      <c r="E105" s="414">
        <f>IF(D$104=0,0,D105/D$104)</f>
        <v>0.90601000965619172</v>
      </c>
      <c r="F105" s="519">
        <v>39325395</v>
      </c>
      <c r="G105" s="414">
        <f>IF(F$104=0,0,F105/F$104)</f>
        <v>0.90745559644570806</v>
      </c>
      <c r="H105" s="519">
        <v>62627088</v>
      </c>
      <c r="I105" s="414">
        <f>IF(H$104=0,0,H105/H$104)</f>
        <v>0.93502724612146837</v>
      </c>
      <c r="J105" s="519">
        <v>27540075</v>
      </c>
      <c r="K105" s="415">
        <f>IF(J$104=0,0,J105/J$104)</f>
        <v>0.87889405813067334</v>
      </c>
      <c r="L105" s="416"/>
      <c r="N105" s="417" t="s">
        <v>142</v>
      </c>
      <c r="O105" s="519">
        <v>0</v>
      </c>
      <c r="P105" s="418">
        <f>IF(O$104=0,0,O105/O$104)</f>
        <v>0</v>
      </c>
      <c r="Q105" s="519">
        <v>0</v>
      </c>
      <c r="R105" s="418">
        <f>IF(Q$104=0,0,Q105/Q$104)</f>
        <v>0</v>
      </c>
      <c r="S105" s="400"/>
      <c r="U105" s="1277"/>
    </row>
    <row r="106" spans="2:21" ht="14.4" outlineLevel="1" x14ac:dyDescent="0.3">
      <c r="B106" s="203"/>
      <c r="C106" s="204" t="s">
        <v>143</v>
      </c>
      <c r="D106" s="419">
        <f>D104-D105</f>
        <v>2786744</v>
      </c>
      <c r="E106" s="414">
        <f>IF(D$104=0,0,D106/D$104)</f>
        <v>9.3989990343808311E-2</v>
      </c>
      <c r="F106" s="419">
        <f>F104-F105</f>
        <v>4010494</v>
      </c>
      <c r="G106" s="414">
        <f>IF(F$104=0,0,F106/F$104)</f>
        <v>9.2544403554291915E-2</v>
      </c>
      <c r="H106" s="419">
        <f>H104-H105</f>
        <v>4351803</v>
      </c>
      <c r="I106" s="414">
        <f>IF(H$104=0,0,H106/H$104)</f>
        <v>6.4972753878531672E-2</v>
      </c>
      <c r="J106" s="419">
        <f>J104-J105</f>
        <v>3794845</v>
      </c>
      <c r="K106" s="415">
        <f>IF(J$104=0,0,J106/J$104)</f>
        <v>0.12110594186932662</v>
      </c>
      <c r="L106" s="416"/>
      <c r="N106" s="417" t="s">
        <v>143</v>
      </c>
      <c r="O106" s="419">
        <f>O104-O105</f>
        <v>6030320</v>
      </c>
      <c r="P106" s="418">
        <f>IF(O$104=0,0,O106/O$104)</f>
        <v>1</v>
      </c>
      <c r="Q106" s="419">
        <f>Q104-Q105</f>
        <v>7130112</v>
      </c>
      <c r="R106" s="418">
        <f>IF(Q$104=0,0,Q106/Q$104)</f>
        <v>1</v>
      </c>
      <c r="S106" s="400"/>
      <c r="U106" s="1277"/>
    </row>
    <row r="107" spans="2:21" ht="14.4" outlineLevel="1" x14ac:dyDescent="0.3">
      <c r="B107" s="203"/>
      <c r="C107" s="420"/>
      <c r="D107" s="421"/>
      <c r="E107" s="422"/>
      <c r="F107" s="421"/>
      <c r="G107" s="422"/>
      <c r="H107" s="421"/>
      <c r="I107" s="422"/>
      <c r="J107" s="421"/>
      <c r="K107" s="422"/>
      <c r="L107" s="423"/>
      <c r="N107" s="417"/>
      <c r="O107" s="424"/>
      <c r="P107" s="418"/>
      <c r="Q107" s="424"/>
      <c r="R107" s="418"/>
      <c r="S107" s="400"/>
      <c r="U107" s="1277"/>
    </row>
    <row r="108" spans="2:21" ht="14.4" outlineLevel="1" x14ac:dyDescent="0.3">
      <c r="B108" s="203"/>
      <c r="C108" s="204" t="s">
        <v>144</v>
      </c>
      <c r="D108" s="518">
        <v>437000</v>
      </c>
      <c r="E108" s="414">
        <f t="shared" ref="E108:E121" si="25">IF(D$104=0,0,D108/D$104)</f>
        <v>1.4738930371876367E-2</v>
      </c>
      <c r="F108" s="518">
        <v>450750</v>
      </c>
      <c r="G108" s="414">
        <f t="shared" ref="G108:G121" si="26">IF(F$104=0,0,F108/F$104)</f>
        <v>1.0401309639684558E-2</v>
      </c>
      <c r="H108" s="518">
        <v>525000</v>
      </c>
      <c r="I108" s="414">
        <f t="shared" ref="I108:I121" si="27">IF(H$104=0,0,H108/H$104)</f>
        <v>7.8382904249638882E-3</v>
      </c>
      <c r="J108" s="518">
        <v>0</v>
      </c>
      <c r="K108" s="415">
        <f t="shared" ref="K108:K121" si="28">IF(J$104=0,0,J108/J$104)</f>
        <v>0</v>
      </c>
      <c r="L108" s="416"/>
      <c r="N108" s="425" t="s">
        <v>144</v>
      </c>
      <c r="O108" s="518">
        <v>0</v>
      </c>
      <c r="P108" s="418">
        <f t="shared" ref="P108:P121" si="29">IF(O$104=0,0,O108/O$104)</f>
        <v>0</v>
      </c>
      <c r="Q108" s="518">
        <v>0</v>
      </c>
      <c r="R108" s="418">
        <f t="shared" ref="R108:R121" si="30">IF(Q$104=0,0,Q108/Q$104)</f>
        <v>0</v>
      </c>
      <c r="S108" s="400"/>
      <c r="U108" s="1277"/>
    </row>
    <row r="109" spans="2:21" ht="14.4" outlineLevel="1" x14ac:dyDescent="0.3">
      <c r="B109" s="203"/>
      <c r="C109" s="204" t="s">
        <v>145</v>
      </c>
      <c r="D109" s="519">
        <v>96749</v>
      </c>
      <c r="E109" s="414">
        <f t="shared" si="25"/>
        <v>3.2631047472509536E-3</v>
      </c>
      <c r="F109" s="519">
        <v>213818</v>
      </c>
      <c r="G109" s="414">
        <f t="shared" si="26"/>
        <v>4.9339705480600619E-3</v>
      </c>
      <c r="H109" s="519">
        <v>304175</v>
      </c>
      <c r="I109" s="414">
        <f t="shared" si="27"/>
        <v>4.5413561714540782E-3</v>
      </c>
      <c r="J109" s="519">
        <v>1341428</v>
      </c>
      <c r="K109" s="415">
        <f t="shared" si="28"/>
        <v>4.2809364121561506E-2</v>
      </c>
      <c r="L109" s="416"/>
      <c r="N109" s="425" t="s">
        <v>145</v>
      </c>
      <c r="O109" s="519">
        <v>0</v>
      </c>
      <c r="P109" s="418">
        <f t="shared" si="29"/>
        <v>0</v>
      </c>
      <c r="Q109" s="519">
        <v>0</v>
      </c>
      <c r="R109" s="418">
        <f t="shared" si="30"/>
        <v>0</v>
      </c>
      <c r="S109" s="400"/>
      <c r="U109" s="1277"/>
    </row>
    <row r="110" spans="2:21" ht="14.4" outlineLevel="1" x14ac:dyDescent="0.3">
      <c r="B110" s="203"/>
      <c r="C110" s="204" t="s">
        <v>146</v>
      </c>
      <c r="D110" s="519">
        <v>6754</v>
      </c>
      <c r="E110" s="414">
        <f t="shared" si="25"/>
        <v>2.2779573393970934E-4</v>
      </c>
      <c r="F110" s="519">
        <v>7338</v>
      </c>
      <c r="G110" s="414">
        <f t="shared" si="26"/>
        <v>1.6932847506601284E-4</v>
      </c>
      <c r="H110" s="519">
        <v>6985</v>
      </c>
      <c r="I110" s="414">
        <f t="shared" si="27"/>
        <v>1.0428658784451955E-4</v>
      </c>
      <c r="J110" s="519">
        <v>0</v>
      </c>
      <c r="K110" s="415">
        <f t="shared" si="28"/>
        <v>0</v>
      </c>
      <c r="L110" s="416"/>
      <c r="N110" s="425" t="s">
        <v>146</v>
      </c>
      <c r="O110" s="519">
        <v>0</v>
      </c>
      <c r="P110" s="418">
        <f t="shared" si="29"/>
        <v>0</v>
      </c>
      <c r="Q110" s="519">
        <v>0</v>
      </c>
      <c r="R110" s="418">
        <f t="shared" si="30"/>
        <v>0</v>
      </c>
      <c r="S110" s="400"/>
      <c r="U110" s="1277"/>
    </row>
    <row r="111" spans="2:21" ht="14.4" outlineLevel="1" x14ac:dyDescent="0.3">
      <c r="B111" s="203"/>
      <c r="C111" s="204" t="s">
        <v>147</v>
      </c>
      <c r="D111" s="519">
        <v>0</v>
      </c>
      <c r="E111" s="414">
        <f t="shared" si="25"/>
        <v>0</v>
      </c>
      <c r="F111" s="519">
        <v>0</v>
      </c>
      <c r="G111" s="414">
        <f t="shared" si="26"/>
        <v>0</v>
      </c>
      <c r="H111" s="519">
        <v>77995</v>
      </c>
      <c r="I111" s="414">
        <f t="shared" si="27"/>
        <v>1.1644713556096353E-3</v>
      </c>
      <c r="J111" s="519">
        <v>1082</v>
      </c>
      <c r="K111" s="415">
        <f t="shared" si="28"/>
        <v>3.4530166344768075E-5</v>
      </c>
      <c r="L111" s="416"/>
      <c r="N111" s="425" t="s">
        <v>147</v>
      </c>
      <c r="O111" s="519">
        <v>0</v>
      </c>
      <c r="P111" s="418">
        <f t="shared" si="29"/>
        <v>0</v>
      </c>
      <c r="Q111" s="519">
        <v>0</v>
      </c>
      <c r="R111" s="418">
        <f t="shared" si="30"/>
        <v>0</v>
      </c>
      <c r="S111" s="400"/>
      <c r="U111" s="1277"/>
    </row>
    <row r="112" spans="2:21" ht="14.4" outlineLevel="1" x14ac:dyDescent="0.3">
      <c r="B112" s="203"/>
      <c r="C112" s="204" t="s">
        <v>148</v>
      </c>
      <c r="D112" s="519">
        <v>87300</v>
      </c>
      <c r="E112" s="414">
        <f t="shared" si="25"/>
        <v>2.9444133214297638E-3</v>
      </c>
      <c r="F112" s="519">
        <v>107250</v>
      </c>
      <c r="G112" s="414">
        <f t="shared" si="26"/>
        <v>2.4748540407236136E-3</v>
      </c>
      <c r="H112" s="519">
        <v>90750</v>
      </c>
      <c r="I112" s="414">
        <f t="shared" si="27"/>
        <v>1.354904487743758E-3</v>
      </c>
      <c r="J112" s="519">
        <v>99000</v>
      </c>
      <c r="K112" s="415">
        <f t="shared" si="28"/>
        <v>3.1594144807135299E-3</v>
      </c>
      <c r="L112" s="416"/>
      <c r="N112" s="425" t="s">
        <v>148</v>
      </c>
      <c r="O112" s="519">
        <v>0</v>
      </c>
      <c r="P112" s="418">
        <f t="shared" si="29"/>
        <v>0</v>
      </c>
      <c r="Q112" s="519">
        <v>0</v>
      </c>
      <c r="R112" s="418">
        <f t="shared" si="30"/>
        <v>0</v>
      </c>
      <c r="S112" s="400"/>
      <c r="U112" s="1277"/>
    </row>
    <row r="113" spans="2:22" ht="14.4" outlineLevel="1" x14ac:dyDescent="0.3">
      <c r="B113" s="203"/>
      <c r="C113" s="204" t="s">
        <v>149</v>
      </c>
      <c r="D113" s="519">
        <v>299706</v>
      </c>
      <c r="E113" s="414">
        <f t="shared" si="25"/>
        <v>1.01083429428686E-2</v>
      </c>
      <c r="F113" s="519">
        <v>275870</v>
      </c>
      <c r="G113" s="414">
        <f t="shared" si="26"/>
        <v>6.3658553306706134E-3</v>
      </c>
      <c r="H113" s="519">
        <v>442180</v>
      </c>
      <c r="I113" s="414">
        <f t="shared" si="27"/>
        <v>6.6017814478295852E-3</v>
      </c>
      <c r="J113" s="519">
        <v>19140</v>
      </c>
      <c r="K113" s="415">
        <f t="shared" si="28"/>
        <v>6.1082013293794915E-4</v>
      </c>
      <c r="L113" s="416"/>
      <c r="N113" s="425" t="s">
        <v>149</v>
      </c>
      <c r="O113" s="519">
        <v>0</v>
      </c>
      <c r="P113" s="418">
        <f t="shared" si="29"/>
        <v>0</v>
      </c>
      <c r="Q113" s="519">
        <v>0</v>
      </c>
      <c r="R113" s="418">
        <f t="shared" si="30"/>
        <v>0</v>
      </c>
      <c r="S113" s="400"/>
      <c r="U113" s="1277"/>
    </row>
    <row r="114" spans="2:22" ht="14.4" outlineLevel="1" x14ac:dyDescent="0.3">
      <c r="B114" s="203"/>
      <c r="C114" s="204" t="s">
        <v>150</v>
      </c>
      <c r="D114" s="519">
        <v>14064</v>
      </c>
      <c r="E114" s="414">
        <f t="shared" si="25"/>
        <v>4.7434397425645129E-4</v>
      </c>
      <c r="F114" s="519">
        <v>757</v>
      </c>
      <c r="G114" s="414">
        <f t="shared" si="26"/>
        <v>1.7468200548510727E-5</v>
      </c>
      <c r="H114" s="519">
        <v>40393</v>
      </c>
      <c r="I114" s="414">
        <f t="shared" si="27"/>
        <v>6.0307060025822164E-4</v>
      </c>
      <c r="J114" s="519">
        <v>48753</v>
      </c>
      <c r="K114" s="415">
        <f t="shared" si="28"/>
        <v>1.5558680220022901E-3</v>
      </c>
      <c r="L114" s="416"/>
      <c r="N114" s="425" t="s">
        <v>150</v>
      </c>
      <c r="O114" s="519">
        <v>0</v>
      </c>
      <c r="P114" s="418">
        <f t="shared" si="29"/>
        <v>0</v>
      </c>
      <c r="Q114" s="519">
        <v>0</v>
      </c>
      <c r="R114" s="418">
        <f t="shared" si="30"/>
        <v>0</v>
      </c>
      <c r="S114" s="400"/>
      <c r="U114" s="1277"/>
      <c r="V114" s="358"/>
    </row>
    <row r="115" spans="2:22" ht="14.4" outlineLevel="1" x14ac:dyDescent="0.3">
      <c r="B115" s="203"/>
      <c r="C115" s="204" t="s">
        <v>151</v>
      </c>
      <c r="D115" s="519">
        <v>0</v>
      </c>
      <c r="E115" s="414">
        <f t="shared" si="25"/>
        <v>0</v>
      </c>
      <c r="F115" s="519">
        <v>0</v>
      </c>
      <c r="G115" s="414">
        <f t="shared" si="26"/>
        <v>0</v>
      </c>
      <c r="H115" s="519">
        <v>0</v>
      </c>
      <c r="I115" s="414">
        <f t="shared" si="27"/>
        <v>0</v>
      </c>
      <c r="J115" s="519">
        <v>0</v>
      </c>
      <c r="K115" s="415">
        <f t="shared" si="28"/>
        <v>0</v>
      </c>
      <c r="L115" s="416"/>
      <c r="N115" s="425" t="s">
        <v>151</v>
      </c>
      <c r="O115" s="519">
        <v>0</v>
      </c>
      <c r="P115" s="418">
        <f t="shared" si="29"/>
        <v>0</v>
      </c>
      <c r="Q115" s="519">
        <v>0</v>
      </c>
      <c r="R115" s="418">
        <f t="shared" si="30"/>
        <v>0</v>
      </c>
      <c r="S115" s="400"/>
      <c r="U115" s="1277"/>
    </row>
    <row r="116" spans="2:22" ht="14.4" outlineLevel="1" x14ac:dyDescent="0.3">
      <c r="B116" s="203"/>
      <c r="C116" s="204" t="s">
        <v>152</v>
      </c>
      <c r="D116" s="519">
        <v>850</v>
      </c>
      <c r="E116" s="414">
        <f t="shared" si="25"/>
        <v>2.8668400036830461E-5</v>
      </c>
      <c r="F116" s="519">
        <v>1325</v>
      </c>
      <c r="G116" s="414">
        <f t="shared" si="26"/>
        <v>3.0575119850431592E-5</v>
      </c>
      <c r="H116" s="519">
        <v>1443</v>
      </c>
      <c r="I116" s="414">
        <f t="shared" si="27"/>
        <v>2.1544101110900745E-5</v>
      </c>
      <c r="J116" s="519">
        <v>1445</v>
      </c>
      <c r="K116" s="415">
        <f t="shared" si="28"/>
        <v>4.6114686107384353E-5</v>
      </c>
      <c r="L116" s="416"/>
      <c r="N116" s="425" t="s">
        <v>152</v>
      </c>
      <c r="O116" s="519">
        <v>0</v>
      </c>
      <c r="P116" s="418">
        <f t="shared" si="29"/>
        <v>0</v>
      </c>
      <c r="Q116" s="519">
        <v>0</v>
      </c>
      <c r="R116" s="418">
        <f t="shared" si="30"/>
        <v>0</v>
      </c>
      <c r="S116" s="400"/>
      <c r="U116" s="1277"/>
    </row>
    <row r="117" spans="2:22" ht="14.4" outlineLevel="1" x14ac:dyDescent="0.3">
      <c r="B117" s="203"/>
      <c r="C117" s="1230" t="s">
        <v>153</v>
      </c>
      <c r="D117" s="519">
        <v>1104476</v>
      </c>
      <c r="E117" s="414">
        <f t="shared" si="25"/>
        <v>3.7251246822445135E-2</v>
      </c>
      <c r="F117" s="519">
        <v>1270957</v>
      </c>
      <c r="G117" s="414">
        <f t="shared" si="26"/>
        <v>2.9328047245090551E-2</v>
      </c>
      <c r="H117" s="519">
        <v>1282398</v>
      </c>
      <c r="I117" s="414">
        <f t="shared" si="27"/>
        <v>1.9146300884557793E-2</v>
      </c>
      <c r="J117" s="519">
        <v>1333645</v>
      </c>
      <c r="K117" s="415">
        <f t="shared" si="28"/>
        <v>4.256098308213329E-2</v>
      </c>
      <c r="L117" s="416"/>
      <c r="N117" s="425" t="s">
        <v>153</v>
      </c>
      <c r="O117" s="519">
        <v>4562213</v>
      </c>
      <c r="P117" s="418">
        <f t="shared" si="29"/>
        <v>0.75654575544913039</v>
      </c>
      <c r="Q117" s="519">
        <v>4862204</v>
      </c>
      <c r="R117" s="418">
        <f t="shared" si="30"/>
        <v>0.68192533301019675</v>
      </c>
      <c r="S117" s="400"/>
      <c r="U117" s="1277"/>
    </row>
    <row r="118" spans="2:22" ht="14.4" outlineLevel="1" collapsed="1" x14ac:dyDescent="0.3">
      <c r="B118" s="203"/>
      <c r="C118" s="1230" t="s">
        <v>153</v>
      </c>
      <c r="D118" s="519">
        <v>0</v>
      </c>
      <c r="E118" s="414">
        <f t="shared" si="25"/>
        <v>0</v>
      </c>
      <c r="F118" s="519">
        <v>0</v>
      </c>
      <c r="G118" s="414">
        <f t="shared" si="26"/>
        <v>0</v>
      </c>
      <c r="H118" s="519">
        <v>0</v>
      </c>
      <c r="I118" s="414">
        <f t="shared" si="27"/>
        <v>0</v>
      </c>
      <c r="J118" s="519">
        <v>0</v>
      </c>
      <c r="K118" s="415">
        <f t="shared" si="28"/>
        <v>0</v>
      </c>
      <c r="L118" s="416"/>
      <c r="N118" s="425" t="s">
        <v>153</v>
      </c>
      <c r="O118" s="519">
        <v>0</v>
      </c>
      <c r="P118" s="418">
        <f t="shared" si="29"/>
        <v>0</v>
      </c>
      <c r="Q118" s="519">
        <v>0</v>
      </c>
      <c r="R118" s="418">
        <f t="shared" si="30"/>
        <v>0</v>
      </c>
      <c r="S118" s="400"/>
      <c r="U118" s="1277"/>
    </row>
    <row r="119" spans="2:22" ht="14.4" outlineLevel="1" x14ac:dyDescent="0.3">
      <c r="B119" s="203"/>
      <c r="C119" s="1230" t="s">
        <v>153</v>
      </c>
      <c r="D119" s="519">
        <v>0</v>
      </c>
      <c r="E119" s="414">
        <f t="shared" si="25"/>
        <v>0</v>
      </c>
      <c r="F119" s="519">
        <v>0</v>
      </c>
      <c r="G119" s="414">
        <f t="shared" si="26"/>
        <v>0</v>
      </c>
      <c r="H119" s="519">
        <v>0</v>
      </c>
      <c r="I119" s="414">
        <f t="shared" si="27"/>
        <v>0</v>
      </c>
      <c r="J119" s="519">
        <v>0</v>
      </c>
      <c r="K119" s="415">
        <f t="shared" si="28"/>
        <v>0</v>
      </c>
      <c r="L119" s="416"/>
      <c r="N119" s="425" t="s">
        <v>153</v>
      </c>
      <c r="O119" s="519">
        <v>0</v>
      </c>
      <c r="P119" s="418">
        <f t="shared" si="29"/>
        <v>0</v>
      </c>
      <c r="Q119" s="519">
        <v>0</v>
      </c>
      <c r="R119" s="418">
        <f t="shared" si="30"/>
        <v>0</v>
      </c>
      <c r="S119" s="400"/>
      <c r="U119" s="1277"/>
    </row>
    <row r="120" spans="2:22" ht="14.4" outlineLevel="1" x14ac:dyDescent="0.3">
      <c r="B120" s="175"/>
      <c r="C120" s="1230" t="s">
        <v>153</v>
      </c>
      <c r="D120" s="519">
        <v>0</v>
      </c>
      <c r="E120" s="414">
        <f t="shared" si="25"/>
        <v>0</v>
      </c>
      <c r="F120" s="519">
        <v>0</v>
      </c>
      <c r="G120" s="414">
        <f t="shared" si="26"/>
        <v>0</v>
      </c>
      <c r="H120" s="519">
        <v>0</v>
      </c>
      <c r="I120" s="414">
        <f t="shared" si="27"/>
        <v>0</v>
      </c>
      <c r="J120" s="519">
        <v>0</v>
      </c>
      <c r="K120" s="415">
        <f t="shared" si="28"/>
        <v>0</v>
      </c>
      <c r="L120" s="416"/>
      <c r="N120" s="425" t="s">
        <v>153</v>
      </c>
      <c r="O120" s="519">
        <v>0</v>
      </c>
      <c r="P120" s="418">
        <f t="shared" si="29"/>
        <v>0</v>
      </c>
      <c r="Q120" s="519">
        <v>0</v>
      </c>
      <c r="R120" s="418">
        <f t="shared" si="30"/>
        <v>0</v>
      </c>
      <c r="S120" s="400"/>
      <c r="U120" s="1277"/>
    </row>
    <row r="121" spans="2:22" ht="14.4" outlineLevel="1" x14ac:dyDescent="0.3">
      <c r="B121" s="203"/>
      <c r="C121" s="420" t="s">
        <v>154</v>
      </c>
      <c r="D121" s="419">
        <f>SUM(D108:D120)</f>
        <v>2046899</v>
      </c>
      <c r="E121" s="414">
        <f t="shared" si="25"/>
        <v>6.9036846314103811E-2</v>
      </c>
      <c r="F121" s="419">
        <f>SUM(F108:F120)</f>
        <v>2328065</v>
      </c>
      <c r="G121" s="414">
        <f t="shared" si="26"/>
        <v>5.3721408599694355E-2</v>
      </c>
      <c r="H121" s="419">
        <f>SUM(H108:H120)</f>
        <v>2771319</v>
      </c>
      <c r="I121" s="414">
        <f t="shared" si="27"/>
        <v>4.1376006061372379E-2</v>
      </c>
      <c r="J121" s="419">
        <f>SUM(J108:J120)</f>
        <v>2844493</v>
      </c>
      <c r="K121" s="415">
        <f t="shared" si="28"/>
        <v>9.0777094691800717E-2</v>
      </c>
      <c r="L121" s="416"/>
      <c r="N121" s="417" t="s">
        <v>154</v>
      </c>
      <c r="O121" s="419">
        <f>SUM(O108:O120)</f>
        <v>4562213</v>
      </c>
      <c r="P121" s="418">
        <f t="shared" si="29"/>
        <v>0.75654575544913039</v>
      </c>
      <c r="Q121" s="419">
        <f>SUM(Q108:Q120)</f>
        <v>4862204</v>
      </c>
      <c r="R121" s="418">
        <f t="shared" si="30"/>
        <v>0.68192533301019675</v>
      </c>
      <c r="S121" s="400"/>
      <c r="U121" s="1277"/>
    </row>
    <row r="122" spans="2:22" ht="14.4" outlineLevel="1" x14ac:dyDescent="0.3">
      <c r="B122" s="203"/>
      <c r="C122" s="420"/>
      <c r="D122" s="427"/>
      <c r="E122" s="422"/>
      <c r="F122" s="427"/>
      <c r="G122" s="422"/>
      <c r="H122" s="427"/>
      <c r="I122" s="422"/>
      <c r="J122" s="427"/>
      <c r="K122" s="428"/>
      <c r="L122" s="423"/>
      <c r="N122" s="417"/>
      <c r="O122" s="429"/>
      <c r="P122" s="418"/>
      <c r="Q122" s="429"/>
      <c r="R122" s="418"/>
      <c r="S122" s="400"/>
      <c r="U122" s="1277"/>
    </row>
    <row r="123" spans="2:22" ht="14.4" outlineLevel="1" x14ac:dyDescent="0.3">
      <c r="B123" s="203"/>
      <c r="C123" s="420" t="s">
        <v>155</v>
      </c>
      <c r="D123" s="419">
        <f>D106-D121</f>
        <v>739845</v>
      </c>
      <c r="E123" s="414">
        <f>IF(D$104=0,0,D123/D$104)</f>
        <v>2.495314402970451E-2</v>
      </c>
      <c r="F123" s="419">
        <f>F106-F121</f>
        <v>1682429</v>
      </c>
      <c r="G123" s="414">
        <f>IF(F$104=0,0,F123/F$104)</f>
        <v>3.882299495459756E-2</v>
      </c>
      <c r="H123" s="419">
        <f>H106-H121</f>
        <v>1580484</v>
      </c>
      <c r="I123" s="414">
        <f>IF(H$104=0,0,H123/H$104)</f>
        <v>2.3596747817159289E-2</v>
      </c>
      <c r="J123" s="419">
        <f>J106-J121</f>
        <v>950352</v>
      </c>
      <c r="K123" s="415">
        <f>IF(J$104=0,0,J123/J$104)</f>
        <v>3.0328847177525903E-2</v>
      </c>
      <c r="L123" s="416"/>
      <c r="N123" s="417" t="s">
        <v>155</v>
      </c>
      <c r="O123" s="419">
        <f>O106-O121</f>
        <v>1468107</v>
      </c>
      <c r="P123" s="418">
        <f>IF(O$104=0,0,O123/O$104)</f>
        <v>0.24345424455086961</v>
      </c>
      <c r="Q123" s="419">
        <f>Q106-Q121</f>
        <v>2267908</v>
      </c>
      <c r="R123" s="418">
        <f>IF(Q$104=0,0,Q123/Q$104)</f>
        <v>0.31807466698980325</v>
      </c>
      <c r="S123" s="400"/>
      <c r="U123" s="1277"/>
    </row>
    <row r="124" spans="2:22" ht="14.4" outlineLevel="1" x14ac:dyDescent="0.3">
      <c r="B124" s="203"/>
      <c r="C124" s="420"/>
      <c r="D124" s="427"/>
      <c r="E124" s="422"/>
      <c r="F124" s="427"/>
      <c r="G124" s="422"/>
      <c r="H124" s="427"/>
      <c r="I124" s="422"/>
      <c r="J124" s="427"/>
      <c r="K124" s="428"/>
      <c r="L124" s="423"/>
      <c r="N124" s="417"/>
      <c r="O124" s="430"/>
      <c r="P124" s="418"/>
      <c r="Q124" s="430"/>
      <c r="R124" s="418"/>
      <c r="S124" s="400"/>
      <c r="U124" s="1277"/>
      <c r="V124" s="358"/>
    </row>
    <row r="125" spans="2:22" ht="14.4" outlineLevel="1" x14ac:dyDescent="0.3">
      <c r="B125" s="203"/>
      <c r="C125" s="426" t="s">
        <v>450</v>
      </c>
      <c r="D125" s="518">
        <v>177445</v>
      </c>
      <c r="E125" s="414">
        <f>IF(D$104=0,0,D125/D$104)</f>
        <v>5.9847814641592724E-3</v>
      </c>
      <c r="F125" s="518">
        <v>323610</v>
      </c>
      <c r="G125" s="414">
        <f>IF(F$104=0,0,F125/F$104)</f>
        <v>7.4674826677722014E-3</v>
      </c>
      <c r="H125" s="518">
        <v>832712</v>
      </c>
      <c r="I125" s="414">
        <f>IF(H$104=0,0,H125/H$104)</f>
        <v>1.2432454278766724E-2</v>
      </c>
      <c r="J125" s="518">
        <v>0</v>
      </c>
      <c r="K125" s="415">
        <f>IF(J$104=0,0,J125/J$104)</f>
        <v>0</v>
      </c>
      <c r="L125" s="416"/>
      <c r="N125" s="425" t="s">
        <v>156</v>
      </c>
      <c r="O125" s="518">
        <v>0</v>
      </c>
      <c r="P125" s="418">
        <f>IF(O$104=0,0,O125/O$104)</f>
        <v>0</v>
      </c>
      <c r="Q125" s="518">
        <v>0</v>
      </c>
      <c r="R125" s="418">
        <f>IF(Q$104=0,0,Q125/Q$104)</f>
        <v>0</v>
      </c>
      <c r="S125" s="400"/>
      <c r="U125" s="1277"/>
    </row>
    <row r="126" spans="2:22" ht="14.4" outlineLevel="1" x14ac:dyDescent="0.3">
      <c r="B126" s="203"/>
      <c r="C126" s="426" t="s">
        <v>450</v>
      </c>
      <c r="D126" s="519">
        <v>0</v>
      </c>
      <c r="E126" s="414">
        <f>IF(D$104=0,0,D126/D$104)</f>
        <v>0</v>
      </c>
      <c r="F126" s="519">
        <v>0</v>
      </c>
      <c r="G126" s="414">
        <f>IF(F$104=0,0,F126/F$104)</f>
        <v>0</v>
      </c>
      <c r="H126" s="519">
        <v>0</v>
      </c>
      <c r="I126" s="414">
        <f>IF(H$104=0,0,H126/H$104)</f>
        <v>0</v>
      </c>
      <c r="J126" s="519">
        <v>0</v>
      </c>
      <c r="K126" s="415">
        <f>IF(J$104=0,0,J126/J$104)</f>
        <v>0</v>
      </c>
      <c r="L126" s="416"/>
      <c r="N126" s="425" t="s">
        <v>156</v>
      </c>
      <c r="O126" s="519">
        <v>0</v>
      </c>
      <c r="P126" s="418">
        <f>IF(O$104=0,0,O126/O$104)</f>
        <v>0</v>
      </c>
      <c r="Q126" s="519">
        <v>0</v>
      </c>
      <c r="R126" s="418">
        <f>IF(Q$104=0,0,Q126/Q$104)</f>
        <v>0</v>
      </c>
      <c r="S126" s="400"/>
      <c r="U126" s="1277"/>
    </row>
    <row r="127" spans="2:22" ht="14.4" outlineLevel="1" x14ac:dyDescent="0.3">
      <c r="B127" s="203"/>
      <c r="C127" s="420" t="s">
        <v>157</v>
      </c>
      <c r="D127" s="419">
        <f>SUM(D125:D126)</f>
        <v>177445</v>
      </c>
      <c r="E127" s="414">
        <f>IF(D$104=0,0,D127/D$104)</f>
        <v>5.9847814641592724E-3</v>
      </c>
      <c r="F127" s="419">
        <f>SUM(F125:F126)</f>
        <v>323610</v>
      </c>
      <c r="G127" s="414">
        <f>IF(F$104=0,0,F127/F$104)</f>
        <v>7.4674826677722014E-3</v>
      </c>
      <c r="H127" s="419">
        <f>SUM(H125:H126)</f>
        <v>832712</v>
      </c>
      <c r="I127" s="414">
        <f>IF(H$104=0,0,H127/H$104)</f>
        <v>1.2432454278766724E-2</v>
      </c>
      <c r="J127" s="419">
        <f>SUM(J125:J126)</f>
        <v>0</v>
      </c>
      <c r="K127" s="415">
        <f>IF(J$104=0,0,J127/J$104)</f>
        <v>0</v>
      </c>
      <c r="L127" s="416"/>
      <c r="N127" s="417" t="s">
        <v>157</v>
      </c>
      <c r="O127" s="419">
        <f>SUM(O125:O126)</f>
        <v>0</v>
      </c>
      <c r="P127" s="418">
        <f>IF(O$104=0,0,O127/O$104)</f>
        <v>0</v>
      </c>
      <c r="Q127" s="419">
        <f>SUM(Q125:Q126)</f>
        <v>0</v>
      </c>
      <c r="R127" s="418">
        <f>IF(Q$104=0,0,Q127/Q$104)</f>
        <v>0</v>
      </c>
      <c r="S127" s="400"/>
      <c r="U127" s="1277"/>
    </row>
    <row r="128" spans="2:22" ht="14.4" outlineLevel="1" x14ac:dyDescent="0.3">
      <c r="B128" s="203"/>
      <c r="C128" s="420"/>
      <c r="D128" s="427"/>
      <c r="E128" s="422"/>
      <c r="F128" s="427"/>
      <c r="G128" s="422"/>
      <c r="H128" s="427"/>
      <c r="I128" s="422"/>
      <c r="J128" s="427"/>
      <c r="K128" s="428"/>
      <c r="L128" s="423"/>
      <c r="N128" s="417"/>
      <c r="O128" s="429"/>
      <c r="P128" s="418"/>
      <c r="Q128" s="429"/>
      <c r="R128" s="418"/>
      <c r="S128" s="400"/>
      <c r="U128" s="1277"/>
    </row>
    <row r="129" spans="2:21" ht="14.4" outlineLevel="1" x14ac:dyDescent="0.3">
      <c r="B129" s="203"/>
      <c r="C129" s="420" t="s">
        <v>158</v>
      </c>
      <c r="D129" s="419">
        <f>D106-D121+D127</f>
        <v>917290</v>
      </c>
      <c r="E129" s="414">
        <f>IF(D$104=0,0,D129/D$104)</f>
        <v>3.0937925493863781E-2</v>
      </c>
      <c r="F129" s="419">
        <f>F106-F121+F127</f>
        <v>2006039</v>
      </c>
      <c r="G129" s="414">
        <f>IF(F$104=0,0,F129/F$104)</f>
        <v>4.6290477622369763E-2</v>
      </c>
      <c r="H129" s="419">
        <f>H106-H121+H127</f>
        <v>2413196</v>
      </c>
      <c r="I129" s="414">
        <f>IF(H$104=0,0,H129/H$104)</f>
        <v>3.6029202095926013E-2</v>
      </c>
      <c r="J129" s="419">
        <f>J106-J121+J127</f>
        <v>950352</v>
      </c>
      <c r="K129" s="415">
        <f>IF(J$104=0,0,J129/J$104)</f>
        <v>3.0328847177525903E-2</v>
      </c>
      <c r="L129" s="416"/>
      <c r="N129" s="417" t="s">
        <v>158</v>
      </c>
      <c r="O129" s="419">
        <f>O106-O121+O127</f>
        <v>1468107</v>
      </c>
      <c r="P129" s="418">
        <f>IF(O$104=0,0,O129/O$104)</f>
        <v>0.24345424455086961</v>
      </c>
      <c r="Q129" s="419">
        <f>Q106-Q121+Q127</f>
        <v>2267908</v>
      </c>
      <c r="R129" s="418">
        <f>IF(Q$104=0,0,Q129/Q$104)</f>
        <v>0.31807466698980325</v>
      </c>
      <c r="S129" s="400"/>
      <c r="U129" s="1277"/>
    </row>
    <row r="130" spans="2:21" ht="14.4" outlineLevel="1" x14ac:dyDescent="0.3">
      <c r="B130" s="203"/>
      <c r="C130" s="420" t="s">
        <v>159</v>
      </c>
      <c r="D130" s="419">
        <v>0</v>
      </c>
      <c r="E130" s="414">
        <f>IF(D$104=0,0,D130/D$104)</f>
        <v>0</v>
      </c>
      <c r="F130" s="419">
        <v>0</v>
      </c>
      <c r="G130" s="414">
        <f>IF(F$104=0,0,F130/F$104)</f>
        <v>0</v>
      </c>
      <c r="H130" s="419">
        <v>0</v>
      </c>
      <c r="I130" s="414">
        <f>IF(H$104=0,0,H130/H$104)</f>
        <v>0</v>
      </c>
      <c r="J130" s="419">
        <v>0</v>
      </c>
      <c r="K130" s="415">
        <f>IF(J$104=0,0,J130/J$104)</f>
        <v>0</v>
      </c>
      <c r="L130" s="416"/>
      <c r="N130" s="417" t="s">
        <v>159</v>
      </c>
      <c r="O130" s="419">
        <v>0</v>
      </c>
      <c r="P130" s="418">
        <f>IF(O$104=0,0,O130/O$104)</f>
        <v>0</v>
      </c>
      <c r="Q130" s="419">
        <v>0</v>
      </c>
      <c r="R130" s="418">
        <f>IF(Q$104=0,0,Q130/Q$104)</f>
        <v>0</v>
      </c>
      <c r="S130" s="400"/>
      <c r="U130" s="1277"/>
    </row>
    <row r="131" spans="2:21" ht="14.4" outlineLevel="1" x14ac:dyDescent="0.3">
      <c r="B131" s="203"/>
      <c r="C131" s="431"/>
      <c r="D131" s="427"/>
      <c r="E131" s="422"/>
      <c r="F131" s="427"/>
      <c r="G131" s="422"/>
      <c r="H131" s="427"/>
      <c r="I131" s="422"/>
      <c r="J131" s="427"/>
      <c r="K131" s="415"/>
      <c r="L131" s="416"/>
      <c r="N131" s="432"/>
      <c r="O131" s="433"/>
      <c r="P131" s="418"/>
      <c r="Q131" s="433"/>
      <c r="R131" s="418"/>
      <c r="S131" s="400"/>
      <c r="U131" s="1277"/>
    </row>
    <row r="132" spans="2:21" ht="14.4" outlineLevel="1" x14ac:dyDescent="0.3">
      <c r="B132" s="203"/>
      <c r="C132" s="420" t="s">
        <v>160</v>
      </c>
      <c r="D132" s="419">
        <f>D129-D130</f>
        <v>917290</v>
      </c>
      <c r="E132" s="414">
        <f>IF(D$104=0,0,D132/D$104)</f>
        <v>3.0937925493863781E-2</v>
      </c>
      <c r="F132" s="419">
        <f>F129-F130</f>
        <v>2006039</v>
      </c>
      <c r="G132" s="414">
        <f>IF(F$104=0,0,F132/F$104)</f>
        <v>4.6290477622369763E-2</v>
      </c>
      <c r="H132" s="419">
        <f>H129-H130</f>
        <v>2413196</v>
      </c>
      <c r="I132" s="414">
        <f>IF(H$104=0,0,H132/H$104)</f>
        <v>3.6029202095926013E-2</v>
      </c>
      <c r="J132" s="419">
        <f>J129-J130</f>
        <v>950352</v>
      </c>
      <c r="K132" s="415">
        <f>IF(J$104=0,0,J132/J$104)</f>
        <v>3.0328847177525903E-2</v>
      </c>
      <c r="L132" s="416"/>
      <c r="N132" s="417" t="s">
        <v>160</v>
      </c>
      <c r="O132" s="419">
        <f>O129-O130</f>
        <v>1468107</v>
      </c>
      <c r="P132" s="418">
        <f>IF(O$104=0,0,O132/O$104)</f>
        <v>0.24345424455086961</v>
      </c>
      <c r="Q132" s="419">
        <f>Q129-Q130</f>
        <v>2267908</v>
      </c>
      <c r="R132" s="418">
        <f>IF(Q$104=0,0,Q132/Q$104)</f>
        <v>0.31807466698980325</v>
      </c>
      <c r="S132" s="400"/>
      <c r="U132" s="1277"/>
    </row>
    <row r="133" spans="2:21" ht="14.4" outlineLevel="1" x14ac:dyDescent="0.3">
      <c r="B133" s="203"/>
      <c r="C133" s="204"/>
      <c r="D133" s="434"/>
      <c r="E133" s="435"/>
      <c r="F133" s="434"/>
      <c r="G133" s="435"/>
      <c r="H133" s="434"/>
      <c r="I133" s="435"/>
      <c r="J133" s="434"/>
      <c r="K133" s="435"/>
      <c r="L133" s="416"/>
      <c r="N133" s="425"/>
      <c r="O133" s="433"/>
      <c r="P133" s="399"/>
      <c r="Q133" s="433"/>
      <c r="R133" s="399"/>
      <c r="S133" s="400"/>
      <c r="U133" s="1277"/>
    </row>
    <row r="134" spans="2:21" ht="14.4" outlineLevel="1" x14ac:dyDescent="0.3">
      <c r="B134" s="203"/>
      <c r="C134" s="436" t="s">
        <v>396</v>
      </c>
      <c r="D134" s="176"/>
      <c r="E134" s="176"/>
      <c r="F134" s="176"/>
      <c r="G134" s="176"/>
      <c r="H134" s="176"/>
      <c r="I134" s="176"/>
      <c r="J134" s="176"/>
      <c r="K134" s="176"/>
      <c r="L134" s="178"/>
      <c r="N134" s="437" t="s">
        <v>161</v>
      </c>
      <c r="O134" s="399"/>
      <c r="P134" s="399"/>
      <c r="Q134" s="399"/>
      <c r="R134" s="399"/>
      <c r="S134" s="400"/>
      <c r="U134" s="1277"/>
    </row>
    <row r="135" spans="2:21" ht="14.4" outlineLevel="1" x14ac:dyDescent="0.3">
      <c r="B135" s="203"/>
      <c r="C135" s="438" t="s">
        <v>385</v>
      </c>
      <c r="D135" s="518">
        <f>D108</f>
        <v>437000</v>
      </c>
      <c r="E135" s="176"/>
      <c r="F135" s="518">
        <f>F108</f>
        <v>450750</v>
      </c>
      <c r="G135" s="176"/>
      <c r="H135" s="518">
        <f>H108</f>
        <v>525000</v>
      </c>
      <c r="I135" s="176"/>
      <c r="J135" s="518">
        <f>J108</f>
        <v>0</v>
      </c>
      <c r="K135" s="176"/>
      <c r="L135" s="178"/>
      <c r="N135" s="439" t="s">
        <v>385</v>
      </c>
      <c r="O135" s="518">
        <f>O108</f>
        <v>0</v>
      </c>
      <c r="P135" s="399"/>
      <c r="Q135" s="518">
        <f>Q108</f>
        <v>0</v>
      </c>
      <c r="R135" s="399"/>
      <c r="S135" s="400"/>
      <c r="U135" s="1277"/>
    </row>
    <row r="136" spans="2:21" ht="14.4" outlineLevel="1" x14ac:dyDescent="0.3">
      <c r="B136" s="203"/>
      <c r="C136" s="440" t="s">
        <v>386</v>
      </c>
      <c r="D136" s="519">
        <f>D115</f>
        <v>0</v>
      </c>
      <c r="E136" s="176"/>
      <c r="F136" s="519">
        <f>F115</f>
        <v>0</v>
      </c>
      <c r="G136" s="176"/>
      <c r="H136" s="519">
        <f>H115</f>
        <v>0</v>
      </c>
      <c r="I136" s="176"/>
      <c r="J136" s="519">
        <f>J115</f>
        <v>0</v>
      </c>
      <c r="K136" s="176"/>
      <c r="L136" s="178"/>
      <c r="N136" s="441" t="s">
        <v>386</v>
      </c>
      <c r="O136" s="519">
        <f>O115</f>
        <v>0</v>
      </c>
      <c r="P136" s="399"/>
      <c r="Q136" s="519">
        <f>Q115</f>
        <v>0</v>
      </c>
      <c r="R136" s="399"/>
      <c r="S136" s="400"/>
      <c r="U136" s="1277"/>
    </row>
    <row r="137" spans="2:21" ht="14.4" outlineLevel="1" x14ac:dyDescent="0.3">
      <c r="B137" s="203"/>
      <c r="C137" s="440" t="s">
        <v>387</v>
      </c>
      <c r="D137" s="519">
        <f>D114</f>
        <v>14064</v>
      </c>
      <c r="E137" s="176"/>
      <c r="F137" s="519">
        <f>F114</f>
        <v>757</v>
      </c>
      <c r="G137" s="176"/>
      <c r="H137" s="519">
        <f>H114</f>
        <v>40393</v>
      </c>
      <c r="I137" s="176"/>
      <c r="J137" s="519">
        <f>J114</f>
        <v>48753</v>
      </c>
      <c r="K137" s="176"/>
      <c r="L137" s="178"/>
      <c r="N137" s="441" t="s">
        <v>387</v>
      </c>
      <c r="O137" s="519">
        <f>O114</f>
        <v>0</v>
      </c>
      <c r="P137" s="399"/>
      <c r="Q137" s="519">
        <f>Q114</f>
        <v>0</v>
      </c>
      <c r="R137" s="399"/>
      <c r="S137" s="400"/>
      <c r="U137" s="1277"/>
    </row>
    <row r="138" spans="2:21" ht="14.4" outlineLevel="1" x14ac:dyDescent="0.3">
      <c r="B138" s="203"/>
      <c r="C138" s="440" t="s">
        <v>397</v>
      </c>
      <c r="D138" s="519">
        <v>0</v>
      </c>
      <c r="E138" s="176"/>
      <c r="F138" s="519">
        <v>0</v>
      </c>
      <c r="G138" s="176"/>
      <c r="H138" s="519">
        <v>0</v>
      </c>
      <c r="I138" s="176"/>
      <c r="J138" s="519">
        <v>0</v>
      </c>
      <c r="K138" s="176"/>
      <c r="L138" s="178"/>
      <c r="N138" s="441" t="s">
        <v>397</v>
      </c>
      <c r="O138" s="519">
        <f>O112</f>
        <v>0</v>
      </c>
      <c r="P138" s="399"/>
      <c r="Q138" s="519">
        <f>Q112</f>
        <v>0</v>
      </c>
      <c r="R138" s="399"/>
      <c r="S138" s="400"/>
      <c r="U138" s="1277"/>
    </row>
    <row r="139" spans="2:21" ht="14.4" outlineLevel="1" x14ac:dyDescent="0.3">
      <c r="B139" s="203"/>
      <c r="C139" s="1231" t="s">
        <v>153</v>
      </c>
      <c r="D139" s="519">
        <v>0</v>
      </c>
      <c r="E139" s="176"/>
      <c r="F139" s="519">
        <v>0</v>
      </c>
      <c r="G139" s="176"/>
      <c r="H139" s="519">
        <v>0</v>
      </c>
      <c r="I139" s="176"/>
      <c r="J139" s="519">
        <v>0</v>
      </c>
      <c r="K139" s="176"/>
      <c r="L139" s="178"/>
      <c r="N139" s="442" t="s">
        <v>153</v>
      </c>
      <c r="O139" s="519">
        <v>0</v>
      </c>
      <c r="P139" s="399"/>
      <c r="Q139" s="519">
        <v>0</v>
      </c>
      <c r="R139" s="399"/>
      <c r="S139" s="400"/>
      <c r="U139" s="1277"/>
    </row>
    <row r="140" spans="2:21" ht="14.4" outlineLevel="1" x14ac:dyDescent="0.3">
      <c r="B140" s="203"/>
      <c r="C140" s="1231" t="s">
        <v>153</v>
      </c>
      <c r="D140" s="519">
        <v>0</v>
      </c>
      <c r="E140" s="176"/>
      <c r="F140" s="519">
        <v>0</v>
      </c>
      <c r="G140" s="176"/>
      <c r="H140" s="519">
        <v>0</v>
      </c>
      <c r="I140" s="176"/>
      <c r="J140" s="519">
        <v>0</v>
      </c>
      <c r="K140" s="176"/>
      <c r="L140" s="178"/>
      <c r="N140" s="442" t="s">
        <v>153</v>
      </c>
      <c r="O140" s="519">
        <v>0</v>
      </c>
      <c r="P140" s="399"/>
      <c r="Q140" s="519">
        <v>0</v>
      </c>
      <c r="R140" s="399"/>
      <c r="S140" s="400"/>
      <c r="U140" s="1277"/>
    </row>
    <row r="141" spans="2:21" ht="14.4" outlineLevel="1" x14ac:dyDescent="0.3">
      <c r="B141" s="203"/>
      <c r="C141" s="440" t="s">
        <v>388</v>
      </c>
      <c r="D141" s="519">
        <v>0</v>
      </c>
      <c r="E141" s="176"/>
      <c r="F141" s="519">
        <v>0</v>
      </c>
      <c r="G141" s="176"/>
      <c r="H141" s="519">
        <v>0</v>
      </c>
      <c r="I141" s="176"/>
      <c r="J141" s="519">
        <v>0</v>
      </c>
      <c r="K141" s="176"/>
      <c r="L141" s="178"/>
      <c r="N141" s="441" t="s">
        <v>388</v>
      </c>
      <c r="O141" s="519">
        <v>0</v>
      </c>
      <c r="P141" s="399"/>
      <c r="Q141" s="519">
        <v>0</v>
      </c>
      <c r="R141" s="399"/>
      <c r="S141" s="400"/>
      <c r="U141" s="1277"/>
    </row>
    <row r="142" spans="2:21" ht="14.4" outlineLevel="1" x14ac:dyDescent="0.3">
      <c r="B142" s="203"/>
      <c r="C142" s="440" t="s">
        <v>389</v>
      </c>
      <c r="D142" s="381">
        <f>-Guarantors!AB16</f>
        <v>-258960</v>
      </c>
      <c r="E142" s="176"/>
      <c r="F142" s="381">
        <f>-Guarantors!AB16</f>
        <v>-258960</v>
      </c>
      <c r="G142" s="176"/>
      <c r="H142" s="381">
        <f>-Guarantors!AB16</f>
        <v>-258960</v>
      </c>
      <c r="I142" s="176"/>
      <c r="J142" s="381">
        <f>-Guarantors!AB16</f>
        <v>-258960</v>
      </c>
      <c r="K142" s="176"/>
      <c r="L142" s="178"/>
      <c r="N142" s="441" t="s">
        <v>389</v>
      </c>
      <c r="O142" s="381">
        <f>-Guarantors!AB16</f>
        <v>-258960</v>
      </c>
      <c r="P142" s="399"/>
      <c r="Q142" s="381">
        <f>-Guarantors!AB16</f>
        <v>-258960</v>
      </c>
      <c r="R142" s="399"/>
      <c r="S142" s="400"/>
      <c r="U142" s="1277"/>
    </row>
    <row r="143" spans="2:21" ht="14.4" outlineLevel="1" x14ac:dyDescent="0.3">
      <c r="B143" s="203"/>
      <c r="C143" s="440"/>
      <c r="D143" s="443"/>
      <c r="E143" s="443"/>
      <c r="F143" s="443"/>
      <c r="G143" s="443"/>
      <c r="H143" s="443"/>
      <c r="I143" s="443"/>
      <c r="J143" s="443"/>
      <c r="K143" s="176"/>
      <c r="L143" s="178"/>
      <c r="N143" s="441"/>
      <c r="O143" s="444"/>
      <c r="P143" s="399"/>
      <c r="Q143" s="444"/>
      <c r="R143" s="399"/>
      <c r="S143" s="400"/>
      <c r="U143" s="1277"/>
    </row>
    <row r="144" spans="2:21" ht="14.4" outlineLevel="1" x14ac:dyDescent="0.3">
      <c r="B144" s="203"/>
      <c r="C144" s="440" t="s">
        <v>162</v>
      </c>
      <c r="D144" s="445">
        <f>D132+SUM(D135:D142)</f>
        <v>1109394</v>
      </c>
      <c r="E144" s="443"/>
      <c r="F144" s="445">
        <f>F132+SUM(F135:F142)</f>
        <v>2198586</v>
      </c>
      <c r="G144" s="443"/>
      <c r="H144" s="445">
        <f>H132+SUM(H135:H142)</f>
        <v>2719629</v>
      </c>
      <c r="I144" s="443"/>
      <c r="J144" s="445">
        <f>J132+SUM(J135:J142)</f>
        <v>740145</v>
      </c>
      <c r="K144" s="176"/>
      <c r="L144" s="178"/>
      <c r="N144" s="441" t="s">
        <v>162</v>
      </c>
      <c r="O144" s="445">
        <f>O132+SUM(O135:O142)</f>
        <v>1209147</v>
      </c>
      <c r="P144" s="399"/>
      <c r="Q144" s="445">
        <f>Q132+SUM(Q135:Q142)</f>
        <v>2008948</v>
      </c>
      <c r="R144" s="399"/>
      <c r="S144" s="400"/>
      <c r="U144" s="1277"/>
    </row>
    <row r="145" spans="2:31" ht="14.4" outlineLevel="1" x14ac:dyDescent="0.3">
      <c r="B145" s="203"/>
      <c r="C145" s="440"/>
      <c r="D145" s="176"/>
      <c r="E145" s="176"/>
      <c r="F145" s="176"/>
      <c r="G145" s="176"/>
      <c r="H145" s="176"/>
      <c r="I145" s="176"/>
      <c r="J145" s="176"/>
      <c r="K145" s="176"/>
      <c r="L145" s="178"/>
      <c r="N145" s="441"/>
      <c r="O145" s="399"/>
      <c r="P145" s="399"/>
      <c r="Q145" s="399"/>
      <c r="R145" s="399"/>
      <c r="S145" s="400"/>
      <c r="U145" s="1277"/>
    </row>
    <row r="146" spans="2:31" ht="16.05" customHeight="1" outlineLevel="1" x14ac:dyDescent="0.3">
      <c r="B146" s="203"/>
      <c r="C146" s="204" t="s">
        <v>163</v>
      </c>
      <c r="D146" s="446">
        <f>IFERROR($H$93*D100,0)</f>
        <v>0</v>
      </c>
      <c r="E146" s="176"/>
      <c r="F146" s="446">
        <f>IFERROR($H$93*F100,0)</f>
        <v>0</v>
      </c>
      <c r="G146" s="176"/>
      <c r="H146" s="446">
        <f>IFERROR($H$93*H100,0)</f>
        <v>0</v>
      </c>
      <c r="I146" s="176"/>
      <c r="J146" s="446">
        <f>IFERROR($H$93*J100,0)</f>
        <v>0</v>
      </c>
      <c r="K146" s="176"/>
      <c r="L146" s="178"/>
      <c r="N146" s="425" t="s">
        <v>163</v>
      </c>
      <c r="O146" s="446">
        <f>IFERROR($H$93*12,0)</f>
        <v>0</v>
      </c>
      <c r="P146" s="399"/>
      <c r="Q146" s="446">
        <f>IFERROR($H$93*12,0)</f>
        <v>0</v>
      </c>
      <c r="R146" s="399"/>
      <c r="S146" s="400"/>
      <c r="U146" s="1277"/>
    </row>
    <row r="147" spans="2:31" ht="16.05" customHeight="1" outlineLevel="1" x14ac:dyDescent="0.3">
      <c r="B147" s="203"/>
      <c r="C147" s="204" t="str">
        <f>_xlfn.CONCAT(E17," Debt Service")</f>
        <v>SBA 7(a) Debt Service</v>
      </c>
      <c r="D147" s="446">
        <f ca="1">IFERROR(INDEX(Calculations!$K$4:$K$7,MATCH($E$22,Calculations!$B$4:$B$7,0))*D$100,0)</f>
        <v>90189.574707492357</v>
      </c>
      <c r="E147" s="176"/>
      <c r="F147" s="446">
        <f ca="1">IFERROR(INDEX(Calculations!$K$4:$K$7,MATCH($E$22,Calculations!$B$4:$B$7,0))*F$100,0)</f>
        <v>90189.574707492357</v>
      </c>
      <c r="G147" s="176"/>
      <c r="H147" s="446">
        <f ca="1">IFERROR(INDEX(Calculations!$K$4:$K$7,MATCH($E$22,Calculations!$B$4:$B$7,0))*H$100,0)</f>
        <v>90189.574707492357</v>
      </c>
      <c r="I147" s="176"/>
      <c r="J147" s="446">
        <f ca="1">IFERROR(INDEX(Calculations!$K$4:$K$7,MATCH($E$22,Calculations!$B$4:$B$7,0))*J$100,0)</f>
        <v>30063.191569164119</v>
      </c>
      <c r="K147" s="176"/>
      <c r="L147" s="178"/>
      <c r="N147" s="425" t="str">
        <f t="shared" ref="N147:N153" si="31">C147</f>
        <v>SBA 7(a) Debt Service</v>
      </c>
      <c r="O147" s="446">
        <f ca="1">IFERROR($E$25*12,0)</f>
        <v>90189.574707492357</v>
      </c>
      <c r="P147" s="399"/>
      <c r="Q147" s="446">
        <f ca="1">IFERROR($E$25*12,0)</f>
        <v>90189.574707492357</v>
      </c>
      <c r="R147" s="399"/>
      <c r="S147" s="400"/>
      <c r="U147" s="1277"/>
    </row>
    <row r="148" spans="2:31" ht="14.4" outlineLevel="1" x14ac:dyDescent="0.3">
      <c r="B148" s="203"/>
      <c r="C148" s="204" t="str">
        <f>_xlfn.CONCAT(F17," Debt Service")</f>
        <v>SBA 7(a) Debt Service</v>
      </c>
      <c r="D148" s="446">
        <f ca="1">IFERROR(INDEX(Calculations!$K$10:$K$13,MATCH($F$22,Calculations!$B$10:$B$13,0))*D$100,0)</f>
        <v>365004.01451185776</v>
      </c>
      <c r="E148" s="176"/>
      <c r="F148" s="446">
        <f ca="1">IFERROR(INDEX(Calculations!$K$10:$K$13,MATCH($F$22,Calculations!$B$10:$B$13,0))*F$100,0)</f>
        <v>365004.01451185776</v>
      </c>
      <c r="G148" s="176"/>
      <c r="H148" s="446">
        <f ca="1">IFERROR(INDEX(Calculations!$K$10:$K$13,MATCH($F$22,Calculations!$B$10:$B$13,0))*H$100,0)</f>
        <v>365004.01451185776</v>
      </c>
      <c r="I148" s="176"/>
      <c r="J148" s="446">
        <f ca="1">IFERROR(INDEX(Calculations!$K$10:$K$13,MATCH($F$22,Calculations!$B$10:$B$13,0))*J$100,0)</f>
        <v>121668.00483728592</v>
      </c>
      <c r="K148" s="176"/>
      <c r="L148" s="178"/>
      <c r="N148" s="425" t="str">
        <f t="shared" si="31"/>
        <v>SBA 7(a) Debt Service</v>
      </c>
      <c r="O148" s="446">
        <f ca="1">IFERROR($F$25*12,0)</f>
        <v>365004.01451185776</v>
      </c>
      <c r="P148" s="399"/>
      <c r="Q148" s="446">
        <f ca="1">IFERROR($F$25*12,0)</f>
        <v>365004.01451185776</v>
      </c>
      <c r="R148" s="399"/>
      <c r="S148" s="400"/>
      <c r="U148" s="1277"/>
    </row>
    <row r="149" spans="2:31" ht="14.4" outlineLevel="1" x14ac:dyDescent="0.3">
      <c r="B149" s="203"/>
      <c r="C149" s="204" t="str">
        <f>_xlfn.CONCAT(G17," Debt Service")</f>
        <v>SBA 504 Debt Service</v>
      </c>
      <c r="D149" s="446">
        <f ca="1">IFERROR(INDEX(Calculations!$K$16:$K$19,MATCH($G$22,Calculations!$B$16:$B$19,0))*D$100,0)</f>
        <v>209693.3052878122</v>
      </c>
      <c r="E149" s="176"/>
      <c r="F149" s="446">
        <f ca="1">IFERROR(INDEX(Calculations!$K$16:$K$19,MATCH($G$22,Calculations!$B$16:$B$19,0))*F$100,0)</f>
        <v>209693.3052878122</v>
      </c>
      <c r="G149" s="176"/>
      <c r="H149" s="446">
        <f ca="1">IFERROR(INDEX(Calculations!$K$16:$K$19,MATCH($G$22,Calculations!$B$16:$B$19,0))*H$100,0)</f>
        <v>209693.3052878122</v>
      </c>
      <c r="I149" s="176"/>
      <c r="J149" s="446">
        <f ca="1">IFERROR(INDEX(Calculations!$K$16:$K$19,MATCH($G$22,Calculations!$B$16:$B$19,0))*J$100,0)</f>
        <v>69897.768429270727</v>
      </c>
      <c r="K149" s="176"/>
      <c r="L149" s="178"/>
      <c r="N149" s="425" t="str">
        <f t="shared" si="31"/>
        <v>SBA 504 Debt Service</v>
      </c>
      <c r="O149" s="446">
        <f ca="1">IFERROR($G$25*12,0)</f>
        <v>209693.3052878122</v>
      </c>
      <c r="P149" s="399"/>
      <c r="Q149" s="446">
        <f ca="1">IFERROR($G$25*12,0)</f>
        <v>209693.3052878122</v>
      </c>
      <c r="R149" s="399"/>
      <c r="S149" s="400"/>
      <c r="U149" s="1277"/>
    </row>
    <row r="150" spans="2:31" ht="14.4" outlineLevel="1" x14ac:dyDescent="0.3">
      <c r="B150" s="203"/>
      <c r="C150" s="204" t="str">
        <f>_xlfn.CONCAT(H17," Debt Service")</f>
        <v>Seller Note Debt Service</v>
      </c>
      <c r="D150" s="446">
        <f ca="1">IFERROR(INDEX(Calculations!$K$22:$K$25,MATCH($H$22,Calculations!$B$22:$B$25,0))*D$100,0)</f>
        <v>54281.273166557949</v>
      </c>
      <c r="E150" s="176"/>
      <c r="F150" s="446">
        <f ca="1">IFERROR(INDEX(Calculations!$K$22:$K$25,MATCH($H$22,Calculations!$B$22:$B$25,0))*F$100,0)</f>
        <v>54281.273166557949</v>
      </c>
      <c r="G150" s="176"/>
      <c r="H150" s="446">
        <f ca="1">IFERROR(INDEX(Calculations!$K$22:$K$25,MATCH($H$22,Calculations!$B$22:$B$25,0))*H$100,0)</f>
        <v>54281.273166557949</v>
      </c>
      <c r="I150" s="176"/>
      <c r="J150" s="446">
        <f ca="1">IFERROR(INDEX(Calculations!$K$22:$K$25,MATCH($H$22,Calculations!$B$22:$B$25,0))*J$100,0)</f>
        <v>18093.757722185983</v>
      </c>
      <c r="K150" s="176"/>
      <c r="L150" s="178"/>
      <c r="N150" s="425" t="str">
        <f t="shared" si="31"/>
        <v>Seller Note Debt Service</v>
      </c>
      <c r="O150" s="446">
        <f ca="1">IFERROR($H$25*12,0)</f>
        <v>54281.273166557949</v>
      </c>
      <c r="P150" s="399"/>
      <c r="Q150" s="446">
        <f ca="1">IFERROR($H$25*12,0)</f>
        <v>54281.273166557949</v>
      </c>
      <c r="R150" s="399"/>
      <c r="S150" s="400"/>
      <c r="U150" s="1277"/>
    </row>
    <row r="151" spans="2:31" ht="14.4" outlineLevel="1" x14ac:dyDescent="0.3">
      <c r="B151" s="203"/>
      <c r="C151" s="204" t="str">
        <f>_xlfn.CONCAT(I17," Debt Service")</f>
        <v>Debenture Debt Service</v>
      </c>
      <c r="D151" s="446">
        <f ca="1">IFERROR(INDEX(Calculations!$K$28:$K$31,MATCH($I$22,Calculations!$B$28:$B$31,0))*D$100,0)</f>
        <v>683430.44569912017</v>
      </c>
      <c r="E151" s="176"/>
      <c r="F151" s="446">
        <f ca="1">IFERROR(INDEX(Calculations!$K$28:$K$31,MATCH($I$22,Calculations!$B$28:$B$31,0))*F$100,0)</f>
        <v>683430.44569912017</v>
      </c>
      <c r="G151" s="176"/>
      <c r="H151" s="446">
        <f ca="1">IFERROR(INDEX(Calculations!$K$28:$K$31,MATCH($I$22,Calculations!$B$28:$B$31,0))*H$100,0)</f>
        <v>683430.44569912017</v>
      </c>
      <c r="I151" s="176"/>
      <c r="J151" s="446">
        <f ca="1">IFERROR(INDEX(Calculations!$K$28:$K$31,MATCH($I$22,Calculations!$B$28:$B$31,0))*J$100,0)</f>
        <v>227810.14856637339</v>
      </c>
      <c r="K151" s="176"/>
      <c r="L151" s="178"/>
      <c r="N151" s="425" t="str">
        <f t="shared" si="31"/>
        <v>Debenture Debt Service</v>
      </c>
      <c r="O151" s="446">
        <f ca="1">IFERROR($I$25*12,0)</f>
        <v>683430.44569912017</v>
      </c>
      <c r="P151" s="399"/>
      <c r="Q151" s="446">
        <f ca="1">IFERROR($I$25*12,0)</f>
        <v>683430.44569912017</v>
      </c>
      <c r="R151" s="399"/>
      <c r="S151" s="400"/>
      <c r="U151" s="1277"/>
    </row>
    <row r="152" spans="2:31" ht="14.4" outlineLevel="1" x14ac:dyDescent="0.3">
      <c r="B152" s="203"/>
      <c r="C152" s="204" t="str">
        <f>_xlfn.CONCAT(J17," Debt Service")</f>
        <v>N/A Debt Service</v>
      </c>
      <c r="D152" s="446">
        <f ca="1">IFERROR(INDEX(Calculations!$K$34:$K$37,MATCH($J$22,Calculations!$B$34:$B$37,0))*D$100,0)</f>
        <v>0</v>
      </c>
      <c r="E152" s="176"/>
      <c r="F152" s="446">
        <f ca="1">IFERROR(INDEX(Calculations!$K$34:$K$37,MATCH($J$22,Calculations!$B$34:$B$37,0))*F$100,0)</f>
        <v>0</v>
      </c>
      <c r="G152" s="176"/>
      <c r="H152" s="446">
        <f ca="1">IFERROR(INDEX(Calculations!$K$34:$K$37,MATCH($J$22,Calculations!$B$34:$B$37,0))*H$100,0)</f>
        <v>0</v>
      </c>
      <c r="I152" s="176"/>
      <c r="J152" s="446">
        <f ca="1">IFERROR(INDEX(Calculations!$K$34:$K$37,MATCH($J$22,Calculations!$B$34:$B$37,0))*J$100,0)</f>
        <v>0</v>
      </c>
      <c r="K152" s="176"/>
      <c r="L152" s="178"/>
      <c r="N152" s="425" t="str">
        <f t="shared" si="31"/>
        <v>N/A Debt Service</v>
      </c>
      <c r="O152" s="446">
        <f ca="1">IFERROR($J$25*12,0)</f>
        <v>0</v>
      </c>
      <c r="P152" s="399"/>
      <c r="Q152" s="446">
        <f ca="1">IFERROR($J$25*12,0)</f>
        <v>0</v>
      </c>
      <c r="R152" s="399"/>
      <c r="S152" s="400"/>
      <c r="U152" s="1277"/>
    </row>
    <row r="153" spans="2:31" ht="14.4" outlineLevel="1" x14ac:dyDescent="0.3">
      <c r="B153" s="203"/>
      <c r="C153" s="204" t="str">
        <f>_xlfn.CONCAT(K17," Debt Service")</f>
        <v>N/A Debt Service</v>
      </c>
      <c r="D153" s="446">
        <f ca="1">IFERROR(INDEX(Calculations!$K$40:$K$43,MATCH($K$22,Calculations!$B$40:$B$43,0))*D$100,0)</f>
        <v>0</v>
      </c>
      <c r="E153" s="176"/>
      <c r="F153" s="446">
        <f ca="1">IFERROR(INDEX(Calculations!$K$40:$K$43,MATCH($K$22,Calculations!$B$40:$B$43,0))*F$100,0)</f>
        <v>0</v>
      </c>
      <c r="G153" s="176"/>
      <c r="H153" s="446">
        <f ca="1">IFERROR(INDEX(Calculations!$K$40:$K$43,MATCH($K$22,Calculations!$B$40:$B$43,0))*H$100,0)</f>
        <v>0</v>
      </c>
      <c r="I153" s="176"/>
      <c r="J153" s="446">
        <f ca="1">IFERROR(INDEX(Calculations!$K$40:$K$43,MATCH($K$22,Calculations!$B$40:$B$43,0))*J$100,0)</f>
        <v>0</v>
      </c>
      <c r="K153" s="176"/>
      <c r="L153" s="178"/>
      <c r="N153" s="425" t="str">
        <f t="shared" si="31"/>
        <v>N/A Debt Service</v>
      </c>
      <c r="O153" s="447">
        <f ca="1">IFERROR($K$25*12,0)</f>
        <v>0</v>
      </c>
      <c r="P153" s="399"/>
      <c r="Q153" s="447">
        <f ca="1">IFERROR($K$25*12,0)</f>
        <v>0</v>
      </c>
      <c r="R153" s="399"/>
      <c r="S153" s="400"/>
      <c r="U153" s="1277"/>
      <c r="AC153" s="171"/>
      <c r="AD153" s="171"/>
      <c r="AE153" s="171"/>
    </row>
    <row r="154" spans="2:31" ht="14.4" outlineLevel="1" x14ac:dyDescent="0.3">
      <c r="B154" s="203"/>
      <c r="C154" s="204" t="s">
        <v>164</v>
      </c>
      <c r="D154" s="446">
        <f ca="1">SUM(D146:D153)</f>
        <v>1402598.6133728405</v>
      </c>
      <c r="E154" s="176"/>
      <c r="F154" s="446">
        <f ca="1">SUM(F146:F153)</f>
        <v>1402598.6133728405</v>
      </c>
      <c r="G154" s="176"/>
      <c r="H154" s="446">
        <f ca="1">SUM(H146:H153)</f>
        <v>1402598.6133728405</v>
      </c>
      <c r="I154" s="176"/>
      <c r="J154" s="446">
        <f ca="1">SUM(J146:J153)</f>
        <v>467532.87112428015</v>
      </c>
      <c r="K154" s="176"/>
      <c r="L154" s="178"/>
      <c r="N154" s="425" t="s">
        <v>164</v>
      </c>
      <c r="O154" s="446">
        <f ca="1">SUM(O146:O153)</f>
        <v>1402598.6133728405</v>
      </c>
      <c r="P154" s="399"/>
      <c r="Q154" s="446">
        <f ca="1">SUM(Q146:Q153)</f>
        <v>1402598.6133728405</v>
      </c>
      <c r="R154" s="399"/>
      <c r="S154" s="400"/>
      <c r="U154" s="1277"/>
    </row>
    <row r="155" spans="2:31" ht="14.4" outlineLevel="1" x14ac:dyDescent="0.3">
      <c r="B155" s="203"/>
      <c r="C155" s="204"/>
      <c r="D155" s="176"/>
      <c r="E155" s="176"/>
      <c r="F155" s="176"/>
      <c r="G155" s="176"/>
      <c r="H155" s="176"/>
      <c r="I155" s="176"/>
      <c r="J155" s="176"/>
      <c r="K155" s="176"/>
      <c r="L155" s="178"/>
      <c r="N155" s="425"/>
      <c r="O155" s="399"/>
      <c r="P155" s="399"/>
      <c r="Q155" s="399"/>
      <c r="R155" s="399"/>
      <c r="S155" s="400"/>
      <c r="U155" s="1277"/>
    </row>
    <row r="156" spans="2:31" ht="14.4" outlineLevel="1" x14ac:dyDescent="0.3">
      <c r="B156" s="203"/>
      <c r="C156" s="420" t="s">
        <v>165</v>
      </c>
      <c r="D156" s="448">
        <f ca="1">IFERROR(D144/D154,0)</f>
        <v>0.79095615054989332</v>
      </c>
      <c r="E156" s="176"/>
      <c r="F156" s="448">
        <f ca="1">IFERROR(F144/F154,0)</f>
        <v>1.5675090357554555</v>
      </c>
      <c r="G156" s="176"/>
      <c r="H156" s="448">
        <f ca="1">IFERROR(H144/H154,0)</f>
        <v>1.9389930761874103</v>
      </c>
      <c r="I156" s="176"/>
      <c r="J156" s="448">
        <f ca="1">IFERROR(J144/J154,0)</f>
        <v>1.5830865500861302</v>
      </c>
      <c r="K156" s="176"/>
      <c r="L156" s="178"/>
      <c r="N156" s="417" t="s">
        <v>165</v>
      </c>
      <c r="O156" s="448">
        <f ca="1">IFERROR(O144/O154,0)</f>
        <v>0.8620762836007333</v>
      </c>
      <c r="P156" s="399"/>
      <c r="Q156" s="448">
        <f ca="1">IFERROR(Q144/Q154,0)</f>
        <v>1.4323042820989722</v>
      </c>
      <c r="R156" s="399"/>
      <c r="S156" s="400"/>
      <c r="U156" s="1277"/>
    </row>
    <row r="157" spans="2:31" ht="15" outlineLevel="1" thickBot="1" x14ac:dyDescent="0.35">
      <c r="B157" s="205"/>
      <c r="C157" s="359"/>
      <c r="D157" s="449"/>
      <c r="E157" s="206"/>
      <c r="F157" s="449"/>
      <c r="G157" s="206"/>
      <c r="H157" s="449"/>
      <c r="I157" s="206"/>
      <c r="J157" s="449"/>
      <c r="K157" s="206"/>
      <c r="L157" s="207"/>
      <c r="N157" s="450"/>
      <c r="O157" s="450"/>
      <c r="P157" s="450"/>
      <c r="Q157" s="450"/>
      <c r="R157" s="450"/>
      <c r="S157" s="451"/>
      <c r="U157" s="1277"/>
    </row>
    <row r="158" spans="2:31" ht="16.2" outlineLevel="1" thickBot="1" x14ac:dyDescent="0.35">
      <c r="B158" s="387"/>
      <c r="C158" s="452"/>
      <c r="D158" s="453"/>
      <c r="E158" s="387"/>
      <c r="F158" s="453"/>
      <c r="G158" s="387"/>
      <c r="H158" s="453"/>
      <c r="I158" s="387"/>
      <c r="J158" s="453"/>
      <c r="K158" s="387"/>
      <c r="L158" s="358"/>
    </row>
    <row r="159" spans="2:31" ht="16.2" thickBot="1" x14ac:dyDescent="0.35">
      <c r="B159" s="168" t="s">
        <v>166</v>
      </c>
      <c r="C159" s="169"/>
      <c r="D159" s="169"/>
      <c r="E159" s="169"/>
      <c r="F159" s="169"/>
      <c r="G159" s="169"/>
      <c r="H159" s="169"/>
      <c r="I159" s="169"/>
      <c r="J159" s="169"/>
      <c r="K159" s="169"/>
      <c r="L159" s="170"/>
    </row>
    <row r="160" spans="2:31" ht="14.4" x14ac:dyDescent="0.3">
      <c r="B160" s="388"/>
      <c r="C160" s="454"/>
      <c r="D160" s="455"/>
      <c r="E160" s="173"/>
      <c r="F160" s="455"/>
      <c r="G160" s="173"/>
      <c r="H160" s="455"/>
      <c r="I160" s="173"/>
      <c r="J160" s="455"/>
      <c r="K160" s="173"/>
      <c r="L160" s="174"/>
    </row>
    <row r="161" spans="2:12" ht="14.4" outlineLevel="1" x14ac:dyDescent="0.3">
      <c r="B161" s="203"/>
      <c r="C161" s="393"/>
      <c r="D161" s="403">
        <f>'BDO Prequal'!D99</f>
        <v>45291</v>
      </c>
      <c r="E161" s="176"/>
      <c r="F161" s="403">
        <f>'BDO Prequal'!F99</f>
        <v>45657</v>
      </c>
      <c r="G161" s="176"/>
      <c r="H161" s="403">
        <f>'BDO Prequal'!H99</f>
        <v>46022</v>
      </c>
      <c r="I161" s="176"/>
      <c r="J161" s="403">
        <f>'BDO Prequal'!J99</f>
        <v>46142</v>
      </c>
      <c r="K161" s="176"/>
      <c r="L161" s="178"/>
    </row>
    <row r="162" spans="2:12" ht="14.4" outlineLevel="1" x14ac:dyDescent="0.3">
      <c r="B162" s="203"/>
      <c r="C162" s="204" t="s">
        <v>167</v>
      </c>
      <c r="D162" s="446">
        <f>'BDO Prequal'!D144-'BDO Prequal'!D142</f>
        <v>1368354</v>
      </c>
      <c r="E162" s="176"/>
      <c r="F162" s="446">
        <f>'BDO Prequal'!F144-'BDO Prequal'!F142</f>
        <v>2457546</v>
      </c>
      <c r="G162" s="176"/>
      <c r="H162" s="446">
        <f>'BDO Prequal'!H144-'BDO Prequal'!H142</f>
        <v>2978589</v>
      </c>
      <c r="I162" s="176"/>
      <c r="J162" s="446">
        <f>'BDO Prequal'!J144-'BDO Prequal'!J142</f>
        <v>999105</v>
      </c>
      <c r="K162" s="176"/>
      <c r="L162" s="178"/>
    </row>
    <row r="163" spans="2:12" ht="14.4" outlineLevel="1" x14ac:dyDescent="0.3">
      <c r="B163" s="203"/>
      <c r="C163" s="204"/>
      <c r="D163" s="456"/>
      <c r="E163" s="176"/>
      <c r="F163" s="456"/>
      <c r="G163" s="176"/>
      <c r="H163" s="456"/>
      <c r="I163" s="176"/>
      <c r="J163" s="456"/>
      <c r="K163" s="176"/>
      <c r="L163" s="178"/>
    </row>
    <row r="164" spans="2:12" ht="14.4" outlineLevel="1" x14ac:dyDescent="0.3">
      <c r="B164" s="203"/>
      <c r="C164" s="204" t="str">
        <f>IF(Affiliates!$B$43="{Insert business name which represents Affiliate 1}","Affiliate 1 - Net Cashflow",_xlfn.CONCAT(Affiliates!$B$43," - Net Cashflow"))</f>
        <v>Affiliate 1 - Net Cashflow</v>
      </c>
      <c r="D164" s="446">
        <f>Affiliates!D5-Affiliates!D6</f>
        <v>0</v>
      </c>
      <c r="E164" s="176"/>
      <c r="F164" s="446">
        <f>Affiliates!F5-Affiliates!F6</f>
        <v>0</v>
      </c>
      <c r="G164" s="176"/>
      <c r="H164" s="446">
        <f>Affiliates!H5-Affiliates!H6</f>
        <v>0</v>
      </c>
      <c r="I164" s="176"/>
      <c r="J164" s="446">
        <f>Affiliates!J5-Affiliates!J6</f>
        <v>0</v>
      </c>
      <c r="K164" s="176"/>
      <c r="L164" s="178"/>
    </row>
    <row r="165" spans="2:12" ht="14.4" outlineLevel="1" x14ac:dyDescent="0.3">
      <c r="B165" s="203"/>
      <c r="C165" s="204" t="str">
        <f>IF(Affiliates!$B$99="{Insert business name which represents Affiliate 2}","Affiliate 2 - Net Cashflow",_xlfn.CONCAT(Affiliates!$B$99," - Net Cashflow"))</f>
        <v>Affiliate 2 - Net Cashflow</v>
      </c>
      <c r="D165" s="446">
        <f>Affiliates!D8-Affiliates!D9</f>
        <v>0</v>
      </c>
      <c r="E165" s="176"/>
      <c r="F165" s="446">
        <f>Affiliates!F8-Affiliates!F9</f>
        <v>0</v>
      </c>
      <c r="G165" s="176"/>
      <c r="H165" s="446">
        <f>Affiliates!H8-Affiliates!H9</f>
        <v>0</v>
      </c>
      <c r="I165" s="176"/>
      <c r="J165" s="446">
        <f>Affiliates!J8-Affiliates!J9</f>
        <v>0</v>
      </c>
      <c r="K165" s="176"/>
      <c r="L165" s="178"/>
    </row>
    <row r="166" spans="2:12" ht="14.4" outlineLevel="1" x14ac:dyDescent="0.3">
      <c r="B166" s="203"/>
      <c r="C166" s="204" t="str">
        <f>IF(Affiliates!$B$155="{Insert business name which represents Affiliate 3}","Affiliate 3 - Net Cashflow",_xlfn.CONCAT(Affiliates!$B$155," - Net Cashflow"))</f>
        <v>Affiliate 3 - Net Cashflow</v>
      </c>
      <c r="D166" s="446">
        <f>Affiliates!D11-Affiliates!D12</f>
        <v>0</v>
      </c>
      <c r="E166" s="176"/>
      <c r="F166" s="446">
        <f>Affiliates!F11-Affiliates!F12</f>
        <v>0</v>
      </c>
      <c r="G166" s="176"/>
      <c r="H166" s="446">
        <f>Affiliates!H11-Affiliates!H12</f>
        <v>0</v>
      </c>
      <c r="I166" s="176"/>
      <c r="J166" s="446">
        <f>Affiliates!J11-Affiliates!J12</f>
        <v>0</v>
      </c>
      <c r="K166" s="176"/>
      <c r="L166" s="178"/>
    </row>
    <row r="167" spans="2:12" ht="14.4" outlineLevel="1" x14ac:dyDescent="0.3">
      <c r="B167" s="203"/>
      <c r="C167" s="204" t="str">
        <f>IF(Affiliates!$B$211="{Insert business name which represents Affiliate 4}","Affiliate 4 - Net Cashflow",_xlfn.CONCAT(Affiliates!$B$211," - Net Cashflow"))</f>
        <v>Affiliate 4 - Net Cashflow</v>
      </c>
      <c r="D167" s="446">
        <f>Affiliates!D14-Affiliates!D15</f>
        <v>0</v>
      </c>
      <c r="E167" s="176"/>
      <c r="F167" s="446">
        <f>Affiliates!F14-Affiliates!F15</f>
        <v>0</v>
      </c>
      <c r="G167" s="176"/>
      <c r="H167" s="446">
        <f>Affiliates!H14-Affiliates!H15</f>
        <v>0</v>
      </c>
      <c r="I167" s="176"/>
      <c r="J167" s="446">
        <f>Affiliates!J14-Affiliates!J15</f>
        <v>0</v>
      </c>
      <c r="K167" s="176"/>
      <c r="L167" s="178"/>
    </row>
    <row r="168" spans="2:12" ht="14.4" outlineLevel="1" x14ac:dyDescent="0.3">
      <c r="B168" s="203"/>
      <c r="C168" s="204" t="str">
        <f>IF(Affiliates!$B$267="{Insert business name which represents Affiliate 5}","Affiliate 5 - Net Cashflow",_xlfn.CONCAT(Affiliates!$B$267," - Net Cashflow"))</f>
        <v>Affiliate 5 - Net Cashflow</v>
      </c>
      <c r="D168" s="446">
        <f>Affiliates!D17-Affiliates!D18</f>
        <v>0</v>
      </c>
      <c r="E168" s="176"/>
      <c r="F168" s="446">
        <f>Affiliates!F17-Affiliates!F18</f>
        <v>0</v>
      </c>
      <c r="G168" s="176"/>
      <c r="H168" s="446">
        <f>Affiliates!H17-Affiliates!H18</f>
        <v>0</v>
      </c>
      <c r="I168" s="176"/>
      <c r="J168" s="446">
        <f>Affiliates!J17-Affiliates!J18</f>
        <v>0</v>
      </c>
      <c r="K168" s="176"/>
      <c r="L168" s="178"/>
    </row>
    <row r="169" spans="2:12" ht="14.4" outlineLevel="1" x14ac:dyDescent="0.3">
      <c r="B169" s="203"/>
      <c r="C169" s="204" t="str">
        <f>IF(Affiliates!$B$323="{Insert business name which represents Affiliate 6}","Affiliate 6 - Net Cashflow",_xlfn.CONCAT(Affiliates!$B$323," - Net Cashflow"))</f>
        <v>Affiliate 6 - Net Cashflow</v>
      </c>
      <c r="D169" s="446">
        <f>Affiliates!D20-Affiliates!D21</f>
        <v>0</v>
      </c>
      <c r="E169" s="176"/>
      <c r="F169" s="446">
        <f>Affiliates!F20-Affiliates!F21</f>
        <v>0</v>
      </c>
      <c r="G169" s="176"/>
      <c r="H169" s="446">
        <f>Affiliates!H20-Affiliates!H21</f>
        <v>0</v>
      </c>
      <c r="I169" s="176"/>
      <c r="J169" s="446">
        <f>Affiliates!J20-Affiliates!J21</f>
        <v>0</v>
      </c>
      <c r="K169" s="176"/>
      <c r="L169" s="178"/>
    </row>
    <row r="170" spans="2:12" ht="14.4" outlineLevel="1" x14ac:dyDescent="0.3">
      <c r="B170" s="203"/>
      <c r="C170" s="204" t="str">
        <f>IF(Affiliates!$B$379="{Insert business name which represents Affiliate 7}","Affiliate 7 - Net Cashflow",_xlfn.CONCAT(Affiliates!$B$379," - Net Cashflow"))</f>
        <v>Affiliate 7 - Net Cashflow</v>
      </c>
      <c r="D170" s="446">
        <f>Affiliates!D23-Affiliates!D24</f>
        <v>0</v>
      </c>
      <c r="E170" s="176"/>
      <c r="F170" s="446">
        <f>Affiliates!F23-Affiliates!F24</f>
        <v>0</v>
      </c>
      <c r="G170" s="176"/>
      <c r="H170" s="446">
        <f>Affiliates!H23-Affiliates!H24</f>
        <v>0</v>
      </c>
      <c r="I170" s="176"/>
      <c r="J170" s="446">
        <f>Affiliates!J23-Affiliates!J24</f>
        <v>0</v>
      </c>
      <c r="K170" s="176"/>
      <c r="L170" s="178"/>
    </row>
    <row r="171" spans="2:12" ht="14.4" outlineLevel="1" x14ac:dyDescent="0.3">
      <c r="B171" s="203"/>
      <c r="C171" s="204" t="str">
        <f>IF(Affiliates!$B$435="{Insert business name which represents Affiliate 8}","Affiliate 8 - Net Cashflow",_xlfn.CONCAT(Affiliates!$B$435," - Net Cashflow"))</f>
        <v>Affiliate 8 - Net Cashflow</v>
      </c>
      <c r="D171" s="446">
        <f>Affiliates!D26-Affiliates!D27</f>
        <v>0</v>
      </c>
      <c r="E171" s="176"/>
      <c r="F171" s="446">
        <f>Affiliates!F26-Affiliates!F27</f>
        <v>0</v>
      </c>
      <c r="G171" s="176"/>
      <c r="H171" s="446">
        <f>Affiliates!H26-Affiliates!H27</f>
        <v>0</v>
      </c>
      <c r="I171" s="176"/>
      <c r="J171" s="446">
        <f>Affiliates!J26-Affiliates!J27</f>
        <v>0</v>
      </c>
      <c r="K171" s="176"/>
      <c r="L171" s="178"/>
    </row>
    <row r="172" spans="2:12" ht="14.4" outlineLevel="1" x14ac:dyDescent="0.3">
      <c r="B172" s="203"/>
      <c r="C172" s="204" t="str">
        <f>IF(Affiliates!$B$491="{Insert business name which represents Affiliate 9}","Affiliate 9 - Net Cashflow",_xlfn.CONCAT(Affiliates!$B$491," - Net Cashflow"))</f>
        <v>Affiliate 9 - Net Cashflow</v>
      </c>
      <c r="D172" s="446">
        <f>Affiliates!D29-Affiliates!D30</f>
        <v>0</v>
      </c>
      <c r="E172" s="176"/>
      <c r="F172" s="446">
        <f>Affiliates!F29-Affiliates!F30</f>
        <v>0</v>
      </c>
      <c r="G172" s="176"/>
      <c r="H172" s="446">
        <f>Affiliates!H29-Affiliates!H30</f>
        <v>0</v>
      </c>
      <c r="I172" s="176"/>
      <c r="J172" s="446">
        <f>Affiliates!J29-Affiliates!J30</f>
        <v>0</v>
      </c>
      <c r="K172" s="176"/>
      <c r="L172" s="178"/>
    </row>
    <row r="173" spans="2:12" ht="14.4" outlineLevel="1" x14ac:dyDescent="0.3">
      <c r="B173" s="203"/>
      <c r="C173" s="204" t="str">
        <f>IF(Affiliates!$B$547="{Insert business name which represents Affiliate 10}","Affiliate 10 - Net Cashflow",_xlfn.CONCAT(Affiliates!$B$547," - Net Cashflow"))</f>
        <v>Affiliate 10 - Net Cashflow</v>
      </c>
      <c r="D173" s="446">
        <f>Affiliates!D32-Affiliates!D33</f>
        <v>0</v>
      </c>
      <c r="E173" s="176"/>
      <c r="F173" s="446">
        <f>Affiliates!F32-Affiliates!F33</f>
        <v>0</v>
      </c>
      <c r="G173" s="176"/>
      <c r="H173" s="446">
        <f>Affiliates!H32-Affiliates!H33</f>
        <v>0</v>
      </c>
      <c r="I173" s="176"/>
      <c r="J173" s="446">
        <f>Affiliates!J32-Affiliates!J33</f>
        <v>0</v>
      </c>
      <c r="K173" s="176"/>
      <c r="L173" s="178"/>
    </row>
    <row r="174" spans="2:12" ht="14.4" outlineLevel="1" x14ac:dyDescent="0.3">
      <c r="B174" s="203"/>
      <c r="C174" s="204" t="str">
        <f>IF(Affiliates!$B$603="{Insert business name which represents Affiliate 11}","Affiliate 11 - Net Cashflow",_xlfn.CONCAT(Affiliates!$B$603," - Net Cashflow"))</f>
        <v>Affiliate 11 - Net Cashflow</v>
      </c>
      <c r="D174" s="446">
        <f>Affiliates!D35-Affiliates!D36</f>
        <v>0</v>
      </c>
      <c r="E174" s="176"/>
      <c r="F174" s="446">
        <f>Affiliates!F35-Affiliates!F36</f>
        <v>0</v>
      </c>
      <c r="G174" s="176"/>
      <c r="H174" s="446">
        <f>Affiliates!H35-Affiliates!H36</f>
        <v>0</v>
      </c>
      <c r="I174" s="176"/>
      <c r="J174" s="446">
        <f>Affiliates!J35-Affiliates!J36</f>
        <v>0</v>
      </c>
      <c r="K174" s="176"/>
      <c r="L174" s="178"/>
    </row>
    <row r="175" spans="2:12" ht="14.4" outlineLevel="1" x14ac:dyDescent="0.3">
      <c r="B175" s="203"/>
      <c r="C175" s="204" t="str">
        <f>IF(Affiliates!$B$659="{Insert business name which represents Affiliate 12}","Affiliate 12 - Net Cashflow",_xlfn.CONCAT(Affiliates!$B$659," - Net Cashflow"))</f>
        <v>Affiliate 12 - Net Cashflow</v>
      </c>
      <c r="D175" s="446">
        <f>Affiliates!D38-Affiliates!D39</f>
        <v>0</v>
      </c>
      <c r="E175" s="176"/>
      <c r="F175" s="446">
        <f>Affiliates!F38-Affiliates!F39</f>
        <v>0</v>
      </c>
      <c r="G175" s="176"/>
      <c r="H175" s="446">
        <f>Affiliates!H38-Affiliates!H39</f>
        <v>0</v>
      </c>
      <c r="I175" s="176"/>
      <c r="J175" s="446">
        <f>Affiliates!J38-Affiliates!J39</f>
        <v>0</v>
      </c>
      <c r="K175" s="176"/>
      <c r="L175" s="178"/>
    </row>
    <row r="176" spans="2:12" ht="14.4" outlineLevel="1" x14ac:dyDescent="0.3">
      <c r="B176" s="203"/>
      <c r="C176" s="204"/>
      <c r="D176" s="456"/>
      <c r="E176" s="176"/>
      <c r="F176" s="456"/>
      <c r="G176" s="176"/>
      <c r="H176" s="456"/>
      <c r="I176" s="176"/>
      <c r="J176" s="456"/>
      <c r="K176" s="176"/>
      <c r="L176" s="178"/>
    </row>
    <row r="177" spans="2:12" ht="14.4" outlineLevel="1" x14ac:dyDescent="0.3">
      <c r="B177" s="203"/>
      <c r="C177" s="204" t="str">
        <f>IF(Guarantors!B6="Customer 1","Owner/Guarantor 1 - Net Cashflow",_xlfn.CONCAT(Guarantors!B6," - Net Cashflow"))</f>
        <v>Jeff Able - Net Cashflow</v>
      </c>
      <c r="D177" s="446">
        <f>IF(Guarantors!AG6="Yes",Guarantors!AA6,0)</f>
        <v>126375</v>
      </c>
      <c r="E177" s="176"/>
      <c r="F177" s="446">
        <f>IF(Guarantors!AG6="Yes",Guarantors!AA6,0)</f>
        <v>126375</v>
      </c>
      <c r="G177" s="176"/>
      <c r="H177" s="446">
        <f>IF(Guarantors!AG6="Yes",Guarantors!AA6,0)</f>
        <v>126375</v>
      </c>
      <c r="I177" s="176"/>
      <c r="J177" s="446">
        <f>IF(Guarantors!AG6="Yes",Guarantors!AA6,0)</f>
        <v>126375</v>
      </c>
      <c r="K177" s="176"/>
      <c r="L177" s="178"/>
    </row>
    <row r="178" spans="2:12" ht="14.4" outlineLevel="1" x14ac:dyDescent="0.3">
      <c r="B178" s="203"/>
      <c r="C178" s="204" t="str">
        <f>IF(Guarantors!B7="Customer 2","Owner/Guarantor 2 - Net Cashflow",_xlfn.CONCAT(Guarantors!B7," - Net Cashflow"))</f>
        <v>Lisa McClure - Net Cashflow</v>
      </c>
      <c r="D178" s="446">
        <f>IF(Guarantors!AG7="Yes",Guarantors!AA7,0)</f>
        <v>-80000</v>
      </c>
      <c r="E178" s="176"/>
      <c r="F178" s="446">
        <f>IF(Guarantors!AG7="Yes",Guarantors!AA7,0)</f>
        <v>-80000</v>
      </c>
      <c r="G178" s="176"/>
      <c r="H178" s="446">
        <f>IF(Guarantors!AG7="Yes",Guarantors!AA7,0)</f>
        <v>-80000</v>
      </c>
      <c r="I178" s="176"/>
      <c r="J178" s="446">
        <f>IF(Guarantors!AG7="Yes",Guarantors!AA7,0)</f>
        <v>-80000</v>
      </c>
      <c r="K178" s="176"/>
      <c r="L178" s="178"/>
    </row>
    <row r="179" spans="2:12" ht="14.4" outlineLevel="1" x14ac:dyDescent="0.3">
      <c r="B179" s="203"/>
      <c r="C179" s="204" t="str">
        <f>IF(Guarantors!B8="Customer 3","Owner/Guarantor 3 - Net Cashflow",_xlfn.CONCAT(Guarantors!B8," - Net Cashflow"))</f>
        <v>Brandon Johnson - Net Cashflow</v>
      </c>
      <c r="D179" s="446">
        <f>IF(Guarantors!AG8="Yes",Guarantors!AA8,0)</f>
        <v>-178960</v>
      </c>
      <c r="E179" s="176"/>
      <c r="F179" s="446">
        <f>IF(Guarantors!AG8="Yes",Guarantors!AA8,0)</f>
        <v>-178960</v>
      </c>
      <c r="G179" s="176"/>
      <c r="H179" s="446">
        <f>IF(Guarantors!AG8="Yes",Guarantors!AA8,0)</f>
        <v>-178960</v>
      </c>
      <c r="I179" s="176"/>
      <c r="J179" s="446">
        <f>IF(Guarantors!AG8="Yes",Guarantors!AA8,0)</f>
        <v>-178960</v>
      </c>
      <c r="K179" s="176"/>
      <c r="L179" s="178"/>
    </row>
    <row r="180" spans="2:12" ht="14.4" outlineLevel="1" x14ac:dyDescent="0.3">
      <c r="B180" s="203"/>
      <c r="C180" s="204" t="str">
        <f>IF(Guarantors!B9="Customer 4","Owner/Guarantor 4 - Net Cashflow",_xlfn.CONCAT(Guarantors!B9," - Net Cashflow"))</f>
        <v>Riku Patel - Net Cashflow</v>
      </c>
      <c r="D180" s="446">
        <f>IF(Guarantors!AG9="Yes",Guarantors!AA9,0)</f>
        <v>22586.666666666664</v>
      </c>
      <c r="E180" s="176"/>
      <c r="F180" s="446">
        <f>IF(Guarantors!AG9="Yes",Guarantors!AA9,0)</f>
        <v>22586.666666666664</v>
      </c>
      <c r="G180" s="176"/>
      <c r="H180" s="446">
        <f>IF(Guarantors!AG9="Yes",Guarantors!AA9,0)</f>
        <v>22586.666666666664</v>
      </c>
      <c r="I180" s="176"/>
      <c r="J180" s="446">
        <f>IF(Guarantors!AG9="Yes",Guarantors!AA9,0)</f>
        <v>22586.666666666664</v>
      </c>
      <c r="K180" s="176"/>
      <c r="L180" s="178"/>
    </row>
    <row r="181" spans="2:12" ht="14.4" outlineLevel="1" x14ac:dyDescent="0.3">
      <c r="B181" s="203"/>
      <c r="C181" s="204" t="str">
        <f>IF(Guarantors!B10="Customer 5","Owner/Guarantor 5 - Net Cashflow",_xlfn.CONCAT(Guarantors!B10," - Net Cashflow"))</f>
        <v>Divy Patel - Net Cashflow</v>
      </c>
      <c r="D181" s="446">
        <f>IF(Guarantors!AG10="Yes",Guarantors!AA10,0)</f>
        <v>25226.666666666664</v>
      </c>
      <c r="E181" s="176"/>
      <c r="F181" s="446">
        <f>IF(Guarantors!AG10="Yes",Guarantors!AA10,0)</f>
        <v>25226.666666666664</v>
      </c>
      <c r="G181" s="176"/>
      <c r="H181" s="446">
        <f>IF(Guarantors!AG10="Yes",Guarantors!AA10,0)</f>
        <v>25226.666666666664</v>
      </c>
      <c r="I181" s="176"/>
      <c r="J181" s="446">
        <f>IF(Guarantors!AG10="Yes",Guarantors!AA10,0)</f>
        <v>25226.666666666664</v>
      </c>
      <c r="K181" s="176"/>
      <c r="L181" s="178"/>
    </row>
    <row r="182" spans="2:12" ht="14.4" outlineLevel="1" x14ac:dyDescent="0.3">
      <c r="B182" s="203"/>
      <c r="C182" s="204" t="str">
        <f>IF(Guarantors!B11="Customer 6","Owner/Guarantor 6 - Net Cashflow",_xlfn.CONCAT(Guarantors!B11," - Net Cashflow"))</f>
        <v>Owner/Guarantor 6 - Net Cashflow</v>
      </c>
      <c r="D182" s="446">
        <f>IF(Guarantors!AG11="Yes",Guarantors!AA11,0)</f>
        <v>0</v>
      </c>
      <c r="E182" s="176"/>
      <c r="F182" s="446">
        <f>IF(Guarantors!AG11="Yes",Guarantors!AA11,0)</f>
        <v>0</v>
      </c>
      <c r="G182" s="176"/>
      <c r="H182" s="446">
        <f>IF(Guarantors!AG11="Yes",Guarantors!AA11,0)</f>
        <v>0</v>
      </c>
      <c r="I182" s="176"/>
      <c r="J182" s="446">
        <f>IF(Guarantors!AG11="Yes",Guarantors!AA11,0)</f>
        <v>0</v>
      </c>
      <c r="K182" s="176"/>
      <c r="L182" s="178"/>
    </row>
    <row r="183" spans="2:12" ht="14.4" outlineLevel="1" x14ac:dyDescent="0.3">
      <c r="B183" s="203"/>
      <c r="C183" s="204" t="str">
        <f>IF(Guarantors!B12="Customer 7","Owner/Guarantor 7 - Net Cashflow",_xlfn.CONCAT(Guarantors!B12," - Net Cashflow"))</f>
        <v>Owner/Guarantor 7 - Net Cashflow</v>
      </c>
      <c r="D183" s="446">
        <f>IF(Guarantors!AG12="Yes",Guarantors!AA12,0)</f>
        <v>0</v>
      </c>
      <c r="E183" s="176"/>
      <c r="F183" s="446">
        <f>IF(Guarantors!AG12="Yes",Guarantors!AA12,0)</f>
        <v>0</v>
      </c>
      <c r="G183" s="176"/>
      <c r="H183" s="446">
        <f>IF(Guarantors!AG12="Yes",Guarantors!AA12,0)</f>
        <v>0</v>
      </c>
      <c r="I183" s="176"/>
      <c r="J183" s="446">
        <f>IF(Guarantors!AG12="Yes",Guarantors!AA12,0)</f>
        <v>0</v>
      </c>
      <c r="K183" s="176"/>
      <c r="L183" s="178"/>
    </row>
    <row r="184" spans="2:12" ht="14.4" outlineLevel="1" x14ac:dyDescent="0.3">
      <c r="B184" s="203"/>
      <c r="C184" s="204" t="str">
        <f>IF(Guarantors!B13="Customer 8","Owner/Guarantor 8 - Net Cashflow",_xlfn.CONCAT(Guarantors!B13," - Net Cashflow"))</f>
        <v>Owner/Guarantor 8 - Net Cashflow</v>
      </c>
      <c r="D184" s="446">
        <f>IF(Guarantors!AG13="Yes",Guarantors!AA13,0)</f>
        <v>0</v>
      </c>
      <c r="E184" s="176"/>
      <c r="F184" s="446">
        <f>IF(Guarantors!AG13="Yes",Guarantors!AA13,0)</f>
        <v>0</v>
      </c>
      <c r="G184" s="176"/>
      <c r="H184" s="446">
        <f>IF(Guarantors!AG13="Yes",Guarantors!AA13,0)</f>
        <v>0</v>
      </c>
      <c r="I184" s="176"/>
      <c r="J184" s="446">
        <f>IF(Guarantors!AG13="Yes",Guarantors!AA13,0)</f>
        <v>0</v>
      </c>
      <c r="K184" s="176"/>
      <c r="L184" s="178"/>
    </row>
    <row r="185" spans="2:12" ht="14.4" outlineLevel="1" x14ac:dyDescent="0.3">
      <c r="B185" s="203"/>
      <c r="C185" s="204" t="str">
        <f>IF(Guarantors!B14="Customer 9","Owner/Guarantor 9 - Net Cashflow",_xlfn.CONCAT(Guarantors!B14," - Net Cashflow"))</f>
        <v>Owner/Guarantor 9 - Net Cashflow</v>
      </c>
      <c r="D185" s="446">
        <f>IF(Guarantors!AG14="Yes",Guarantors!AA14,0)</f>
        <v>0</v>
      </c>
      <c r="E185" s="176"/>
      <c r="F185" s="446">
        <f>IF(Guarantors!AG14="Yes",Guarantors!AA14,0)</f>
        <v>0</v>
      </c>
      <c r="G185" s="176"/>
      <c r="H185" s="446">
        <f>IF(Guarantors!AG14="Yes",Guarantors!AA14,0)</f>
        <v>0</v>
      </c>
      <c r="I185" s="176"/>
      <c r="J185" s="446">
        <f>IF(Guarantors!AG14="Yes",Guarantors!AA14,0)</f>
        <v>0</v>
      </c>
      <c r="K185" s="176"/>
      <c r="L185" s="178"/>
    </row>
    <row r="186" spans="2:12" ht="14.4" outlineLevel="1" x14ac:dyDescent="0.3">
      <c r="B186" s="203"/>
      <c r="C186" s="204" t="str">
        <f>IF(Guarantors!B15="Customer 10","Owner/Guarantor 10 - Net Cashflow",_xlfn.CONCAT(Guarantors!B15," - Net Cashflow"))</f>
        <v>Owner/Guarantor 10 - Net Cashflow</v>
      </c>
      <c r="D186" s="446">
        <f>IF(Guarantors!AG15="Yes",Guarantors!AA15,0)</f>
        <v>0</v>
      </c>
      <c r="E186" s="176"/>
      <c r="F186" s="446">
        <f>IF(Guarantors!AG15="Yes",Guarantors!AA15,0)</f>
        <v>0</v>
      </c>
      <c r="G186" s="176"/>
      <c r="H186" s="446">
        <f>IF(Guarantors!AG15="Yes",Guarantors!AA15,0)</f>
        <v>0</v>
      </c>
      <c r="I186" s="176"/>
      <c r="J186" s="446">
        <f>IF(Guarantors!AG15="Yes",Guarantors!AA15,0)</f>
        <v>0</v>
      </c>
      <c r="K186" s="176"/>
      <c r="L186" s="178"/>
    </row>
    <row r="187" spans="2:12" ht="14.4" outlineLevel="1" x14ac:dyDescent="0.3">
      <c r="B187" s="203"/>
      <c r="C187" s="204"/>
      <c r="D187" s="457"/>
      <c r="E187" s="176"/>
      <c r="F187" s="457"/>
      <c r="G187" s="176"/>
      <c r="H187" s="457"/>
      <c r="I187" s="176"/>
      <c r="J187" s="457"/>
      <c r="K187" s="176"/>
      <c r="L187" s="178"/>
    </row>
    <row r="188" spans="2:12" ht="14.4" outlineLevel="1" x14ac:dyDescent="0.3">
      <c r="B188" s="203"/>
      <c r="C188" s="204" t="s">
        <v>169</v>
      </c>
      <c r="D188" s="446">
        <f>D162+D164+D165+D166+D167+D168+D169+D170+D171+D172+D173+D174+D175+D177+D178+D179+D180+D181+D182+D183+D184+D185+D186</f>
        <v>1283582.3333333335</v>
      </c>
      <c r="E188" s="176"/>
      <c r="F188" s="446">
        <f>F162+F164+F165+F166+F167+F168+F169+F170+F171+F172+F173+F174+F175+F177+F178+F179+F180+F181+F182+F183+F184+F185+F186</f>
        <v>2372774.333333333</v>
      </c>
      <c r="G188" s="176"/>
      <c r="H188" s="446">
        <f>H162+H164+H165+H166+H167+H168+H169+H170+H171+H172+H173+H174+H175+H177+H178+H179+H180+H181+H182+H183+H184+H185+H186</f>
        <v>2893817.333333333</v>
      </c>
      <c r="I188" s="176"/>
      <c r="J188" s="446">
        <f>J162+J164+J165+J166+J167+J168+J169+J170+J171+J172+J173+J174+J175+J177+J178+J179+J180+J181+J182+J183+J184+J185+J186</f>
        <v>914333.33333333326</v>
      </c>
      <c r="K188" s="176"/>
      <c r="L188" s="178"/>
    </row>
    <row r="189" spans="2:12" ht="14.4" outlineLevel="1" x14ac:dyDescent="0.3">
      <c r="B189" s="203"/>
      <c r="C189" s="204" t="s">
        <v>168</v>
      </c>
      <c r="D189" s="446">
        <f ca="1">'BDO Prequal'!D154</f>
        <v>1402598.6133728405</v>
      </c>
      <c r="E189" s="176"/>
      <c r="F189" s="446">
        <f ca="1">'BDO Prequal'!F154</f>
        <v>1402598.6133728405</v>
      </c>
      <c r="G189" s="176"/>
      <c r="H189" s="446">
        <f ca="1">'BDO Prequal'!H154</f>
        <v>1402598.6133728405</v>
      </c>
      <c r="I189" s="176"/>
      <c r="J189" s="446">
        <f ca="1">'BDO Prequal'!J154</f>
        <v>467532.87112428015</v>
      </c>
      <c r="K189" s="176"/>
      <c r="L189" s="178"/>
    </row>
    <row r="190" spans="2:12" ht="14.4" outlineLevel="1" x14ac:dyDescent="0.3">
      <c r="B190" s="203"/>
      <c r="C190" s="204"/>
      <c r="D190" s="456"/>
      <c r="E190" s="176"/>
      <c r="F190" s="456"/>
      <c r="G190" s="176"/>
      <c r="H190" s="456"/>
      <c r="I190" s="176"/>
      <c r="J190" s="456"/>
      <c r="K190" s="176"/>
      <c r="L190" s="178"/>
    </row>
    <row r="191" spans="2:12" ht="14.4" outlineLevel="1" x14ac:dyDescent="0.3">
      <c r="B191" s="203"/>
      <c r="C191" s="420" t="s">
        <v>170</v>
      </c>
      <c r="D191" s="448">
        <f ca="1">IFERROR(D188/D189,0)</f>
        <v>0.91514587359151345</v>
      </c>
      <c r="E191" s="176"/>
      <c r="F191" s="448">
        <f ca="1">IFERROR(F188/F189,0)</f>
        <v>1.6916987587970753</v>
      </c>
      <c r="G191" s="176"/>
      <c r="H191" s="448">
        <f ca="1">IFERROR(H188/H189,0)</f>
        <v>2.0631827992290299</v>
      </c>
      <c r="I191" s="176"/>
      <c r="J191" s="448">
        <f ca="1">IFERROR(J188/J189,0)</f>
        <v>1.95565571921099</v>
      </c>
      <c r="K191" s="176"/>
      <c r="L191" s="178"/>
    </row>
    <row r="192" spans="2:12" ht="15" outlineLevel="1" thickBot="1" x14ac:dyDescent="0.35">
      <c r="B192" s="458"/>
      <c r="C192" s="318"/>
      <c r="D192" s="318"/>
      <c r="E192" s="206"/>
      <c r="F192" s="449"/>
      <c r="G192" s="206"/>
      <c r="H192" s="449"/>
      <c r="I192" s="206"/>
      <c r="J192" s="449"/>
      <c r="K192" s="206"/>
      <c r="L192" s="207"/>
    </row>
    <row r="193" spans="2:12" ht="15" outlineLevel="1" thickBot="1" x14ac:dyDescent="0.35"/>
    <row r="194" spans="2:12" ht="16.2" thickBot="1" x14ac:dyDescent="0.35">
      <c r="B194" s="168" t="s">
        <v>183</v>
      </c>
      <c r="C194" s="169"/>
      <c r="D194" s="169"/>
      <c r="E194" s="169"/>
      <c r="F194" s="169"/>
      <c r="G194" s="169"/>
      <c r="H194" s="169"/>
      <c r="I194" s="169"/>
      <c r="J194" s="169"/>
      <c r="K194" s="169"/>
      <c r="L194" s="170"/>
    </row>
    <row r="195" spans="2:12" ht="16.95" customHeight="1" x14ac:dyDescent="0.3">
      <c r="B195" s="459" t="s">
        <v>184</v>
      </c>
      <c r="C195" s="460"/>
      <c r="D195" s="460"/>
      <c r="E195" s="460"/>
      <c r="F195" s="460"/>
      <c r="G195" s="460"/>
      <c r="H195" s="460"/>
      <c r="I195" s="460"/>
      <c r="J195" s="460"/>
      <c r="K195" s="461"/>
      <c r="L195" s="462"/>
    </row>
    <row r="196" spans="2:12" ht="16.95" customHeight="1" outlineLevel="1" x14ac:dyDescent="0.3">
      <c r="B196" s="463" t="s">
        <v>173</v>
      </c>
      <c r="C196" s="1281" t="s">
        <v>185</v>
      </c>
      <c r="D196" s="1282"/>
      <c r="E196" s="1282"/>
      <c r="F196" s="1283"/>
      <c r="G196" s="464" t="s">
        <v>186</v>
      </c>
      <c r="H196" s="464" t="s">
        <v>412</v>
      </c>
      <c r="I196" s="464" t="s">
        <v>187</v>
      </c>
      <c r="J196" s="464" t="s">
        <v>188</v>
      </c>
      <c r="K196" s="465" t="s">
        <v>189</v>
      </c>
      <c r="L196" s="640"/>
    </row>
    <row r="197" spans="2:12" ht="15.6" outlineLevel="1" x14ac:dyDescent="0.3">
      <c r="B197" s="522" t="s">
        <v>413</v>
      </c>
      <c r="C197" s="1278"/>
      <c r="D197" s="1279"/>
      <c r="E197" s="1279"/>
      <c r="F197" s="1280"/>
      <c r="G197" s="523">
        <v>0</v>
      </c>
      <c r="H197" s="524">
        <f>IF(B197=Lists!$V$3,Lists!$W$3,IF(B197=Lists!$V$4,Lists!$W$4,IF(B197=Lists!$V$5,Lists!$W$5,IF(B197=Lists!$V$6,Lists!$W$6,IF(B197=Lists!$V$7,Lists!$W$7,IF(B197=Lists!$V$8,Lists!$W$8,IF(B197=Lists!$V$9,Lists!$W$9,IF(B197=Lists!$V$10,Lists!$W$10,Lists!$W$11))))))))</f>
        <v>0.85</v>
      </c>
      <c r="I197" s="526">
        <f t="shared" ref="I197:I205" si="32">G197*H197</f>
        <v>0</v>
      </c>
      <c r="J197" s="523">
        <v>0</v>
      </c>
      <c r="K197" s="527">
        <f t="shared" ref="K197:K205" si="33">IF(I197-J197&lt;0,0,I197-J197)</f>
        <v>0</v>
      </c>
      <c r="L197" s="641"/>
    </row>
    <row r="198" spans="2:12" ht="16.95" customHeight="1" outlineLevel="1" x14ac:dyDescent="0.3">
      <c r="B198" s="522" t="s">
        <v>414</v>
      </c>
      <c r="C198" s="1270"/>
      <c r="D198" s="1271"/>
      <c r="E198" s="1271"/>
      <c r="F198" s="1272"/>
      <c r="G198" s="523">
        <v>0</v>
      </c>
      <c r="H198" s="524">
        <f>IF(B198=Lists!$V$3,Lists!$W$3,IF(B198=Lists!$V$4,Lists!$W$4,IF(B198=Lists!$V$5,Lists!$W$5,IF(B198=Lists!$V$6,Lists!$W$6,IF(B198=Lists!$V$7,Lists!$W$7,IF(B198=Lists!$V$8,Lists!$W$8,IF(B198=Lists!$V$9,Lists!$W$9,IF(B198=Lists!$V$10,Lists!$W$10,Lists!$W$11))))))))</f>
        <v>0.85</v>
      </c>
      <c r="I198" s="526">
        <f t="shared" si="32"/>
        <v>0</v>
      </c>
      <c r="J198" s="523">
        <v>0</v>
      </c>
      <c r="K198" s="527">
        <f t="shared" si="33"/>
        <v>0</v>
      </c>
      <c r="L198" s="641"/>
    </row>
    <row r="199" spans="2:12" ht="16.95" customHeight="1" outlineLevel="1" x14ac:dyDescent="0.3">
      <c r="B199" s="522" t="s">
        <v>414</v>
      </c>
      <c r="C199" s="1270"/>
      <c r="D199" s="1271"/>
      <c r="E199" s="1271"/>
      <c r="F199" s="1272"/>
      <c r="G199" s="523">
        <v>0</v>
      </c>
      <c r="H199" s="524">
        <f>IF(B199=Lists!$V$3,Lists!$W$3,IF(B199=Lists!$V$4,Lists!$W$4,IF(B199=Lists!$V$5,Lists!$W$5,IF(B199=Lists!$V$6,Lists!$W$6,IF(B199=Lists!$V$7,Lists!$W$7,IF(B199=Lists!$V$8,Lists!$W$8,IF(B199=Lists!$V$9,Lists!$W$9,IF(B199=Lists!$V$10,Lists!$W$10,Lists!$W$11))))))))</f>
        <v>0.85</v>
      </c>
      <c r="I199" s="526">
        <f t="shared" si="32"/>
        <v>0</v>
      </c>
      <c r="J199" s="523">
        <v>0</v>
      </c>
      <c r="K199" s="527">
        <f t="shared" si="33"/>
        <v>0</v>
      </c>
      <c r="L199" s="641"/>
    </row>
    <row r="200" spans="2:12" ht="16.95" customHeight="1" outlineLevel="1" x14ac:dyDescent="0.3">
      <c r="B200" s="522" t="s">
        <v>62</v>
      </c>
      <c r="C200" s="1270"/>
      <c r="D200" s="1271"/>
      <c r="E200" s="1271"/>
      <c r="F200" s="1272"/>
      <c r="G200" s="523">
        <v>0</v>
      </c>
      <c r="H200" s="524">
        <f>IF(B200=Lists!$V$3,Lists!$W$3,IF(B200=Lists!$V$4,Lists!$W$4,IF(B200=Lists!$V$5,Lists!$W$5,IF(B200=Lists!$V$6,Lists!$W$6,IF(B200=Lists!$V$7,Lists!$W$7,IF(B200=Lists!$V$8,Lists!$W$8,IF(B200=Lists!$V$9,Lists!$W$9,IF(B200=Lists!$V$10,Lists!$W$10,Lists!$W$11))))))))</f>
        <v>0.5</v>
      </c>
      <c r="I200" s="526">
        <f t="shared" si="32"/>
        <v>0</v>
      </c>
      <c r="J200" s="523">
        <v>0</v>
      </c>
      <c r="K200" s="527">
        <f t="shared" si="33"/>
        <v>0</v>
      </c>
      <c r="L200" s="641"/>
    </row>
    <row r="201" spans="2:12" ht="16.95" customHeight="1" outlineLevel="1" x14ac:dyDescent="0.3">
      <c r="B201" s="522" t="s">
        <v>417</v>
      </c>
      <c r="C201" s="1270"/>
      <c r="D201" s="1271"/>
      <c r="E201" s="1271"/>
      <c r="F201" s="1272"/>
      <c r="G201" s="523">
        <v>0</v>
      </c>
      <c r="H201" s="524">
        <f>IF(B201=Lists!$V$3,Lists!$W$3,IF(B201=Lists!$V$4,Lists!$W$4,IF(B201=Lists!$V$5,Lists!$W$5,IF(B201=Lists!$V$6,Lists!$W$6,IF(B201=Lists!$V$7,Lists!$W$7,IF(B201=Lists!$V$8,Lists!$W$8,IF(B201=Lists!$V$9,Lists!$W$9,IF(B201=Lists!$V$10,Lists!$W$10,Lists!$W$11))))))))</f>
        <v>0.5</v>
      </c>
      <c r="I201" s="526">
        <f t="shared" si="32"/>
        <v>0</v>
      </c>
      <c r="J201" s="523">
        <v>0</v>
      </c>
      <c r="K201" s="527">
        <f t="shared" si="33"/>
        <v>0</v>
      </c>
      <c r="L201" s="641"/>
    </row>
    <row r="202" spans="2:12" ht="16.95" customHeight="1" outlineLevel="1" x14ac:dyDescent="0.3">
      <c r="B202" s="522" t="s">
        <v>190</v>
      </c>
      <c r="C202" s="1270"/>
      <c r="D202" s="1271"/>
      <c r="E202" s="1271"/>
      <c r="F202" s="1272"/>
      <c r="G202" s="523">
        <v>0</v>
      </c>
      <c r="H202" s="524">
        <f>IF(B202=Lists!$V$3,Lists!$W$3,IF(B202=Lists!$V$4,Lists!$W$4,IF(B202=Lists!$V$5,Lists!$W$5,IF(B202=Lists!$V$6,Lists!$W$6,IF(B202=Lists!$V$7,Lists!$W$7,IF(B202=Lists!$V$8,Lists!$W$8,IF(B202=Lists!$V$9,Lists!$W$9,IF(B202=Lists!$V$10,Lists!$W$10,Lists!$W$11))))))))</f>
        <v>0.1</v>
      </c>
      <c r="I202" s="526">
        <f t="shared" si="32"/>
        <v>0</v>
      </c>
      <c r="J202" s="523">
        <v>0</v>
      </c>
      <c r="K202" s="527">
        <f t="shared" si="33"/>
        <v>0</v>
      </c>
      <c r="L202" s="641"/>
    </row>
    <row r="203" spans="2:12" ht="16.95" customHeight="1" outlineLevel="1" x14ac:dyDescent="0.3">
      <c r="B203" s="522" t="s">
        <v>68</v>
      </c>
      <c r="C203" s="1270"/>
      <c r="D203" s="1271"/>
      <c r="E203" s="1271"/>
      <c r="F203" s="1272"/>
      <c r="G203" s="523">
        <v>0</v>
      </c>
      <c r="H203" s="524">
        <f>IF(B203=Lists!$V$3,Lists!$W$3,IF(B203=Lists!$V$4,Lists!$W$4,IF(B203=Lists!$V$5,Lists!$W$5,IF(B203=Lists!$V$6,Lists!$W$6,IF(B203=Lists!$V$7,Lists!$W$7,IF(B203=Lists!$V$8,Lists!$W$8,IF(B203=Lists!$V$9,Lists!$W$9,IF(B203=Lists!$V$10,Lists!$W$10,Lists!$W$11))))))))</f>
        <v>0.1</v>
      </c>
      <c r="I203" s="526">
        <f t="shared" si="32"/>
        <v>0</v>
      </c>
      <c r="J203" s="523">
        <v>0</v>
      </c>
      <c r="K203" s="527">
        <f t="shared" si="33"/>
        <v>0</v>
      </c>
      <c r="L203" s="641"/>
    </row>
    <row r="204" spans="2:12" ht="16.95" customHeight="1" outlineLevel="1" x14ac:dyDescent="0.3">
      <c r="B204" s="522" t="s">
        <v>415</v>
      </c>
      <c r="C204" s="1270"/>
      <c r="D204" s="1271"/>
      <c r="E204" s="1271"/>
      <c r="F204" s="1272"/>
      <c r="G204" s="523">
        <v>0</v>
      </c>
      <c r="H204" s="524">
        <f>IF(B204=Lists!$V$3,Lists!$W$3,IF(B204=Lists!$V$4,Lists!$W$4,IF(B204=Lists!$V$5,Lists!$W$5,IF(B204=Lists!$V$6,Lists!$W$6,IF(B204=Lists!$V$7,Lists!$W$7,IF(B204=Lists!$V$8,Lists!$W$8,IF(B204=Lists!$V$9,Lists!$W$9,IF(B204=Lists!$V$10,Lists!$W$10,Lists!$W$11))))))))</f>
        <v>0.1</v>
      </c>
      <c r="I204" s="526">
        <f t="shared" si="32"/>
        <v>0</v>
      </c>
      <c r="J204" s="523">
        <v>0</v>
      </c>
      <c r="K204" s="527">
        <f t="shared" si="33"/>
        <v>0</v>
      </c>
      <c r="L204" s="641"/>
    </row>
    <row r="205" spans="2:12" ht="16.95" customHeight="1" outlineLevel="1" x14ac:dyDescent="0.3">
      <c r="B205" s="522" t="s">
        <v>416</v>
      </c>
      <c r="C205" s="1267"/>
      <c r="D205" s="1268"/>
      <c r="E205" s="1268"/>
      <c r="F205" s="1269"/>
      <c r="G205" s="523">
        <v>0</v>
      </c>
      <c r="H205" s="524">
        <f>IF(B205=Lists!$V$3,Lists!$W$3,IF(B205=Lists!$V$4,Lists!$W$4,IF(B205=Lists!$V$5,Lists!$W$5,IF(B205=Lists!$V$6,Lists!$W$6,IF(B205=Lists!$V$7,Lists!$W$7,IF(B205=Lists!$V$8,Lists!$W$8,IF(B205=Lists!$V$9,Lists!$W$9,IF(B205=Lists!$V$10,Lists!$W$10,Lists!$W$11))))))))</f>
        <v>0.05</v>
      </c>
      <c r="I205" s="526">
        <f t="shared" si="32"/>
        <v>0</v>
      </c>
      <c r="J205" s="523">
        <v>0</v>
      </c>
      <c r="K205" s="527">
        <f t="shared" si="33"/>
        <v>0</v>
      </c>
      <c r="L205" s="641"/>
    </row>
    <row r="206" spans="2:12" ht="16.95" customHeight="1" outlineLevel="1" x14ac:dyDescent="0.3">
      <c r="B206" s="466"/>
      <c r="C206" s="467"/>
      <c r="D206" s="467"/>
      <c r="E206" s="614"/>
      <c r="F206" s="638" t="s">
        <v>192</v>
      </c>
      <c r="G206" s="529">
        <f>SUM(G197:G205)</f>
        <v>0</v>
      </c>
      <c r="H206" s="468"/>
      <c r="I206" s="525">
        <f>SUM(I197:I205)</f>
        <v>0</v>
      </c>
      <c r="J206" s="529">
        <f>SUM(J197:J205)</f>
        <v>0</v>
      </c>
      <c r="K206" s="528">
        <f>SUM(K197:K205)</f>
        <v>0</v>
      </c>
      <c r="L206" s="642"/>
    </row>
    <row r="207" spans="2:12" ht="16.95" customHeight="1" outlineLevel="1" x14ac:dyDescent="0.3">
      <c r="B207" s="469"/>
      <c r="C207" s="470"/>
      <c r="D207" s="470"/>
      <c r="E207" s="614"/>
      <c r="F207" s="614"/>
      <c r="G207" s="471"/>
      <c r="H207" s="471"/>
      <c r="I207" s="472"/>
      <c r="J207" s="472"/>
      <c r="K207" s="472"/>
      <c r="L207" s="643"/>
    </row>
    <row r="208" spans="2:12" ht="16.95" customHeight="1" outlineLevel="1" x14ac:dyDescent="0.3">
      <c r="B208" s="647" t="s">
        <v>64</v>
      </c>
      <c r="C208" s="530">
        <f>E55</f>
        <v>612591</v>
      </c>
      <c r="D208" s="470"/>
      <c r="E208" s="614"/>
      <c r="F208" s="614"/>
      <c r="G208" s="648" t="s">
        <v>193</v>
      </c>
      <c r="H208" s="533">
        <f>IFERROR((C208+J206)/G206,0)</f>
        <v>0</v>
      </c>
      <c r="I208" s="471"/>
      <c r="J208" s="649" t="s">
        <v>194</v>
      </c>
      <c r="K208" s="534">
        <f>IFERROR((J206+C208)/I206,0)</f>
        <v>0</v>
      </c>
      <c r="L208" s="644"/>
    </row>
    <row r="209" spans="2:12" ht="16.95" customHeight="1" outlineLevel="1" x14ac:dyDescent="0.3">
      <c r="B209" s="647" t="s">
        <v>195</v>
      </c>
      <c r="C209" s="531">
        <f>K206</f>
        <v>0</v>
      </c>
      <c r="D209" s="470"/>
      <c r="E209" s="614"/>
      <c r="F209" s="614"/>
      <c r="G209" s="648" t="s">
        <v>196</v>
      </c>
      <c r="H209" s="533">
        <f>IFERROR(G206/(C208+J206),0)</f>
        <v>0</v>
      </c>
      <c r="I209" s="471"/>
      <c r="J209" s="649" t="s">
        <v>197</v>
      </c>
      <c r="K209" s="534">
        <f>IFERROR(I206/(J206+C208),0)</f>
        <v>0</v>
      </c>
      <c r="L209" s="644"/>
    </row>
    <row r="210" spans="2:12" ht="16.95" customHeight="1" outlineLevel="1" x14ac:dyDescent="0.3">
      <c r="B210" s="647" t="s">
        <v>198</v>
      </c>
      <c r="C210" s="532">
        <f>IF(C208-C209&lt;0,0,C208-C209)</f>
        <v>612591</v>
      </c>
      <c r="D210" s="470"/>
      <c r="E210" s="614"/>
      <c r="F210" s="614"/>
      <c r="G210" s="470"/>
      <c r="H210" s="646"/>
      <c r="I210" s="472"/>
      <c r="J210" s="472"/>
      <c r="K210" s="472"/>
      <c r="L210" s="643"/>
    </row>
    <row r="211" spans="2:12" ht="16.95" customHeight="1" outlineLevel="1" thickBot="1" x14ac:dyDescent="0.35">
      <c r="B211" s="473"/>
      <c r="C211" s="474"/>
      <c r="D211" s="475"/>
      <c r="E211" s="639"/>
      <c r="F211" s="639"/>
      <c r="G211" s="475"/>
      <c r="H211" s="475"/>
      <c r="I211" s="476"/>
      <c r="J211" s="476"/>
      <c r="K211" s="476"/>
      <c r="L211" s="645"/>
    </row>
    <row r="212" spans="2:12" ht="16.95" customHeight="1" outlineLevel="1" x14ac:dyDescent="0.3"/>
  </sheetData>
  <sheetProtection sheet="1" formatColumns="0" formatRows="0" selectLockedCells="1"/>
  <mergeCells count="27">
    <mergeCell ref="B97:L97"/>
    <mergeCell ref="U98:U157"/>
    <mergeCell ref="C200:F200"/>
    <mergeCell ref="C199:F199"/>
    <mergeCell ref="C198:F198"/>
    <mergeCell ref="C197:F197"/>
    <mergeCell ref="C196:F196"/>
    <mergeCell ref="C205:F205"/>
    <mergeCell ref="C204:F204"/>
    <mergeCell ref="C203:F203"/>
    <mergeCell ref="C202:F202"/>
    <mergeCell ref="C201:F201"/>
    <mergeCell ref="AD2:AD58"/>
    <mergeCell ref="AN2:AN58"/>
    <mergeCell ref="U2:U58"/>
    <mergeCell ref="P50:Q50"/>
    <mergeCell ref="B2:B5"/>
    <mergeCell ref="I32:J32"/>
    <mergeCell ref="B10:G10"/>
    <mergeCell ref="J11:K11"/>
    <mergeCell ref="J10:K10"/>
    <mergeCell ref="J2:K5"/>
    <mergeCell ref="C12:E12"/>
    <mergeCell ref="D9:E9"/>
    <mergeCell ref="F13:G13"/>
    <mergeCell ref="F12:I12"/>
    <mergeCell ref="J12:K12"/>
  </mergeCells>
  <phoneticPr fontId="7" type="noConversion"/>
  <conditionalFormatting sqref="D177 F177 H177 J177">
    <cfRule type="expression" dxfId="125" priority="76">
      <formula>$D$177=0</formula>
    </cfRule>
  </conditionalFormatting>
  <conditionalFormatting sqref="D178 F178 H178 J178">
    <cfRule type="expression" dxfId="124" priority="77">
      <formula>$D$178=0</formula>
    </cfRule>
  </conditionalFormatting>
  <conditionalFormatting sqref="D179 F179 H179 J179">
    <cfRule type="expression" dxfId="123" priority="75">
      <formula>$D$179=0</formula>
    </cfRule>
  </conditionalFormatting>
  <conditionalFormatting sqref="D180 F180 H180 J180">
    <cfRule type="expression" dxfId="122" priority="74">
      <formula>$D$180=0</formula>
    </cfRule>
  </conditionalFormatting>
  <conditionalFormatting sqref="D181 F181 H181 J181">
    <cfRule type="expression" dxfId="121" priority="73">
      <formula>$D$181=0</formula>
    </cfRule>
  </conditionalFormatting>
  <conditionalFormatting sqref="D182 F182 H182 J182">
    <cfRule type="expression" dxfId="120" priority="72">
      <formula>$D$182=0</formula>
    </cfRule>
  </conditionalFormatting>
  <conditionalFormatting sqref="D183 F183 H183 J183">
    <cfRule type="expression" dxfId="119" priority="71">
      <formula>$D$183=0</formula>
    </cfRule>
  </conditionalFormatting>
  <conditionalFormatting sqref="D184 F184 H184 J184">
    <cfRule type="expression" dxfId="118" priority="70">
      <formula>$D$184=0</formula>
    </cfRule>
  </conditionalFormatting>
  <conditionalFormatting sqref="D185 F185 H185 J185">
    <cfRule type="expression" dxfId="117" priority="69">
      <formula>$D$185=0</formula>
    </cfRule>
  </conditionalFormatting>
  <conditionalFormatting sqref="D186 F186 H186 J186">
    <cfRule type="expression" dxfId="116" priority="68">
      <formula>$D$186=0</formula>
    </cfRule>
  </conditionalFormatting>
  <conditionalFormatting sqref="D52:E52">
    <cfRule type="expression" dxfId="115" priority="176">
      <formula>SUM($D$52:$K$52)&lt;&gt;$C$52</formula>
    </cfRule>
  </conditionalFormatting>
  <conditionalFormatting sqref="D49:J49">
    <cfRule type="expression" dxfId="114" priority="168">
      <formula>AND(SUM($D$49:$J$49)&lt;&gt;$C$49,D36&lt;&gt;"N/A")</formula>
    </cfRule>
  </conditionalFormatting>
  <conditionalFormatting sqref="D50:K50">
    <cfRule type="expression" dxfId="113" priority="175">
      <formula>AND(SUM($D$50:$K$50)&lt;&gt;$C$50,D36&lt;&gt;"N/A")</formula>
    </cfRule>
  </conditionalFormatting>
  <conditionalFormatting sqref="E23:K23">
    <cfRule type="expression" dxfId="112" priority="177">
      <formula>AND(E23&gt;15, E38=0, E39=0, E48=0, E49=0, E51=0)</formula>
    </cfRule>
  </conditionalFormatting>
  <conditionalFormatting sqref="E53:K54">
    <cfRule type="expression" dxfId="111" priority="165">
      <formula>E53&lt;&gt;E26</formula>
    </cfRule>
  </conditionalFormatting>
  <conditionalFormatting sqref="I66">
    <cfRule type="cellIs" dxfId="86" priority="66" operator="lessThan">
      <formula>0</formula>
    </cfRule>
  </conditionalFormatting>
  <conditionalFormatting sqref="I68">
    <cfRule type="cellIs" dxfId="85" priority="153" operator="lessThan">
      <formula>0</formula>
    </cfRule>
  </conditionalFormatting>
  <conditionalFormatting sqref="N31 N43 W55:AB55 N58:P58">
    <cfRule type="expression" dxfId="76" priority="144">
      <formula>$H$14&gt;5000000</formula>
    </cfRule>
  </conditionalFormatting>
  <conditionalFormatting sqref="O15:O29 O34:O42">
    <cfRule type="expression" dxfId="75" priority="138">
      <formula>OR(ISBLANK(O15),ISTEXT(O15))</formula>
    </cfRule>
  </conditionalFormatting>
  <conditionalFormatting sqref="O24">
    <cfRule type="containsBlanks" dxfId="74" priority="139">
      <formula>LEN(TRIM(O24))=0</formula>
    </cfRule>
  </conditionalFormatting>
  <conditionalFormatting sqref="O30">
    <cfRule type="cellIs" dxfId="73" priority="140" operator="greaterThan">
      <formula>5000000</formula>
    </cfRule>
  </conditionalFormatting>
  <conditionalFormatting sqref="P45">
    <cfRule type="expression" dxfId="72" priority="152">
      <formula>P45&lt;1</formula>
    </cfRule>
  </conditionalFormatting>
  <conditionalFormatting sqref="Q30">
    <cfRule type="cellIs" dxfId="71" priority="149" operator="greaterThan">
      <formula>5000000</formula>
    </cfRule>
  </conditionalFormatting>
  <conditionalFormatting sqref="AF57">
    <cfRule type="expression" dxfId="70" priority="167">
      <formula>SUMPRODUCT((AG43:AK47&lt;&gt;0)*1)&gt;0</formula>
    </cfRule>
  </conditionalFormatting>
  <conditionalFormatting sqref="AG43:AK47">
    <cfRule type="expression" dxfId="69" priority="166">
      <formula>AG43&lt;&gt;0</formula>
    </cfRule>
  </conditionalFormatting>
  <dataValidations count="4">
    <dataValidation type="whole" operator="greaterThanOrEqual" allowBlank="1" showErrorMessage="1" errorTitle="The value you entered is not valid." error="The value entered violates data validation rules set in cell" sqref="Q29 O15:Q28 P34:Q42 O34:O41" xr:uid="{00000000-0002-0000-0000-000004000000}">
      <formula1>0</formula1>
    </dataValidation>
    <dataValidation type="list" allowBlank="1" showErrorMessage="1" errorTitle="The value you entered is not valid." error="The value entered violates data validation rules set in cell" sqref="D11:E11" xr:uid="{00000000-0002-0000-0000-000008000000}">
      <formula1>"Borrower/EPC,Operating Company,Co-Borrower,Corp. Guarantor,Affiliate"</formula1>
    </dataValidation>
    <dataValidation type="list" allowBlank="1" showInputMessage="1" showErrorMessage="1" sqref="AA36" xr:uid="{82301267-729D-4732-A796-7AB6BDC2CFDF}">
      <formula1>$C$36:$K$36</formula1>
    </dataValidation>
    <dataValidation type="list" allowBlank="1" showInputMessage="1" showErrorMessage="1" sqref="X36" xr:uid="{6124221F-AA06-4E88-ABFD-7288ADE5FEE7}">
      <formula1>$E$15:$L$15</formula1>
    </dataValidation>
  </dataValidations>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expression" priority="80" id="{8E649B36-4CDA-4D16-9374-B06F019018FF}">
            <xm:f>$F$16=Lists!$H$5</xm:f>
            <x14:dxf>
              <font>
                <color theme="1" tint="0.499984740745262"/>
              </font>
              <fill>
                <patternFill>
                  <bgColor theme="0" tint="-0.14996795556505021"/>
                </patternFill>
              </fill>
            </x14:dxf>
          </x14:cfRule>
          <xm:sqref>D148 F148 H148 J148 O148 Q148</xm:sqref>
        </x14:conditionalFormatting>
        <x14:conditionalFormatting xmlns:xm="http://schemas.microsoft.com/office/excel/2006/main">
          <x14:cfRule type="expression" priority="81" id="{B69E28F8-29CA-46C4-881B-E8510006A7F4}">
            <xm:f>$G$16=Lists!$H$5</xm:f>
            <x14:dxf>
              <font>
                <color theme="1" tint="0.499984740745262"/>
              </font>
              <fill>
                <patternFill>
                  <bgColor theme="0" tint="-0.14996795556505021"/>
                </patternFill>
              </fill>
            </x14:dxf>
          </x14:cfRule>
          <xm:sqref>D149 F149 H149 J149 O149 Q149</xm:sqref>
        </x14:conditionalFormatting>
        <x14:conditionalFormatting xmlns:xm="http://schemas.microsoft.com/office/excel/2006/main">
          <x14:cfRule type="expression" priority="82" id="{AB3FA732-52B0-44C9-BD3C-C4F857490C2F}">
            <xm:f>$H$16=Lists!$H$5</xm:f>
            <x14:dxf>
              <font>
                <color theme="1" tint="0.499984740745262"/>
              </font>
              <fill>
                <patternFill>
                  <bgColor theme="0" tint="-0.14996795556505021"/>
                </patternFill>
              </fill>
            </x14:dxf>
          </x14:cfRule>
          <xm:sqref>D150 F150 H150 J150 O150 Q150</xm:sqref>
        </x14:conditionalFormatting>
        <x14:conditionalFormatting xmlns:xm="http://schemas.microsoft.com/office/excel/2006/main">
          <x14:cfRule type="expression" priority="83" id="{6686A6C2-B199-4481-BBBF-DE08E995129D}">
            <xm:f>$I$16=Lists!$H$5</xm:f>
            <x14:dxf>
              <font>
                <color theme="1" tint="0.499984740745262"/>
              </font>
              <fill>
                <patternFill>
                  <bgColor theme="0" tint="-0.14996795556505021"/>
                </patternFill>
              </fill>
            </x14:dxf>
          </x14:cfRule>
          <xm:sqref>D151 F151 H151 J151 O151 Q151</xm:sqref>
        </x14:conditionalFormatting>
        <x14:conditionalFormatting xmlns:xm="http://schemas.microsoft.com/office/excel/2006/main">
          <x14:cfRule type="expression" priority="84" id="{0B6A19E9-CAB6-4EF0-A0F2-BEDC0FB07127}">
            <xm:f>$J$16=Lists!$H$5</xm:f>
            <x14:dxf>
              <font>
                <color theme="1" tint="0.499984740745262"/>
              </font>
              <fill>
                <patternFill>
                  <bgColor theme="0" tint="-0.14996795556505021"/>
                </patternFill>
              </fill>
            </x14:dxf>
          </x14:cfRule>
          <xm:sqref>D152 F152 H152 J152 O152 Q152</xm:sqref>
        </x14:conditionalFormatting>
        <x14:conditionalFormatting xmlns:xm="http://schemas.microsoft.com/office/excel/2006/main">
          <x14:cfRule type="expression" priority="85" id="{83087054-04B0-46BE-BE16-90F82F70FBC4}">
            <xm:f>$K$16=Lists!$J$9</xm:f>
            <x14:dxf>
              <font>
                <color theme="1" tint="0.499984740745262"/>
              </font>
              <fill>
                <patternFill>
                  <bgColor theme="0" tint="-0.14996795556505021"/>
                </patternFill>
              </fill>
            </x14:dxf>
          </x14:cfRule>
          <xm:sqref>D153 F153 H153 J153 O153 Q153</xm:sqref>
        </x14:conditionalFormatting>
        <x14:conditionalFormatting xmlns:xm="http://schemas.microsoft.com/office/excel/2006/main">
          <x14:cfRule type="expression" priority="120" id="{AC59AE80-82B7-426D-9C4B-8499BB0124A6}">
            <xm:f>Affiliates!$K$43="No"</xm:f>
            <x14:dxf>
              <fill>
                <patternFill>
                  <bgColor theme="0" tint="-0.24994659260841701"/>
                </patternFill>
              </fill>
            </x14:dxf>
          </x14:cfRule>
          <xm:sqref>D164 F164 H164 J164</xm:sqref>
        </x14:conditionalFormatting>
        <x14:conditionalFormatting xmlns:xm="http://schemas.microsoft.com/office/excel/2006/main">
          <x14:cfRule type="expression" priority="119" id="{1588374F-7FB5-489E-819F-42445D285FCB}">
            <xm:f>Affiliates!$K$99="No"</xm:f>
            <x14:dxf>
              <fill>
                <patternFill>
                  <bgColor theme="0" tint="-0.24994659260841701"/>
                </patternFill>
              </fill>
            </x14:dxf>
          </x14:cfRule>
          <xm:sqref>D165 F165 H165 J165</xm:sqref>
        </x14:conditionalFormatting>
        <x14:conditionalFormatting xmlns:xm="http://schemas.microsoft.com/office/excel/2006/main">
          <x14:cfRule type="expression" priority="118" id="{F2D3B029-59DE-4680-85B1-C5F079BAF322}">
            <xm:f>Affiliates!$K$155="No"</xm:f>
            <x14:dxf>
              <fill>
                <patternFill>
                  <bgColor theme="0" tint="-0.24994659260841701"/>
                </patternFill>
              </fill>
            </x14:dxf>
          </x14:cfRule>
          <xm:sqref>D166 F166 H166 J166</xm:sqref>
        </x14:conditionalFormatting>
        <x14:conditionalFormatting xmlns:xm="http://schemas.microsoft.com/office/excel/2006/main">
          <x14:cfRule type="expression" priority="117" id="{9047B7B8-ABDB-4963-B873-5A52E1029624}">
            <xm:f>Affiliates!$K$211="No"</xm:f>
            <x14:dxf>
              <fill>
                <patternFill>
                  <bgColor theme="0" tint="-0.24994659260841701"/>
                </patternFill>
              </fill>
            </x14:dxf>
          </x14:cfRule>
          <xm:sqref>D167 F167 H167 J167</xm:sqref>
        </x14:conditionalFormatting>
        <x14:conditionalFormatting xmlns:xm="http://schemas.microsoft.com/office/excel/2006/main">
          <x14:cfRule type="expression" priority="116" id="{C4262191-795E-4A78-B0E0-E7E6269914C8}">
            <xm:f>Affiliates!$K$267="No"</xm:f>
            <x14:dxf>
              <fill>
                <patternFill>
                  <bgColor theme="0" tint="-0.24994659260841701"/>
                </patternFill>
              </fill>
            </x14:dxf>
          </x14:cfRule>
          <xm:sqref>D168 F168 H168 J168</xm:sqref>
        </x14:conditionalFormatting>
        <x14:conditionalFormatting xmlns:xm="http://schemas.microsoft.com/office/excel/2006/main">
          <x14:cfRule type="expression" priority="115" id="{7CBC3BC4-2E75-464C-AB65-B69F14A79DC2}">
            <xm:f>Affiliates!$K$323="No"</xm:f>
            <x14:dxf>
              <fill>
                <patternFill>
                  <bgColor theme="0" tint="-0.24994659260841701"/>
                </patternFill>
              </fill>
            </x14:dxf>
          </x14:cfRule>
          <xm:sqref>D169 F169 H169 J169</xm:sqref>
        </x14:conditionalFormatting>
        <x14:conditionalFormatting xmlns:xm="http://schemas.microsoft.com/office/excel/2006/main">
          <x14:cfRule type="expression" priority="114" id="{7B9DED52-1675-48CC-8295-5E8981484FB7}">
            <xm:f>Affiliates!$K$379="No"</xm:f>
            <x14:dxf>
              <fill>
                <patternFill>
                  <bgColor theme="0" tint="-0.24994659260841701"/>
                </patternFill>
              </fill>
            </x14:dxf>
          </x14:cfRule>
          <xm:sqref>D170 F170 H170 J170</xm:sqref>
        </x14:conditionalFormatting>
        <x14:conditionalFormatting xmlns:xm="http://schemas.microsoft.com/office/excel/2006/main">
          <x14:cfRule type="expression" priority="113" id="{27102E30-B4BB-4B41-AECF-C091EE77554E}">
            <xm:f>Affiliates!$K$435="No"</xm:f>
            <x14:dxf>
              <fill>
                <patternFill>
                  <bgColor theme="0" tint="-0.24994659260841701"/>
                </patternFill>
              </fill>
            </x14:dxf>
          </x14:cfRule>
          <xm:sqref>D171 F171 H171 J171</xm:sqref>
        </x14:conditionalFormatting>
        <x14:conditionalFormatting xmlns:xm="http://schemas.microsoft.com/office/excel/2006/main">
          <x14:cfRule type="expression" priority="112" id="{B27EB2A5-132B-482E-8E3B-5EF68F7218E1}">
            <xm:f>Affiliates!$K$491="No"</xm:f>
            <x14:dxf>
              <fill>
                <patternFill>
                  <bgColor theme="0" tint="-0.24994659260841701"/>
                </patternFill>
              </fill>
            </x14:dxf>
          </x14:cfRule>
          <xm:sqref>D172 F172 H172 J172</xm:sqref>
        </x14:conditionalFormatting>
        <x14:conditionalFormatting xmlns:xm="http://schemas.microsoft.com/office/excel/2006/main">
          <x14:cfRule type="expression" priority="110" id="{D2925FE2-8911-42EA-8D3C-283475A02537}">
            <xm:f>Affiliates!$K$547="No"</xm:f>
            <x14:dxf>
              <fill>
                <patternFill>
                  <bgColor theme="0" tint="-0.24994659260841701"/>
                </patternFill>
              </fill>
            </x14:dxf>
          </x14:cfRule>
          <xm:sqref>D173 F173 H173 J173</xm:sqref>
        </x14:conditionalFormatting>
        <x14:conditionalFormatting xmlns:xm="http://schemas.microsoft.com/office/excel/2006/main">
          <x14:cfRule type="expression" priority="109" id="{5808E247-D22D-497B-92C7-FA4255E87674}">
            <xm:f>Affiliates!$K$603="No"</xm:f>
            <x14:dxf>
              <fill>
                <patternFill>
                  <bgColor theme="0" tint="-0.24994659260841701"/>
                </patternFill>
              </fill>
            </x14:dxf>
          </x14:cfRule>
          <xm:sqref>D174 F174 H174 J174</xm:sqref>
        </x14:conditionalFormatting>
        <x14:conditionalFormatting xmlns:xm="http://schemas.microsoft.com/office/excel/2006/main">
          <x14:cfRule type="expression" priority="108" id="{501E66B2-0671-4B5E-8174-01EEE1E89C2E}">
            <xm:f>Affiliates!$K$659="No"</xm:f>
            <x14:dxf>
              <fill>
                <patternFill>
                  <bgColor theme="0" tint="-0.24994659260841701"/>
                </patternFill>
              </fill>
            </x14:dxf>
          </x14:cfRule>
          <xm:sqref>D175 F175 H175 J175</xm:sqref>
        </x14:conditionalFormatting>
        <x14:conditionalFormatting xmlns:xm="http://schemas.microsoft.com/office/excel/2006/main">
          <x14:cfRule type="expression" priority="87" id="{16B5F744-3580-491A-BCCB-635F3235248F}">
            <xm:f>AND($F$55&gt;0,OR($F$16=Lists!$H$5,$F$17=Lists!$J$9))</xm:f>
            <x14:dxf>
              <font>
                <b val="0"/>
                <i/>
                <strike val="0"/>
                <color rgb="FFFF0000"/>
              </font>
            </x14:dxf>
          </x14:cfRule>
          <xm:sqref>F38:F55</xm:sqref>
        </x14:conditionalFormatting>
        <x14:conditionalFormatting xmlns:xm="http://schemas.microsoft.com/office/excel/2006/main">
          <x14:cfRule type="expression" priority="158" id="{FC14BFE9-4AE4-4E7B-AF3B-891CE94D3D6E}">
            <xm:f>$F$16=Lists!$L$3</xm:f>
            <x14:dxf>
              <font>
                <color theme="1" tint="0.499984740745262"/>
              </font>
              <fill>
                <patternFill>
                  <bgColor theme="2" tint="-9.9948118533890809E-2"/>
                </patternFill>
              </fill>
            </x14:dxf>
          </x14:cfRule>
          <xm:sqref>F38:F56 F17:F28 F36</xm:sqref>
        </x14:conditionalFormatting>
        <x14:conditionalFormatting xmlns:xm="http://schemas.microsoft.com/office/excel/2006/main">
          <x14:cfRule type="expression" priority="157" id="{32B1F51C-2C62-4EB5-B247-564220B184F9}">
            <xm:f>$F$17=Lists!$L$3</xm:f>
            <x14:dxf>
              <font>
                <color theme="1" tint="0.499984740745262"/>
              </font>
              <fill>
                <patternFill>
                  <bgColor theme="2" tint="-9.9948118533890809E-2"/>
                </patternFill>
              </fill>
            </x14:dxf>
          </x14:cfRule>
          <xm:sqref>F38:F56 F18:F28 F36</xm:sqref>
        </x14:conditionalFormatting>
        <x14:conditionalFormatting xmlns:xm="http://schemas.microsoft.com/office/excel/2006/main">
          <x14:cfRule type="expression" priority="62" id="{A3726589-F23F-494C-81F0-6B9648414CE8}">
            <xm:f>$E79=Lists!$H$3</xm:f>
            <x14:dxf>
              <font>
                <color auto="1"/>
              </font>
              <fill>
                <patternFill>
                  <bgColor theme="0"/>
                </patternFill>
              </fill>
            </x14:dxf>
          </x14:cfRule>
          <xm:sqref>F79:G80</xm:sqref>
        </x14:conditionalFormatting>
        <x14:conditionalFormatting xmlns:xm="http://schemas.microsoft.com/office/excel/2006/main">
          <x14:cfRule type="expression" priority="61" id="{04B0D289-A873-4F1C-ABBF-B140FC523CFB}">
            <xm:f>$E$81=Lists!$H$3</xm:f>
            <x14:dxf>
              <font>
                <color auto="1"/>
              </font>
              <fill>
                <patternFill>
                  <bgColor theme="0"/>
                </patternFill>
              </fill>
            </x14:dxf>
          </x14:cfRule>
          <xm:sqref>F81:G81</xm:sqref>
        </x14:conditionalFormatting>
        <x14:conditionalFormatting xmlns:xm="http://schemas.microsoft.com/office/excel/2006/main">
          <x14:cfRule type="expression" priority="60" id="{13AD8328-18CA-4E32-A1B1-0FB647D552D7}">
            <xm:f>$E$82=Lists!$H$3</xm:f>
            <x14:dxf>
              <font>
                <color auto="1"/>
              </font>
              <fill>
                <patternFill>
                  <bgColor theme="0"/>
                </patternFill>
              </fill>
            </x14:dxf>
          </x14:cfRule>
          <xm:sqref>F82:G82</xm:sqref>
        </x14:conditionalFormatting>
        <x14:conditionalFormatting xmlns:xm="http://schemas.microsoft.com/office/excel/2006/main">
          <x14:cfRule type="expression" priority="59" id="{72DD9AA7-08B1-436E-9DA9-EAD0F3D14002}">
            <xm:f>$E$83=Lists!$H$3</xm:f>
            <x14:dxf>
              <font>
                <color auto="1"/>
              </font>
              <fill>
                <patternFill>
                  <bgColor theme="0"/>
                </patternFill>
              </fill>
            </x14:dxf>
          </x14:cfRule>
          <xm:sqref>F83:G83</xm:sqref>
        </x14:conditionalFormatting>
        <x14:conditionalFormatting xmlns:xm="http://schemas.microsoft.com/office/excel/2006/main">
          <x14:cfRule type="expression" priority="58" id="{8141C713-5FD8-48CD-BE3C-22E21AF8689F}">
            <xm:f>$E$84=Lists!$H$3</xm:f>
            <x14:dxf>
              <font>
                <color auto="1"/>
              </font>
              <fill>
                <patternFill>
                  <bgColor theme="0"/>
                </patternFill>
              </fill>
            </x14:dxf>
          </x14:cfRule>
          <xm:sqref>F84:G84</xm:sqref>
        </x14:conditionalFormatting>
        <x14:conditionalFormatting xmlns:xm="http://schemas.microsoft.com/office/excel/2006/main">
          <x14:cfRule type="expression" priority="57" id="{5796CFF0-A959-4146-838D-75980DA493D5}">
            <xm:f>$E$85=Lists!$H$3</xm:f>
            <x14:dxf>
              <font>
                <color auto="1"/>
              </font>
              <fill>
                <patternFill>
                  <bgColor theme="0"/>
                </patternFill>
              </fill>
            </x14:dxf>
          </x14:cfRule>
          <xm:sqref>F85:G85</xm:sqref>
        </x14:conditionalFormatting>
        <x14:conditionalFormatting xmlns:xm="http://schemas.microsoft.com/office/excel/2006/main">
          <x14:cfRule type="expression" priority="56" id="{691C5F65-7B0D-41B8-B9AF-0208C0A4F679}">
            <xm:f>$E$86=Lists!$H$3</xm:f>
            <x14:dxf>
              <font>
                <color auto="1"/>
              </font>
              <fill>
                <patternFill>
                  <bgColor theme="0"/>
                </patternFill>
              </fill>
            </x14:dxf>
          </x14:cfRule>
          <xm:sqref>F86:G86</xm:sqref>
        </x14:conditionalFormatting>
        <x14:conditionalFormatting xmlns:xm="http://schemas.microsoft.com/office/excel/2006/main">
          <x14:cfRule type="expression" priority="55" id="{EBEEE07D-1764-4769-A15C-D89D4B69BD7B}">
            <xm:f>$E$87=Lists!$H$3</xm:f>
            <x14:dxf>
              <font>
                <color auto="1"/>
              </font>
              <fill>
                <patternFill>
                  <bgColor theme="0"/>
                </patternFill>
              </fill>
            </x14:dxf>
          </x14:cfRule>
          <xm:sqref>F87:G87</xm:sqref>
        </x14:conditionalFormatting>
        <x14:conditionalFormatting xmlns:xm="http://schemas.microsoft.com/office/excel/2006/main">
          <x14:cfRule type="expression" priority="54" id="{F0482491-F5D0-4F5B-B6E8-60F885BFC4F8}">
            <xm:f>$E$88=Lists!$H$3</xm:f>
            <x14:dxf>
              <font>
                <color auto="1"/>
              </font>
              <fill>
                <patternFill>
                  <bgColor theme="0"/>
                </patternFill>
              </fill>
            </x14:dxf>
          </x14:cfRule>
          <xm:sqref>F88:G88</xm:sqref>
        </x14:conditionalFormatting>
        <x14:conditionalFormatting xmlns:xm="http://schemas.microsoft.com/office/excel/2006/main">
          <x14:cfRule type="expression" priority="53" id="{908EF14D-54DA-4B3E-AB1B-35170B3719F4}">
            <xm:f>$E$89=Lists!$H$3</xm:f>
            <x14:dxf>
              <font>
                <color auto="1"/>
              </font>
              <fill>
                <patternFill>
                  <bgColor theme="0"/>
                </patternFill>
              </fill>
            </x14:dxf>
          </x14:cfRule>
          <xm:sqref>F89:G89</xm:sqref>
        </x14:conditionalFormatting>
        <x14:conditionalFormatting xmlns:xm="http://schemas.microsoft.com/office/excel/2006/main">
          <x14:cfRule type="expression" priority="52" id="{622BA357-3B89-4E4A-9B9A-EB752AD0BEB0}">
            <xm:f>$E$90=Lists!$H$3</xm:f>
            <x14:dxf>
              <font>
                <color auto="1"/>
              </font>
              <fill>
                <patternFill>
                  <bgColor theme="0"/>
                </patternFill>
              </fill>
            </x14:dxf>
          </x14:cfRule>
          <xm:sqref>F90:G90</xm:sqref>
        </x14:conditionalFormatting>
        <x14:conditionalFormatting xmlns:xm="http://schemas.microsoft.com/office/excel/2006/main">
          <x14:cfRule type="expression" priority="51" id="{A4A33560-A340-4670-9A66-9EA78F7E383F}">
            <xm:f>$E$91=Lists!$H$3</xm:f>
            <x14:dxf>
              <font>
                <color auto="1"/>
              </font>
              <fill>
                <patternFill>
                  <bgColor theme="0"/>
                </patternFill>
              </fill>
            </x14:dxf>
          </x14:cfRule>
          <xm:sqref>F91:G91</xm:sqref>
        </x14:conditionalFormatting>
        <x14:conditionalFormatting xmlns:xm="http://schemas.microsoft.com/office/excel/2006/main">
          <x14:cfRule type="expression" priority="92" id="{63FBF7E7-E598-425B-8D8F-ED2036F30108}">
            <xm:f>AND($G$55&gt;0,OR($G$16=Lists!$H$5,$G$17=Lists!$J$9))</xm:f>
            <x14:dxf>
              <font>
                <b val="0"/>
                <i/>
                <strike val="0"/>
                <color rgb="FFFF0000"/>
              </font>
            </x14:dxf>
          </x14:cfRule>
          <xm:sqref>G38:G55</xm:sqref>
        </x14:conditionalFormatting>
        <x14:conditionalFormatting xmlns:xm="http://schemas.microsoft.com/office/excel/2006/main">
          <x14:cfRule type="expression" priority="163" id="{75C8FDD5-FB97-4186-8679-1A118B55B4F7}">
            <xm:f>$G$16=Lists!$L$3</xm:f>
            <x14:dxf>
              <font>
                <color theme="1" tint="0.499984740745262"/>
              </font>
              <fill>
                <patternFill>
                  <bgColor theme="2" tint="-9.9948118533890809E-2"/>
                </patternFill>
              </fill>
            </x14:dxf>
          </x14:cfRule>
          <xm:sqref>G38:G56 G17:G28 G36</xm:sqref>
        </x14:conditionalFormatting>
        <x14:conditionalFormatting xmlns:xm="http://schemas.microsoft.com/office/excel/2006/main">
          <x14:cfRule type="expression" priority="164" id="{E729D031-F991-4C93-B738-8DE300B7FC9D}">
            <xm:f>$G$17=Lists!$L$3</xm:f>
            <x14:dxf>
              <font>
                <color theme="1" tint="0.499984740745262"/>
              </font>
              <fill>
                <patternFill>
                  <bgColor theme="2" tint="-9.9948118533890809E-2"/>
                </patternFill>
              </fill>
            </x14:dxf>
          </x14:cfRule>
          <xm:sqref>G38:G56 G18:G28 G36</xm:sqref>
        </x14:conditionalFormatting>
        <x14:conditionalFormatting xmlns:xm="http://schemas.microsoft.com/office/excel/2006/main">
          <x14:cfRule type="expression" priority="91" id="{0ABB5D02-76C2-4DDD-953F-B2892CEA98EF}">
            <xm:f>AND($H$55&gt;0,OR($H$16=Lists!$H$5,$H$17=Lists!$J$9))</xm:f>
            <x14:dxf>
              <font>
                <b val="0"/>
                <i/>
                <strike val="0"/>
                <color rgb="FFFF0000"/>
              </font>
            </x14:dxf>
          </x14:cfRule>
          <xm:sqref>H38:H55</xm:sqref>
        </x14:conditionalFormatting>
        <x14:conditionalFormatting xmlns:xm="http://schemas.microsoft.com/office/excel/2006/main">
          <x14:cfRule type="expression" priority="102" id="{16679BD0-080E-42F1-8731-1F490533ECFC}">
            <xm:f>$H$16=Lists!$L$3</xm:f>
            <x14:dxf>
              <font>
                <color theme="1" tint="0.499984740745262"/>
              </font>
              <fill>
                <patternFill>
                  <bgColor theme="2" tint="-9.9948118533890809E-2"/>
                </patternFill>
              </fill>
            </x14:dxf>
          </x14:cfRule>
          <xm:sqref>H38:H56 H17:H28 H36</xm:sqref>
        </x14:conditionalFormatting>
        <x14:conditionalFormatting xmlns:xm="http://schemas.microsoft.com/office/excel/2006/main">
          <x14:cfRule type="expression" priority="101" id="{6521CCAF-B721-4DCA-B111-F311C57AB997}">
            <xm:f>$H$17=Lists!$L$3</xm:f>
            <x14:dxf>
              <font>
                <color theme="1" tint="0.499984740745262"/>
              </font>
              <fill>
                <patternFill>
                  <bgColor theme="2" tint="-9.9948118533890809E-2"/>
                </patternFill>
              </fill>
            </x14:dxf>
          </x14:cfRule>
          <xm:sqref>H38:H56 H18:H28 H36</xm:sqref>
        </x14:conditionalFormatting>
        <x14:conditionalFormatting xmlns:xm="http://schemas.microsoft.com/office/excel/2006/main">
          <x14:cfRule type="expression" priority="90" id="{2E1E1134-AD83-4DE6-96BC-1F91B215ACB4}">
            <xm:f>AND($I$55&gt;0,OR($I$16=Lists!$H$5,$I$17=Lists!$J$9))</xm:f>
            <x14:dxf>
              <font>
                <b val="0"/>
                <i/>
                <strike val="0"/>
                <color rgb="FFFF0000"/>
              </font>
            </x14:dxf>
          </x14:cfRule>
          <xm:sqref>I38:I55</xm:sqref>
        </x14:conditionalFormatting>
        <x14:conditionalFormatting xmlns:xm="http://schemas.microsoft.com/office/excel/2006/main">
          <x14:cfRule type="expression" priority="100" id="{282D5115-9248-431A-992A-E6C2DBCE45B5}">
            <xm:f>$I$16=Lists!$L$3</xm:f>
            <x14:dxf>
              <font>
                <color theme="1" tint="0.499984740745262"/>
              </font>
              <fill>
                <patternFill>
                  <bgColor theme="2" tint="-9.9948118533890809E-2"/>
                </patternFill>
              </fill>
            </x14:dxf>
          </x14:cfRule>
          <xm:sqref>I38:I56 I17:I28 I36</xm:sqref>
        </x14:conditionalFormatting>
        <x14:conditionalFormatting xmlns:xm="http://schemas.microsoft.com/office/excel/2006/main">
          <x14:cfRule type="expression" priority="99" id="{E49FCFF3-E771-4596-94B2-A99CCC28356A}">
            <xm:f>$I$17=Lists!$L$3</xm:f>
            <x14:dxf>
              <font>
                <color theme="1" tint="0.499984740745262"/>
              </font>
              <fill>
                <patternFill>
                  <bgColor theme="2" tint="-9.9948118533890809E-2"/>
                </patternFill>
              </fill>
            </x14:dxf>
          </x14:cfRule>
          <xm:sqref>I38:I56 I18:I28 I36</xm:sqref>
        </x14:conditionalFormatting>
        <x14:conditionalFormatting xmlns:xm="http://schemas.microsoft.com/office/excel/2006/main">
          <x14:cfRule type="expression" priority="50" id="{B42BF42C-BFA2-42F6-B59C-2C490B712105}">
            <xm:f>AND($I79&lt;0.1,$E79=Lists!$H$3)</xm:f>
            <x14:dxf>
              <font>
                <color rgb="FFC00000"/>
              </font>
              <fill>
                <patternFill>
                  <bgColor theme="5" tint="0.79998168889431442"/>
                </patternFill>
              </fill>
            </x14:dxf>
          </x14:cfRule>
          <x14:cfRule type="expression" priority="49" id="{1D29E17E-D277-4DCC-9C76-76A55BF556C1}">
            <xm:f>AND($I79&gt;0.099999,$E79=Lists!$H$3)</xm:f>
            <x14:dxf>
              <font>
                <color theme="6" tint="-0.499984740745262"/>
              </font>
              <fill>
                <patternFill>
                  <bgColor theme="9" tint="0.79998168889431442"/>
                </patternFill>
              </fill>
            </x14:dxf>
          </x14:cfRule>
          <xm:sqref>I79:I91</xm:sqref>
        </x14:conditionalFormatting>
        <x14:conditionalFormatting xmlns:xm="http://schemas.microsoft.com/office/excel/2006/main">
          <x14:cfRule type="expression" priority="89" id="{4237207E-43AE-4990-AAFE-BC875F69F8B8}">
            <xm:f>AND($J$55&gt;0,OR($J$16=Lists!$H$5,$J$17=Lists!$J$9))</xm:f>
            <x14:dxf>
              <font>
                <b val="0"/>
                <i/>
                <strike val="0"/>
                <color rgb="FFFF0000"/>
              </font>
            </x14:dxf>
          </x14:cfRule>
          <xm:sqref>J38:J55</xm:sqref>
        </x14:conditionalFormatting>
        <x14:conditionalFormatting xmlns:xm="http://schemas.microsoft.com/office/excel/2006/main">
          <x14:cfRule type="expression" priority="98" id="{9E5DB6DD-396C-451C-A833-FDB951E01E8E}">
            <xm:f>$J$16=Lists!$L$3</xm:f>
            <x14:dxf>
              <font>
                <color theme="1" tint="0.499984740745262"/>
              </font>
              <fill>
                <patternFill>
                  <bgColor theme="2" tint="-9.9948118533890809E-2"/>
                </patternFill>
              </fill>
            </x14:dxf>
          </x14:cfRule>
          <xm:sqref>J38:J56 J17:J28 J36</xm:sqref>
        </x14:conditionalFormatting>
        <x14:conditionalFormatting xmlns:xm="http://schemas.microsoft.com/office/excel/2006/main">
          <x14:cfRule type="expression" priority="97" id="{E46483F8-793A-4FCB-9443-5DCB8388355F}">
            <xm:f>$J$17=Lists!$L$3</xm:f>
            <x14:dxf>
              <font>
                <color theme="1" tint="0.499984740745262"/>
              </font>
              <fill>
                <patternFill>
                  <bgColor theme="2" tint="-9.9948118533890809E-2"/>
                </patternFill>
              </fill>
            </x14:dxf>
          </x14:cfRule>
          <xm:sqref>J38:J56 J18:J28 J36</xm:sqref>
        </x14:conditionalFormatting>
        <x14:conditionalFormatting xmlns:xm="http://schemas.microsoft.com/office/excel/2006/main">
          <x14:cfRule type="expression" priority="88" id="{59D2E494-1EE1-4F29-B771-1949B8F29E37}">
            <xm:f>AND($K$55&gt;0,OR($K$16=Lists!$H$5,$K$17=Lists!$J$9))</xm:f>
            <x14:dxf>
              <font>
                <b val="0"/>
                <i/>
                <strike val="0"/>
                <color rgb="FFFF0000"/>
              </font>
            </x14:dxf>
          </x14:cfRule>
          <xm:sqref>K38:K55</xm:sqref>
        </x14:conditionalFormatting>
        <x14:conditionalFormatting xmlns:xm="http://schemas.microsoft.com/office/excel/2006/main">
          <x14:cfRule type="expression" priority="96" id="{265511E0-B131-4AD5-8BA5-C4CCDF8E363E}">
            <xm:f>$K$16=Lists!$L$3</xm:f>
            <x14:dxf>
              <font>
                <color theme="1" tint="0.499984740745262"/>
              </font>
              <fill>
                <patternFill>
                  <bgColor theme="2" tint="-9.9948118533890809E-2"/>
                </patternFill>
              </fill>
            </x14:dxf>
          </x14:cfRule>
          <xm:sqref>K38:K56 K17:K28 K36</xm:sqref>
        </x14:conditionalFormatting>
        <x14:conditionalFormatting xmlns:xm="http://schemas.microsoft.com/office/excel/2006/main">
          <x14:cfRule type="expression" priority="95" id="{E0000D93-AFA0-4519-A18C-B376F3054FEA}">
            <xm:f>$K$17=Lists!$L$3</xm:f>
            <x14:dxf>
              <font>
                <color theme="1" tint="0.499984740745262"/>
              </font>
              <fill>
                <patternFill>
                  <bgColor theme="2" tint="-9.9948118533890809E-2"/>
                </patternFill>
              </fill>
            </x14:dxf>
          </x14:cfRule>
          <xm:sqref>K38:K56 K18:K28 K36</xm:sqref>
        </x14:conditionalFormatting>
        <x14:conditionalFormatting xmlns:xm="http://schemas.microsoft.com/office/excel/2006/main">
          <x14:cfRule type="expression" priority="2" id="{2D1B77E5-52E3-42D4-9A67-9923673B4189}">
            <xm:f>$F$16=Lists!$L$3</xm:f>
            <x14:dxf>
              <font>
                <color theme="1" tint="0.499984740745262"/>
              </font>
              <fill>
                <patternFill>
                  <bgColor theme="2" tint="-9.9948118533890809E-2"/>
                </patternFill>
              </fill>
            </x14:dxf>
          </x14:cfRule>
          <x14:cfRule type="expression" priority="1" id="{00266393-D453-4392-A5FE-D601F60E6FEA}">
            <xm:f>$F$17=Lists!$L$3</xm:f>
            <x14:dxf>
              <font>
                <color theme="1" tint="0.499984740745262"/>
              </font>
              <fill>
                <patternFill>
                  <bgColor theme="2" tint="-9.9948118533890809E-2"/>
                </patternFill>
              </fill>
            </x14:dxf>
          </x14:cfRule>
          <xm:sqref>AJ13 AJ36 AK59</xm:sqref>
        </x14:conditionalFormatting>
        <x14:conditionalFormatting xmlns:xm="http://schemas.microsoft.com/office/excel/2006/main">
          <x14:cfRule type="expression" priority="10" id="{1429AEAF-6055-4CD1-828C-979E0AD34F51}">
            <xm:f>$G$17=Lists!$L$3</xm:f>
            <x14:dxf>
              <font>
                <color theme="1" tint="0.499984740745262"/>
              </font>
              <fill>
                <patternFill>
                  <bgColor theme="2" tint="-9.9948118533890809E-2"/>
                </patternFill>
              </fill>
            </x14:dxf>
          </x14:cfRule>
          <x14:cfRule type="expression" priority="9" id="{5F92E60C-981C-4AFB-8E6E-48AAEF864256}">
            <xm:f>$G$16=Lists!$L$3</xm:f>
            <x14:dxf>
              <font>
                <color theme="1" tint="0.499984740745262"/>
              </font>
              <fill>
                <patternFill>
                  <bgColor theme="2" tint="-9.9948118533890809E-2"/>
                </patternFill>
              </fill>
            </x14:dxf>
          </x14:cfRule>
          <xm:sqref>AK36 AL59</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ErrorMessage="1" errorTitle="The value you entered is not valid." error="The value entered violates data validation rules set in cell" xr:uid="{00000000-0002-0000-0000-000007000000}">
          <x14:formula1>
            <xm:f>Lists!$H$2:$H$4</xm:f>
          </x14:formula1>
          <xm:sqref>G11 C98</xm:sqref>
        </x14:dataValidation>
        <x14:dataValidation type="list" allowBlank="1" showInputMessage="1" showErrorMessage="1" xr:uid="{D180D012-F5AB-44A9-AA1C-75B4D1571A22}">
          <x14:formula1>
            <xm:f>Lists!$H$3:$H$4</xm:f>
          </x14:formula1>
          <xm:sqref>E28:K28</xm:sqref>
        </x14:dataValidation>
        <x14:dataValidation type="list" allowBlank="1" showErrorMessage="1" errorTitle="The value you entered is not valid." error="The value entered violates data validation rules set in cell" xr:uid="{00000000-0002-0000-0000-000005000000}">
          <x14:formula1>
            <xm:f>Lists!$P$2:$P$11</xm:f>
          </x14:formula1>
          <xm:sqref>D101 F101 H101 J101</xm:sqref>
        </x14:dataValidation>
        <x14:dataValidation type="list" allowBlank="1" showErrorMessage="1" errorTitle="The value you entered is not valid." error="The value entered violates data validation rules set in cell" xr:uid="{00000000-0002-0000-0000-000009000000}">
          <x14:formula1>
            <xm:f>Lists!$R$2:$R$7</xm:f>
          </x14:formula1>
          <xm:sqref>E22:K22</xm:sqref>
        </x14:dataValidation>
        <x14:dataValidation type="list" allowBlank="1" showErrorMessage="1" errorTitle="The value you entered is not valid." error="The value entered violates data validation rules set in cell" xr:uid="{00000000-0002-0000-0000-000006000000}">
          <x14:formula1>
            <xm:f>Lists!$T$2:$T$6</xm:f>
          </x14:formula1>
          <xm:sqref>D102 J102 H102 F102</xm:sqref>
        </x14:dataValidation>
        <x14:dataValidation type="list" allowBlank="1" showInputMessage="1" showErrorMessage="1" xr:uid="{72BBCE1D-E32E-48A7-B819-2FB962AFBDA2}">
          <x14:formula1>
            <xm:f>Lists!$V$3:$V$11</xm:f>
          </x14:formula1>
          <xm:sqref>B197:B205</xm:sqref>
        </x14:dataValidation>
        <x14:dataValidation type="list" allowBlank="1" showErrorMessage="1" errorTitle="The value you entered is not valid." error="The value entered violates data validation rules set in cell" xr:uid="{B9B63F65-DBB7-4FD9-BBC4-B64B7EB14C9D}">
          <x14:formula1>
            <xm:f>Lists!$N$2:$N$15</xm:f>
          </x14:formula1>
          <xm:sqref>J10:K11</xm:sqref>
        </x14:dataValidation>
        <x14:dataValidation type="list" allowBlank="1" showInputMessage="1" showErrorMessage="1" xr:uid="{B1D0CE10-9E79-4535-8174-6A6E66594E58}">
          <x14:formula1>
            <xm:f>Lists!$J$2:$J$9</xm:f>
          </x14:formula1>
          <xm:sqref>E16:K16</xm:sqref>
        </x14:dataValidation>
        <x14:dataValidation type="list" allowBlank="1" showErrorMessage="1" errorTitle="The value you entered is not valid." error="The value entered violates data validation rules set in cell" xr:uid="{CD780673-11B2-42F5-B84B-929B48108F10}">
          <x14:formula1>
            <xm:f>Lists!$H$3:$H$4</xm:f>
          </x14:formula1>
          <xm:sqref>E79:E91</xm:sqref>
        </x14:dataValidation>
        <x14:dataValidation type="list" allowBlank="1" showInputMessage="1" showErrorMessage="1" xr:uid="{C562BF7A-A167-4093-9675-B07C0CA0CBDF}">
          <x14:formula1>
            <xm:f>Lists!$L$3:$L$13</xm:f>
          </x14:formula1>
          <xm:sqref>D17:K17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5B6A-D146-4260-A199-2116144B5C3E}">
  <sheetPr>
    <tabColor theme="0" tint="-0.14999847407452621"/>
  </sheetPr>
  <dimension ref="B1:AR22"/>
  <sheetViews>
    <sheetView zoomScaleNormal="100" workbookViewId="0">
      <selection activeCell="S11" sqref="S11"/>
    </sheetView>
  </sheetViews>
  <sheetFormatPr defaultRowHeight="14.4" x14ac:dyDescent="0.3"/>
  <cols>
    <col min="1" max="1" width="3.5546875" style="165" customWidth="1"/>
    <col min="2" max="2" width="27.21875" style="165" customWidth="1"/>
    <col min="3" max="3" width="1.77734375" style="165" customWidth="1"/>
    <col min="4" max="4" width="8.77734375" style="165" customWidth="1"/>
    <col min="5" max="5" width="1.77734375" style="165" customWidth="1"/>
    <col min="6" max="6" width="15.77734375" style="165" customWidth="1"/>
    <col min="7" max="7" width="1.77734375" style="165" customWidth="1"/>
    <col min="8" max="8" width="6.77734375" style="165" customWidth="1"/>
    <col min="9" max="9" width="1.77734375" style="165" customWidth="1"/>
    <col min="10" max="13" width="13.77734375" style="165" customWidth="1"/>
    <col min="14" max="14" width="15.77734375" style="165" customWidth="1"/>
    <col min="15" max="15" width="1.77734375" style="165" customWidth="1"/>
    <col min="16" max="20" width="13.77734375" style="165" customWidth="1"/>
    <col min="21" max="21" width="1.77734375" style="165" customWidth="1"/>
    <col min="22" max="24" width="13.77734375" style="165" customWidth="1"/>
    <col min="25" max="25" width="1.77734375" style="165" customWidth="1"/>
    <col min="26" max="26" width="8.77734375" style="165" customWidth="1"/>
    <col min="27" max="29" width="13.77734375" style="165" customWidth="1"/>
    <col min="30" max="30" width="8.77734375" style="165" customWidth="1"/>
    <col min="31" max="31" width="1.77734375" style="165" customWidth="1"/>
    <col min="32" max="33" width="8.77734375" style="165" customWidth="1"/>
    <col min="34" max="34" width="3.88671875" style="165" customWidth="1"/>
    <col min="35" max="35" width="8.88671875" style="165" customWidth="1"/>
    <col min="36" max="38" width="13.77734375" style="165" customWidth="1"/>
    <col min="39" max="42" width="12.77734375" style="165" customWidth="1"/>
    <col min="43" max="16384" width="8.88671875" style="165"/>
  </cols>
  <sheetData>
    <row r="1" spans="2:44" ht="17.399999999999999" customHeight="1" thickBot="1" x14ac:dyDescent="0.35"/>
    <row r="2" spans="2:44" s="171" customFormat="1" ht="16.95" customHeight="1" thickBot="1" x14ac:dyDescent="0.35">
      <c r="B2" s="168" t="s">
        <v>182</v>
      </c>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70"/>
      <c r="AR2" s="165"/>
    </row>
    <row r="3" spans="2:44" s="171" customFormat="1" ht="16.95" customHeight="1" x14ac:dyDescent="0.3">
      <c r="B3" s="172"/>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4"/>
      <c r="AR3" s="165"/>
    </row>
    <row r="4" spans="2:44" s="171" customFormat="1" ht="16.95" customHeight="1" x14ac:dyDescent="0.3">
      <c r="B4" s="175"/>
      <c r="C4" s="176"/>
      <c r="D4" s="176"/>
      <c r="E4" s="176"/>
      <c r="F4" s="176"/>
      <c r="G4" s="176"/>
      <c r="H4" s="176"/>
      <c r="I4" s="176"/>
      <c r="J4" s="1284" t="s">
        <v>542</v>
      </c>
      <c r="K4" s="1284"/>
      <c r="L4" s="1284"/>
      <c r="M4" s="1284"/>
      <c r="N4" s="177"/>
      <c r="O4" s="176"/>
      <c r="P4" s="1284" t="s">
        <v>483</v>
      </c>
      <c r="Q4" s="1284"/>
      <c r="R4" s="1284"/>
      <c r="S4" s="1284"/>
      <c r="T4" s="177"/>
      <c r="U4" s="176"/>
      <c r="V4" s="1284" t="s">
        <v>559</v>
      </c>
      <c r="W4" s="1284"/>
      <c r="X4" s="1284"/>
      <c r="Y4" s="176"/>
      <c r="Z4" s="176"/>
      <c r="AA4" s="176"/>
      <c r="AB4" s="176"/>
      <c r="AC4" s="176"/>
      <c r="AD4" s="176"/>
      <c r="AE4" s="176"/>
      <c r="AF4" s="176"/>
      <c r="AG4" s="176"/>
      <c r="AH4" s="178"/>
      <c r="AR4" s="165"/>
    </row>
    <row r="5" spans="2:44" s="171" customFormat="1" ht="43.2" x14ac:dyDescent="0.3">
      <c r="B5" s="1149"/>
      <c r="C5" s="1148"/>
      <c r="D5" s="179" t="s">
        <v>545</v>
      </c>
      <c r="E5" s="180"/>
      <c r="F5" s="179" t="s">
        <v>546</v>
      </c>
      <c r="G5" s="180"/>
      <c r="H5" s="179" t="s">
        <v>489</v>
      </c>
      <c r="I5" s="180"/>
      <c r="J5" s="179" t="s">
        <v>547</v>
      </c>
      <c r="K5" s="179" t="s">
        <v>548</v>
      </c>
      <c r="L5" s="179" t="s">
        <v>549</v>
      </c>
      <c r="M5" s="179" t="s">
        <v>550</v>
      </c>
      <c r="N5" s="179" t="s">
        <v>541</v>
      </c>
      <c r="O5" s="180"/>
      <c r="P5" s="179" t="s">
        <v>551</v>
      </c>
      <c r="Q5" s="179" t="s">
        <v>485</v>
      </c>
      <c r="R5" s="179" t="s">
        <v>484</v>
      </c>
      <c r="S5" s="179" t="s">
        <v>552</v>
      </c>
      <c r="T5" s="179" t="s">
        <v>491</v>
      </c>
      <c r="U5" s="180"/>
      <c r="V5" s="179" t="s">
        <v>556</v>
      </c>
      <c r="W5" s="179" t="s">
        <v>557</v>
      </c>
      <c r="X5" s="179" t="s">
        <v>558</v>
      </c>
      <c r="Y5" s="180"/>
      <c r="Z5" s="181" t="s">
        <v>553</v>
      </c>
      <c r="AA5" s="179" t="str">
        <f>_xlfn.CONCAT("Cash after Liablities at 45% DTI")</f>
        <v>Cash after Liablities at 45% DTI</v>
      </c>
      <c r="AB5" s="182" t="s">
        <v>486</v>
      </c>
      <c r="AC5" s="182" t="s">
        <v>543</v>
      </c>
      <c r="AD5" s="182" t="s">
        <v>544</v>
      </c>
      <c r="AE5" s="180"/>
      <c r="AF5" s="182" t="s">
        <v>467</v>
      </c>
      <c r="AG5" s="183" t="s">
        <v>129</v>
      </c>
      <c r="AH5" s="184"/>
      <c r="AR5" s="165"/>
    </row>
    <row r="6" spans="2:44" s="171" customFormat="1" ht="16.95" customHeight="1" x14ac:dyDescent="0.3">
      <c r="B6" s="208" t="s">
        <v>561</v>
      </c>
      <c r="C6" s="185"/>
      <c r="D6" s="1190">
        <v>0.23</v>
      </c>
      <c r="E6" s="186"/>
      <c r="F6" s="209">
        <v>11100</v>
      </c>
      <c r="G6" s="185"/>
      <c r="H6" s="1234">
        <v>702.3</v>
      </c>
      <c r="I6" s="186"/>
      <c r="J6" s="212">
        <v>0</v>
      </c>
      <c r="K6" s="213">
        <v>126375</v>
      </c>
      <c r="L6" s="214">
        <v>0</v>
      </c>
      <c r="M6" s="214">
        <v>0</v>
      </c>
      <c r="N6" s="187">
        <f t="shared" ref="N6:N15" si="0">SUM(J6:M6)</f>
        <v>126375</v>
      </c>
      <c r="O6" s="185"/>
      <c r="P6" s="221">
        <v>0</v>
      </c>
      <c r="Q6" s="213">
        <v>0</v>
      </c>
      <c r="R6" s="214">
        <v>0</v>
      </c>
      <c r="S6" s="214">
        <v>0</v>
      </c>
      <c r="T6" s="187">
        <f t="shared" ref="T6:T15" si="1">SUM(P6:S6)</f>
        <v>0</v>
      </c>
      <c r="U6" s="185"/>
      <c r="V6" s="187">
        <f t="shared" ref="V6:V15" si="2">T6*12</f>
        <v>0</v>
      </c>
      <c r="W6" s="187">
        <f t="shared" ref="W6:W15" si="3">N6</f>
        <v>126375</v>
      </c>
      <c r="X6" s="187">
        <f>W6-V6</f>
        <v>126375</v>
      </c>
      <c r="Y6" s="1233"/>
      <c r="Z6" s="1189">
        <f t="shared" ref="Z6:Z15" si="4">IFERROR((T6*12)/(N6),0)</f>
        <v>0</v>
      </c>
      <c r="AA6" s="187">
        <f t="shared" ref="AA6:AA15" si="5">N6-((T6*12)/0.45)</f>
        <v>126375</v>
      </c>
      <c r="AB6" s="187">
        <f>IF(AF6=Lists!$H$4,0,IF(AA6&lt;0,-AA6,0))</f>
        <v>0</v>
      </c>
      <c r="AC6" s="1195">
        <v>0</v>
      </c>
      <c r="AD6" s="1196">
        <f t="shared" ref="AD6:AD15" si="6">IFERROR((T6*12)/(N6+AC6),0)</f>
        <v>0</v>
      </c>
      <c r="AE6" s="1233"/>
      <c r="AF6" s="224" t="s">
        <v>130</v>
      </c>
      <c r="AG6" s="224" t="s">
        <v>130</v>
      </c>
      <c r="AH6" s="188"/>
      <c r="AR6" s="165"/>
    </row>
    <row r="7" spans="2:44" s="171" customFormat="1" ht="16.95" customHeight="1" x14ac:dyDescent="0.3">
      <c r="B7" s="208" t="s">
        <v>562</v>
      </c>
      <c r="C7" s="185"/>
      <c r="D7" s="1191">
        <v>0.27</v>
      </c>
      <c r="E7" s="186"/>
      <c r="F7" s="210">
        <v>525000</v>
      </c>
      <c r="G7" s="185"/>
      <c r="H7" s="1235">
        <v>800</v>
      </c>
      <c r="I7" s="186"/>
      <c r="J7" s="215">
        <v>0</v>
      </c>
      <c r="K7" s="216">
        <v>0</v>
      </c>
      <c r="L7" s="217">
        <v>0</v>
      </c>
      <c r="M7" s="217">
        <v>0</v>
      </c>
      <c r="N7" s="187">
        <f t="shared" si="0"/>
        <v>0</v>
      </c>
      <c r="O7" s="185"/>
      <c r="P7" s="222">
        <v>0</v>
      </c>
      <c r="Q7" s="216">
        <v>0</v>
      </c>
      <c r="R7" s="217">
        <v>3000</v>
      </c>
      <c r="S7" s="217">
        <v>0</v>
      </c>
      <c r="T7" s="187">
        <f t="shared" si="1"/>
        <v>3000</v>
      </c>
      <c r="U7" s="185"/>
      <c r="V7" s="187">
        <f t="shared" si="2"/>
        <v>36000</v>
      </c>
      <c r="W7" s="187">
        <f t="shared" si="3"/>
        <v>0</v>
      </c>
      <c r="X7" s="187">
        <f t="shared" ref="X7:X15" si="7">W7-V7</f>
        <v>-36000</v>
      </c>
      <c r="Y7" s="1233"/>
      <c r="Z7" s="1189">
        <f t="shared" si="4"/>
        <v>0</v>
      </c>
      <c r="AA7" s="187">
        <f t="shared" si="5"/>
        <v>-80000</v>
      </c>
      <c r="AB7" s="187">
        <f>IF(AF7=Lists!$H$4,0,IF(AA7&lt;0,-AA7,0))</f>
        <v>80000</v>
      </c>
      <c r="AC7" s="523">
        <v>0</v>
      </c>
      <c r="AD7" s="1196">
        <f t="shared" si="6"/>
        <v>0</v>
      </c>
      <c r="AE7" s="1233"/>
      <c r="AF7" s="224" t="s">
        <v>130</v>
      </c>
      <c r="AG7" s="224" t="s">
        <v>130</v>
      </c>
      <c r="AH7" s="188"/>
      <c r="AR7" s="165"/>
    </row>
    <row r="8" spans="2:44" s="171" customFormat="1" ht="16.95" customHeight="1" x14ac:dyDescent="0.3">
      <c r="B8" s="208" t="s">
        <v>563</v>
      </c>
      <c r="C8" s="185"/>
      <c r="D8" s="1191">
        <v>0.5</v>
      </c>
      <c r="E8" s="186"/>
      <c r="F8" s="210">
        <v>100000</v>
      </c>
      <c r="G8" s="185"/>
      <c r="H8" s="1235">
        <v>810</v>
      </c>
      <c r="I8" s="186"/>
      <c r="J8" s="215">
        <v>0</v>
      </c>
      <c r="K8" s="216">
        <v>0</v>
      </c>
      <c r="L8" s="217">
        <v>0</v>
      </c>
      <c r="M8" s="217">
        <v>0</v>
      </c>
      <c r="N8" s="187">
        <f t="shared" si="0"/>
        <v>0</v>
      </c>
      <c r="O8" s="185"/>
      <c r="P8" s="222">
        <v>0</v>
      </c>
      <c r="Q8" s="216">
        <v>0</v>
      </c>
      <c r="R8" s="217">
        <v>5211</v>
      </c>
      <c r="S8" s="217">
        <v>1500</v>
      </c>
      <c r="T8" s="187">
        <f t="shared" si="1"/>
        <v>6711</v>
      </c>
      <c r="U8" s="185"/>
      <c r="V8" s="187">
        <f t="shared" si="2"/>
        <v>80532</v>
      </c>
      <c r="W8" s="187">
        <f t="shared" si="3"/>
        <v>0</v>
      </c>
      <c r="X8" s="187">
        <f t="shared" si="7"/>
        <v>-80532</v>
      </c>
      <c r="Y8" s="1233"/>
      <c r="Z8" s="1189">
        <f t="shared" si="4"/>
        <v>0</v>
      </c>
      <c r="AA8" s="187">
        <f t="shared" si="5"/>
        <v>-178960</v>
      </c>
      <c r="AB8" s="187">
        <f>IF(AF8=Lists!$H$4,0,IF(AA8&lt;0,-AA8,0))</f>
        <v>178960</v>
      </c>
      <c r="AC8" s="523">
        <v>0</v>
      </c>
      <c r="AD8" s="1196">
        <f t="shared" si="6"/>
        <v>0</v>
      </c>
      <c r="AE8" s="1233"/>
      <c r="AF8" s="224" t="s">
        <v>130</v>
      </c>
      <c r="AG8" s="224" t="s">
        <v>130</v>
      </c>
      <c r="AH8" s="188"/>
      <c r="AR8" s="165"/>
    </row>
    <row r="9" spans="2:44" s="171" customFormat="1" ht="16.95" customHeight="1" x14ac:dyDescent="0.3">
      <c r="B9" s="208" t="s">
        <v>564</v>
      </c>
      <c r="C9" s="185"/>
      <c r="D9" s="1191">
        <v>0</v>
      </c>
      <c r="E9" s="186"/>
      <c r="F9" s="210">
        <v>425000</v>
      </c>
      <c r="G9" s="185"/>
      <c r="H9" s="1235"/>
      <c r="I9" s="186"/>
      <c r="J9" s="215">
        <v>0</v>
      </c>
      <c r="K9" s="216">
        <v>64800</v>
      </c>
      <c r="L9" s="217">
        <v>0</v>
      </c>
      <c r="M9" s="217">
        <v>0</v>
      </c>
      <c r="N9" s="187">
        <f t="shared" si="0"/>
        <v>64800</v>
      </c>
      <c r="O9" s="185"/>
      <c r="P9" s="222">
        <v>0</v>
      </c>
      <c r="Q9" s="216">
        <v>400</v>
      </c>
      <c r="R9" s="217">
        <v>0</v>
      </c>
      <c r="S9" s="217">
        <v>1183</v>
      </c>
      <c r="T9" s="187">
        <f t="shared" si="1"/>
        <v>1583</v>
      </c>
      <c r="U9" s="185"/>
      <c r="V9" s="187">
        <f t="shared" si="2"/>
        <v>18996</v>
      </c>
      <c r="W9" s="187">
        <f t="shared" si="3"/>
        <v>64800</v>
      </c>
      <c r="X9" s="187">
        <f t="shared" si="7"/>
        <v>45804</v>
      </c>
      <c r="Y9" s="1233"/>
      <c r="Z9" s="1189">
        <f t="shared" si="4"/>
        <v>0.29314814814814816</v>
      </c>
      <c r="AA9" s="187">
        <f t="shared" si="5"/>
        <v>22586.666666666664</v>
      </c>
      <c r="AB9" s="187">
        <f>IF(AF9=Lists!$H$4,0,IF(AA9&lt;0,-AA9,0))</f>
        <v>0</v>
      </c>
      <c r="AC9" s="523">
        <v>0</v>
      </c>
      <c r="AD9" s="1196">
        <f t="shared" si="6"/>
        <v>0.29314814814814816</v>
      </c>
      <c r="AE9" s="1233"/>
      <c r="AF9" s="224" t="s">
        <v>130</v>
      </c>
      <c r="AG9" s="224" t="s">
        <v>130</v>
      </c>
      <c r="AH9" s="188"/>
      <c r="AR9" s="165"/>
    </row>
    <row r="10" spans="2:44" s="171" customFormat="1" ht="16.95" customHeight="1" x14ac:dyDescent="0.3">
      <c r="B10" s="208" t="s">
        <v>565</v>
      </c>
      <c r="C10" s="185"/>
      <c r="D10" s="1191">
        <v>0</v>
      </c>
      <c r="E10" s="186"/>
      <c r="F10" s="210">
        <v>657000</v>
      </c>
      <c r="G10" s="185"/>
      <c r="H10" s="1235"/>
      <c r="I10" s="186"/>
      <c r="J10" s="215">
        <v>0</v>
      </c>
      <c r="K10" s="216">
        <v>67200</v>
      </c>
      <c r="L10" s="217">
        <v>0</v>
      </c>
      <c r="M10" s="217">
        <v>0</v>
      </c>
      <c r="N10" s="187">
        <f t="shared" si="0"/>
        <v>67200</v>
      </c>
      <c r="O10" s="185"/>
      <c r="P10" s="222">
        <v>0</v>
      </c>
      <c r="Q10" s="216">
        <v>965</v>
      </c>
      <c r="R10" s="217">
        <v>0</v>
      </c>
      <c r="S10" s="217">
        <v>609</v>
      </c>
      <c r="T10" s="187">
        <f t="shared" si="1"/>
        <v>1574</v>
      </c>
      <c r="U10" s="185"/>
      <c r="V10" s="187">
        <f t="shared" si="2"/>
        <v>18888</v>
      </c>
      <c r="W10" s="187">
        <f t="shared" si="3"/>
        <v>67200</v>
      </c>
      <c r="X10" s="187">
        <f t="shared" si="7"/>
        <v>48312</v>
      </c>
      <c r="Y10" s="1233"/>
      <c r="Z10" s="1189">
        <f t="shared" si="4"/>
        <v>0.28107142857142858</v>
      </c>
      <c r="AA10" s="187">
        <f t="shared" si="5"/>
        <v>25226.666666666664</v>
      </c>
      <c r="AB10" s="187">
        <f>IF(AF10=Lists!$H$4,0,IF(AA10&lt;0,-AA10,0))</f>
        <v>0</v>
      </c>
      <c r="AC10" s="523">
        <v>0</v>
      </c>
      <c r="AD10" s="1196">
        <f t="shared" si="6"/>
        <v>0.28107142857142858</v>
      </c>
      <c r="AE10" s="1233"/>
      <c r="AF10" s="224" t="s">
        <v>130</v>
      </c>
      <c r="AG10" s="224" t="s">
        <v>130</v>
      </c>
      <c r="AH10" s="188"/>
      <c r="AR10" s="165"/>
    </row>
    <row r="11" spans="2:44" s="171" customFormat="1" ht="16.95" customHeight="1" x14ac:dyDescent="0.3">
      <c r="B11" s="208" t="s">
        <v>462</v>
      </c>
      <c r="C11" s="185"/>
      <c r="D11" s="1191">
        <v>0</v>
      </c>
      <c r="E11" s="186"/>
      <c r="F11" s="210">
        <v>0</v>
      </c>
      <c r="G11" s="185"/>
      <c r="H11" s="1235"/>
      <c r="I11" s="186"/>
      <c r="J11" s="215">
        <v>0</v>
      </c>
      <c r="K11" s="216">
        <v>0</v>
      </c>
      <c r="L11" s="217">
        <v>0</v>
      </c>
      <c r="M11" s="217">
        <v>0</v>
      </c>
      <c r="N11" s="187">
        <f t="shared" si="0"/>
        <v>0</v>
      </c>
      <c r="O11" s="185"/>
      <c r="P11" s="222">
        <v>0</v>
      </c>
      <c r="Q11" s="216">
        <v>0</v>
      </c>
      <c r="R11" s="217">
        <v>0</v>
      </c>
      <c r="S11" s="217">
        <v>0</v>
      </c>
      <c r="T11" s="187">
        <f t="shared" si="1"/>
        <v>0</v>
      </c>
      <c r="U11" s="185"/>
      <c r="V11" s="187">
        <f t="shared" si="2"/>
        <v>0</v>
      </c>
      <c r="W11" s="187">
        <f t="shared" si="3"/>
        <v>0</v>
      </c>
      <c r="X11" s="187">
        <f t="shared" si="7"/>
        <v>0</v>
      </c>
      <c r="Y11" s="1233"/>
      <c r="Z11" s="1189">
        <f t="shared" si="4"/>
        <v>0</v>
      </c>
      <c r="AA11" s="187">
        <f t="shared" si="5"/>
        <v>0</v>
      </c>
      <c r="AB11" s="187">
        <f>IF(AF11=Lists!$H$4,0,IF(AA11&lt;0,-AA11,0))</f>
        <v>0</v>
      </c>
      <c r="AC11" s="523">
        <v>0</v>
      </c>
      <c r="AD11" s="1196">
        <f t="shared" si="6"/>
        <v>0</v>
      </c>
      <c r="AE11" s="1233"/>
      <c r="AF11" s="224" t="s">
        <v>130</v>
      </c>
      <c r="AG11" s="224" t="s">
        <v>130</v>
      </c>
      <c r="AH11" s="188"/>
      <c r="AR11" s="165"/>
    </row>
    <row r="12" spans="2:44" s="171" customFormat="1" ht="16.95" customHeight="1" x14ac:dyDescent="0.3">
      <c r="B12" s="208" t="s">
        <v>463</v>
      </c>
      <c r="C12" s="185"/>
      <c r="D12" s="1191">
        <v>0</v>
      </c>
      <c r="E12" s="186"/>
      <c r="F12" s="210">
        <v>0</v>
      </c>
      <c r="G12" s="185"/>
      <c r="H12" s="1235"/>
      <c r="I12" s="186"/>
      <c r="J12" s="215">
        <v>0</v>
      </c>
      <c r="K12" s="216">
        <v>0</v>
      </c>
      <c r="L12" s="217">
        <v>0</v>
      </c>
      <c r="M12" s="217">
        <v>0</v>
      </c>
      <c r="N12" s="187">
        <f t="shared" si="0"/>
        <v>0</v>
      </c>
      <c r="O12" s="185"/>
      <c r="P12" s="222">
        <v>0</v>
      </c>
      <c r="Q12" s="216">
        <v>0</v>
      </c>
      <c r="R12" s="217">
        <v>0</v>
      </c>
      <c r="S12" s="217">
        <v>0</v>
      </c>
      <c r="T12" s="187">
        <f t="shared" si="1"/>
        <v>0</v>
      </c>
      <c r="U12" s="185"/>
      <c r="V12" s="187">
        <f t="shared" si="2"/>
        <v>0</v>
      </c>
      <c r="W12" s="187">
        <f t="shared" si="3"/>
        <v>0</v>
      </c>
      <c r="X12" s="187">
        <f t="shared" si="7"/>
        <v>0</v>
      </c>
      <c r="Y12" s="1233"/>
      <c r="Z12" s="1189">
        <f t="shared" si="4"/>
        <v>0</v>
      </c>
      <c r="AA12" s="187">
        <f t="shared" si="5"/>
        <v>0</v>
      </c>
      <c r="AB12" s="187">
        <f>IF(AF12=Lists!$H$4,0,IF(AA12&lt;0,-AA12,0))</f>
        <v>0</v>
      </c>
      <c r="AC12" s="523">
        <v>0</v>
      </c>
      <c r="AD12" s="1196">
        <f t="shared" si="6"/>
        <v>0</v>
      </c>
      <c r="AE12" s="1233"/>
      <c r="AF12" s="224" t="s">
        <v>130</v>
      </c>
      <c r="AG12" s="224" t="s">
        <v>130</v>
      </c>
      <c r="AH12" s="188"/>
      <c r="AR12" s="165"/>
    </row>
    <row r="13" spans="2:44" s="171" customFormat="1" ht="16.95" customHeight="1" x14ac:dyDescent="0.3">
      <c r="B13" s="208" t="s">
        <v>464</v>
      </c>
      <c r="C13" s="185"/>
      <c r="D13" s="1191">
        <v>0</v>
      </c>
      <c r="E13" s="186"/>
      <c r="F13" s="210">
        <v>0</v>
      </c>
      <c r="G13" s="185"/>
      <c r="H13" s="1235"/>
      <c r="I13" s="186"/>
      <c r="J13" s="215">
        <v>0</v>
      </c>
      <c r="K13" s="216">
        <v>0</v>
      </c>
      <c r="L13" s="217">
        <v>0</v>
      </c>
      <c r="M13" s="217">
        <v>0</v>
      </c>
      <c r="N13" s="187">
        <f t="shared" si="0"/>
        <v>0</v>
      </c>
      <c r="O13" s="185"/>
      <c r="P13" s="222">
        <v>0</v>
      </c>
      <c r="Q13" s="216">
        <v>0</v>
      </c>
      <c r="R13" s="217">
        <v>0</v>
      </c>
      <c r="S13" s="217">
        <v>0</v>
      </c>
      <c r="T13" s="187">
        <f t="shared" si="1"/>
        <v>0</v>
      </c>
      <c r="U13" s="185"/>
      <c r="V13" s="187">
        <f t="shared" si="2"/>
        <v>0</v>
      </c>
      <c r="W13" s="187">
        <f t="shared" si="3"/>
        <v>0</v>
      </c>
      <c r="X13" s="187">
        <f t="shared" si="7"/>
        <v>0</v>
      </c>
      <c r="Y13" s="1233"/>
      <c r="Z13" s="1189">
        <f t="shared" si="4"/>
        <v>0</v>
      </c>
      <c r="AA13" s="187">
        <f t="shared" si="5"/>
        <v>0</v>
      </c>
      <c r="AB13" s="187">
        <f>IF(AF13=Lists!$H$4,0,IF(AA13&lt;0,-AA13,0))</f>
        <v>0</v>
      </c>
      <c r="AC13" s="523">
        <v>0</v>
      </c>
      <c r="AD13" s="1196">
        <f t="shared" si="6"/>
        <v>0</v>
      </c>
      <c r="AE13" s="1233"/>
      <c r="AF13" s="224" t="s">
        <v>130</v>
      </c>
      <c r="AG13" s="224" t="s">
        <v>130</v>
      </c>
      <c r="AH13" s="188"/>
      <c r="AR13" s="165"/>
    </row>
    <row r="14" spans="2:44" s="171" customFormat="1" ht="16.95" customHeight="1" x14ac:dyDescent="0.3">
      <c r="B14" s="208" t="s">
        <v>465</v>
      </c>
      <c r="C14" s="185"/>
      <c r="D14" s="1191">
        <v>0</v>
      </c>
      <c r="E14" s="186"/>
      <c r="F14" s="210">
        <v>0</v>
      </c>
      <c r="G14" s="185"/>
      <c r="H14" s="1235"/>
      <c r="I14" s="186"/>
      <c r="J14" s="215">
        <v>0</v>
      </c>
      <c r="K14" s="216">
        <v>0</v>
      </c>
      <c r="L14" s="217">
        <v>0</v>
      </c>
      <c r="M14" s="217">
        <v>0</v>
      </c>
      <c r="N14" s="187">
        <f t="shared" si="0"/>
        <v>0</v>
      </c>
      <c r="O14" s="185"/>
      <c r="P14" s="222">
        <v>0</v>
      </c>
      <c r="Q14" s="216">
        <v>0</v>
      </c>
      <c r="R14" s="217">
        <v>0</v>
      </c>
      <c r="S14" s="217">
        <v>0</v>
      </c>
      <c r="T14" s="187">
        <f t="shared" si="1"/>
        <v>0</v>
      </c>
      <c r="U14" s="185"/>
      <c r="V14" s="187">
        <f t="shared" si="2"/>
        <v>0</v>
      </c>
      <c r="W14" s="187">
        <f t="shared" si="3"/>
        <v>0</v>
      </c>
      <c r="X14" s="187">
        <f t="shared" si="7"/>
        <v>0</v>
      </c>
      <c r="Y14" s="1233"/>
      <c r="Z14" s="1189">
        <f t="shared" si="4"/>
        <v>0</v>
      </c>
      <c r="AA14" s="187">
        <f t="shared" si="5"/>
        <v>0</v>
      </c>
      <c r="AB14" s="187">
        <f>IF(AF14=Lists!$H$4,0,IF(AA14&lt;0,-AA14,0))</f>
        <v>0</v>
      </c>
      <c r="AC14" s="523">
        <v>0</v>
      </c>
      <c r="AD14" s="1196">
        <f t="shared" si="6"/>
        <v>0</v>
      </c>
      <c r="AE14" s="1233"/>
      <c r="AF14" s="224" t="s">
        <v>130</v>
      </c>
      <c r="AG14" s="224" t="s">
        <v>130</v>
      </c>
      <c r="AH14" s="188"/>
      <c r="AQ14" s="165"/>
      <c r="AR14" s="165"/>
    </row>
    <row r="15" spans="2:44" s="171" customFormat="1" ht="16.95" customHeight="1" thickBot="1" x14ac:dyDescent="0.35">
      <c r="B15" s="208" t="s">
        <v>466</v>
      </c>
      <c r="C15" s="185"/>
      <c r="D15" s="1192">
        <v>0</v>
      </c>
      <c r="E15" s="186"/>
      <c r="F15" s="211">
        <v>0</v>
      </c>
      <c r="G15" s="185"/>
      <c r="H15" s="1236"/>
      <c r="I15" s="186"/>
      <c r="J15" s="218">
        <v>0</v>
      </c>
      <c r="K15" s="219">
        <v>0</v>
      </c>
      <c r="L15" s="220">
        <v>0</v>
      </c>
      <c r="M15" s="220">
        <v>0</v>
      </c>
      <c r="N15" s="189">
        <f t="shared" si="0"/>
        <v>0</v>
      </c>
      <c r="O15" s="185"/>
      <c r="P15" s="223">
        <v>0</v>
      </c>
      <c r="Q15" s="219">
        <v>0</v>
      </c>
      <c r="R15" s="220">
        <v>0</v>
      </c>
      <c r="S15" s="220">
        <v>0</v>
      </c>
      <c r="T15" s="189">
        <f t="shared" si="1"/>
        <v>0</v>
      </c>
      <c r="U15" s="185"/>
      <c r="V15" s="190">
        <f t="shared" si="2"/>
        <v>0</v>
      </c>
      <c r="W15" s="191">
        <f t="shared" si="3"/>
        <v>0</v>
      </c>
      <c r="X15" s="190">
        <f t="shared" si="7"/>
        <v>0</v>
      </c>
      <c r="Y15" s="1233"/>
      <c r="Z15" s="1189">
        <f t="shared" si="4"/>
        <v>0</v>
      </c>
      <c r="AA15" s="190">
        <f t="shared" si="5"/>
        <v>0</v>
      </c>
      <c r="AB15" s="191">
        <f>IF(AF15=Lists!$H$4,0,IF(AA15&lt;0,-AA15,0))</f>
        <v>0</v>
      </c>
      <c r="AC15" s="1197">
        <v>0</v>
      </c>
      <c r="AD15" s="1196">
        <f t="shared" si="6"/>
        <v>0</v>
      </c>
      <c r="AE15" s="1233"/>
      <c r="AF15" s="224" t="s">
        <v>130</v>
      </c>
      <c r="AG15" s="224" t="s">
        <v>130</v>
      </c>
      <c r="AH15" s="188"/>
    </row>
    <row r="16" spans="2:44" s="171" customFormat="1" ht="16.95" customHeight="1" x14ac:dyDescent="0.3">
      <c r="B16" s="192"/>
      <c r="C16" s="1150"/>
      <c r="D16" s="1158"/>
      <c r="E16" s="1150"/>
      <c r="F16" s="193">
        <f>SUM(F6:F15)</f>
        <v>1718100</v>
      </c>
      <c r="G16" s="185"/>
      <c r="H16" s="194">
        <f>AVERAGE(H6:H15)</f>
        <v>770.76666666666677</v>
      </c>
      <c r="I16" s="186"/>
      <c r="J16" s="195">
        <f>SUM(J6:J15)</f>
        <v>0</v>
      </c>
      <c r="K16" s="196">
        <f>SUM(K6:K15)</f>
        <v>258375</v>
      </c>
      <c r="L16" s="196">
        <f>SUM(L6:L15)</f>
        <v>0</v>
      </c>
      <c r="M16" s="197">
        <f>SUM(M6:M15)</f>
        <v>0</v>
      </c>
      <c r="N16" s="198">
        <f>SUM(N6:N15)</f>
        <v>258375</v>
      </c>
      <c r="O16" s="185"/>
      <c r="P16" s="199">
        <f>SUM(P6:P15)</f>
        <v>0</v>
      </c>
      <c r="Q16" s="196">
        <f>SUM(Q6:Q15)</f>
        <v>1365</v>
      </c>
      <c r="R16" s="196">
        <f>SUM(R6:R15)</f>
        <v>8211</v>
      </c>
      <c r="S16" s="196">
        <f>SUM(S6:S15)</f>
        <v>3292</v>
      </c>
      <c r="T16" s="198">
        <f>SUM(T6:T15)</f>
        <v>12868</v>
      </c>
      <c r="U16" s="186"/>
      <c r="V16" s="198">
        <f>SUM(V6:V15)</f>
        <v>154416</v>
      </c>
      <c r="W16" s="226">
        <f>SUM(W6:W15)</f>
        <v>258375</v>
      </c>
      <c r="X16" s="198">
        <f>SUM(X6:X15)</f>
        <v>103959</v>
      </c>
      <c r="Y16" s="1150"/>
      <c r="Z16" s="200"/>
      <c r="AA16" s="198">
        <f>SUM(AA6:AA15)</f>
        <v>-84771.666666666686</v>
      </c>
      <c r="AB16" s="226">
        <f>IF(SUM(AB6:AB15)&lt;AB18,AB18,SUM(AB6:AB15))</f>
        <v>258960</v>
      </c>
      <c r="AC16" s="1198">
        <f>SUM(AC6:AC15)</f>
        <v>0</v>
      </c>
      <c r="AD16" s="1194"/>
      <c r="AE16" s="1150"/>
      <c r="AF16" s="201"/>
      <c r="AG16" s="202"/>
      <c r="AH16" s="178"/>
    </row>
    <row r="17" spans="2:34" s="171" customFormat="1" ht="16.95" customHeight="1" x14ac:dyDescent="0.3">
      <c r="B17" s="203"/>
      <c r="C17" s="176"/>
      <c r="D17" s="176"/>
      <c r="E17" s="176"/>
      <c r="F17" s="176"/>
      <c r="G17" s="176"/>
      <c r="H17" s="176"/>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c r="AG17" s="176"/>
      <c r="AH17" s="178"/>
    </row>
    <row r="18" spans="2:34" s="171" customFormat="1" ht="16.95" customHeight="1" x14ac:dyDescent="0.3">
      <c r="B18" s="203"/>
      <c r="C18" s="176"/>
      <c r="D18" s="176"/>
      <c r="E18" s="176"/>
      <c r="F18" s="176"/>
      <c r="G18" s="176"/>
      <c r="H18" s="176"/>
      <c r="I18" s="176"/>
      <c r="J18" s="176"/>
      <c r="K18" s="176"/>
      <c r="L18" s="176"/>
      <c r="M18" s="176"/>
      <c r="N18" s="176"/>
      <c r="O18" s="176"/>
      <c r="P18" s="176"/>
      <c r="Q18" s="176"/>
      <c r="R18" s="176"/>
      <c r="S18" s="176"/>
      <c r="T18" s="176"/>
      <c r="U18" s="204" t="s">
        <v>487</v>
      </c>
      <c r="V18" s="204"/>
      <c r="W18" s="204"/>
      <c r="X18" s="204"/>
      <c r="Y18" s="204"/>
      <c r="Z18" s="224" t="s">
        <v>130</v>
      </c>
      <c r="AA18" s="204" t="s">
        <v>488</v>
      </c>
      <c r="AB18" s="225">
        <f>IF(Z18=Lists!H3,24000,0)</f>
        <v>24000</v>
      </c>
      <c r="AC18" s="1194"/>
      <c r="AD18" s="1194"/>
      <c r="AE18" s="204"/>
      <c r="AF18" s="201"/>
      <c r="AG18" s="176"/>
      <c r="AH18" s="178"/>
    </row>
    <row r="19" spans="2:34" s="171" customFormat="1" ht="15" thickBot="1" x14ac:dyDescent="0.35">
      <c r="B19" s="205"/>
      <c r="C19" s="206"/>
      <c r="D19" s="206"/>
      <c r="E19" s="206"/>
      <c r="F19" s="206"/>
      <c r="G19" s="206"/>
      <c r="H19" s="206"/>
      <c r="I19" s="206"/>
      <c r="J19" s="206"/>
      <c r="K19" s="206"/>
      <c r="L19" s="206"/>
      <c r="M19" s="206"/>
      <c r="N19" s="206"/>
      <c r="O19" s="206"/>
      <c r="P19" s="206"/>
      <c r="Q19" s="206"/>
      <c r="R19" s="206"/>
      <c r="S19" s="206"/>
      <c r="T19" s="206"/>
      <c r="U19" s="206"/>
      <c r="V19" s="206"/>
      <c r="W19" s="206"/>
      <c r="X19" s="206"/>
      <c r="Y19" s="206"/>
      <c r="Z19" s="206"/>
      <c r="AA19" s="206"/>
      <c r="AB19" s="206"/>
      <c r="AC19" s="206"/>
      <c r="AD19" s="206"/>
      <c r="AE19" s="206"/>
      <c r="AF19" s="206"/>
      <c r="AG19" s="206"/>
      <c r="AH19" s="207"/>
    </row>
    <row r="20" spans="2:34" s="171" customFormat="1" x14ac:dyDescent="0.3"/>
    <row r="21" spans="2:34" s="171" customFormat="1" x14ac:dyDescent="0.3"/>
    <row r="22" spans="2:34" s="171" customFormat="1" x14ac:dyDescent="0.3"/>
  </sheetData>
  <sheetProtection sheet="1" objects="1" scenarios="1" selectLockedCells="1"/>
  <mergeCells count="3">
    <mergeCell ref="J4:M4"/>
    <mergeCell ref="P4:S4"/>
    <mergeCell ref="V4:X4"/>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ErrorMessage="1" errorTitle="The value you entered is not valid." error="The value entered violates data validation rules set in cell" xr:uid="{00000000-0002-0000-0000-000007000000}">
          <x14:formula1>
            <xm:f>Lists!$H$2:$H$4</xm:f>
          </x14:formula1>
          <xm:sqref>Z18 AF6:AH15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A496-42ED-4CC2-9E80-E6D420FE7915}">
  <sheetPr>
    <tabColor theme="0" tint="-4.9989318521683403E-2"/>
  </sheetPr>
  <dimension ref="B1:M713"/>
  <sheetViews>
    <sheetView zoomScale="85" zoomScaleNormal="85" workbookViewId="0">
      <selection activeCell="B43" sqref="B43:I43"/>
    </sheetView>
  </sheetViews>
  <sheetFormatPr defaultRowHeight="14.4" outlineLevelRow="1" x14ac:dyDescent="0.3"/>
  <cols>
    <col min="1" max="1" width="5.21875" style="165" customWidth="1"/>
    <col min="2" max="2" width="17.88671875" style="165" customWidth="1"/>
    <col min="3" max="3" width="26.5546875" style="165" bestFit="1" customWidth="1"/>
    <col min="4" max="4" width="17.5546875" style="165" customWidth="1"/>
    <col min="5" max="5" width="5.5546875" style="165" bestFit="1" customWidth="1"/>
    <col min="6" max="6" width="17.5546875" style="165" customWidth="1"/>
    <col min="7" max="7" width="5.5546875" style="165" bestFit="1" customWidth="1"/>
    <col min="8" max="8" width="17.5546875" style="165" customWidth="1"/>
    <col min="9" max="9" width="5.5546875" style="165" bestFit="1" customWidth="1"/>
    <col min="10" max="10" width="17.5546875" style="165" customWidth="1"/>
    <col min="11" max="11" width="7.21875" style="165" customWidth="1"/>
    <col min="12" max="14" width="8.88671875" style="165"/>
    <col min="15" max="24" width="8.88671875" style="165" customWidth="1"/>
    <col min="25" max="16384" width="8.88671875" style="165"/>
  </cols>
  <sheetData>
    <row r="1" spans="2:11" ht="27" customHeight="1" thickBot="1" x14ac:dyDescent="0.35"/>
    <row r="2" spans="2:11" ht="16.2" thickBot="1" x14ac:dyDescent="0.35">
      <c r="B2" s="227" t="s">
        <v>175</v>
      </c>
      <c r="C2" s="228"/>
      <c r="D2" s="228"/>
      <c r="E2" s="228"/>
      <c r="F2" s="228"/>
      <c r="G2" s="228"/>
      <c r="H2" s="228"/>
      <c r="I2" s="228"/>
      <c r="J2" s="228"/>
      <c r="K2" s="229"/>
    </row>
    <row r="3" spans="2:11" ht="16.2" thickBot="1" x14ac:dyDescent="0.35">
      <c r="B3" s="537" t="s">
        <v>492</v>
      </c>
      <c r="C3" s="535"/>
      <c r="D3" s="535"/>
      <c r="E3" s="535"/>
      <c r="F3" s="535"/>
      <c r="G3" s="535"/>
      <c r="H3" s="535"/>
      <c r="I3" s="535"/>
      <c r="J3" s="535"/>
      <c r="K3" s="536"/>
    </row>
    <row r="4" spans="2:11" ht="16.2" outlineLevel="1" thickBot="1" x14ac:dyDescent="0.35">
      <c r="B4" s="230"/>
      <c r="C4" s="231"/>
      <c r="D4" s="232">
        <f>'BDO Prequal'!D99</f>
        <v>45291</v>
      </c>
      <c r="E4" s="233"/>
      <c r="F4" s="232">
        <f>'BDO Prequal'!F99</f>
        <v>45657</v>
      </c>
      <c r="G4" s="233"/>
      <c r="H4" s="232">
        <f>'BDO Prequal'!H99</f>
        <v>46022</v>
      </c>
      <c r="I4" s="233"/>
      <c r="J4" s="232">
        <f>'BDO Prequal'!J99</f>
        <v>46142</v>
      </c>
      <c r="K4" s="234"/>
    </row>
    <row r="5" spans="2:11" outlineLevel="1" x14ac:dyDescent="0.3">
      <c r="B5" s="235"/>
      <c r="C5" s="236" t="s">
        <v>426</v>
      </c>
      <c r="D5" s="237">
        <f>IF(Affiliates!$K$43="Yes",Affiliates!D90,0)</f>
        <v>0</v>
      </c>
      <c r="E5" s="238"/>
      <c r="F5" s="237">
        <f>IF(Affiliates!$K$43="Yes",Affiliates!F90,0)</f>
        <v>0</v>
      </c>
      <c r="G5" s="238"/>
      <c r="H5" s="237">
        <f>IF(Affiliates!$K$43="Yes",Affiliates!H90,0)</f>
        <v>0</v>
      </c>
      <c r="I5" s="238"/>
      <c r="J5" s="237">
        <f>IF(Affiliates!$K$43="Yes",Affiliates!J90,0)</f>
        <v>0</v>
      </c>
      <c r="K5" s="239"/>
    </row>
    <row r="6" spans="2:11" outlineLevel="1" x14ac:dyDescent="0.3">
      <c r="B6" s="6"/>
      <c r="C6" s="240" t="s">
        <v>427</v>
      </c>
      <c r="D6" s="241">
        <f>IF(Affiliates!$K$43="Yes",Affiliates!D93,0)</f>
        <v>0</v>
      </c>
      <c r="E6" s="1"/>
      <c r="F6" s="241">
        <f>IF(Affiliates!$K$43="Yes",Affiliates!F93,0)</f>
        <v>0</v>
      </c>
      <c r="G6" s="1"/>
      <c r="H6" s="241">
        <f>IF(Affiliates!$K$43="Yes",Affiliates!H93,0)</f>
        <v>0</v>
      </c>
      <c r="I6" s="1"/>
      <c r="J6" s="241">
        <f>IF(Affiliates!$K$43="Yes",Affiliates!J93,0)</f>
        <v>0</v>
      </c>
      <c r="K6" s="4"/>
    </row>
    <row r="7" spans="2:11" outlineLevel="1" x14ac:dyDescent="0.3">
      <c r="B7" s="242"/>
      <c r="C7" s="243" t="str">
        <f>'BDO Prequal'!C164</f>
        <v>Affiliate 1 - Net Cashflow</v>
      </c>
      <c r="D7" s="244">
        <f>'BDO Prequal'!D164</f>
        <v>0</v>
      </c>
      <c r="E7" s="245"/>
      <c r="F7" s="244">
        <f>'BDO Prequal'!F164</f>
        <v>0</v>
      </c>
      <c r="G7" s="245"/>
      <c r="H7" s="244">
        <f>'BDO Prequal'!H164</f>
        <v>0</v>
      </c>
      <c r="I7" s="245"/>
      <c r="J7" s="244">
        <f>'BDO Prequal'!J164</f>
        <v>0</v>
      </c>
      <c r="K7" s="246"/>
    </row>
    <row r="8" spans="2:11" outlineLevel="1" x14ac:dyDescent="0.3">
      <c r="B8" s="247"/>
      <c r="C8" s="248" t="s">
        <v>428</v>
      </c>
      <c r="D8" s="249">
        <f>IF(Affiliates!$K$99="Yes",Affiliates!D146,0)</f>
        <v>0</v>
      </c>
      <c r="E8" s="250"/>
      <c r="F8" s="249">
        <f>IF(Affiliates!$K$99="Yes",Affiliates!F146,0)</f>
        <v>0</v>
      </c>
      <c r="G8" s="250"/>
      <c r="H8" s="249">
        <f>IF(Affiliates!$K$99="Yes",Affiliates!H146,0)</f>
        <v>0</v>
      </c>
      <c r="I8" s="250"/>
      <c r="J8" s="249">
        <f>IF(Affiliates!$K$99="Yes",Affiliates!J146,0)</f>
        <v>0</v>
      </c>
      <c r="K8" s="251"/>
    </row>
    <row r="9" spans="2:11" outlineLevel="1" x14ac:dyDescent="0.3">
      <c r="B9" s="6"/>
      <c r="C9" s="240" t="s">
        <v>429</v>
      </c>
      <c r="D9" s="241">
        <f>IF(Affiliates!$K$99="Yes",Affiliates!D149,0)</f>
        <v>0</v>
      </c>
      <c r="E9" s="1"/>
      <c r="F9" s="241">
        <f>IF(Affiliates!$K$99="Yes",Affiliates!F149,0)</f>
        <v>0</v>
      </c>
      <c r="G9" s="1"/>
      <c r="H9" s="241">
        <f>IF(Affiliates!$K$99="Yes",Affiliates!H149,0)</f>
        <v>0</v>
      </c>
      <c r="I9" s="1"/>
      <c r="J9" s="241">
        <f>IF(Affiliates!$K$99="Yes",Affiliates!J149,0)</f>
        <v>0</v>
      </c>
      <c r="K9" s="4"/>
    </row>
    <row r="10" spans="2:11" outlineLevel="1" x14ac:dyDescent="0.3">
      <c r="B10" s="242"/>
      <c r="C10" s="243" t="str">
        <f>'BDO Prequal'!C165</f>
        <v>Affiliate 2 - Net Cashflow</v>
      </c>
      <c r="D10" s="244">
        <f>'BDO Prequal'!D165</f>
        <v>0</v>
      </c>
      <c r="E10" s="245"/>
      <c r="F10" s="244">
        <f>'BDO Prequal'!F165</f>
        <v>0</v>
      </c>
      <c r="G10" s="245"/>
      <c r="H10" s="244">
        <f>'BDO Prequal'!H165</f>
        <v>0</v>
      </c>
      <c r="I10" s="245"/>
      <c r="J10" s="244">
        <f>'BDO Prequal'!J165</f>
        <v>0</v>
      </c>
      <c r="K10" s="246"/>
    </row>
    <row r="11" spans="2:11" outlineLevel="1" x14ac:dyDescent="0.3">
      <c r="B11" s="247"/>
      <c r="C11" s="248" t="s">
        <v>430</v>
      </c>
      <c r="D11" s="249">
        <f>IF(Affiliates!$K$155="Yes",Affiliates!D202,0)</f>
        <v>0</v>
      </c>
      <c r="E11" s="250"/>
      <c r="F11" s="249">
        <f>IF(Affiliates!$K$155="Yes",Affiliates!F202,0)</f>
        <v>0</v>
      </c>
      <c r="G11" s="250"/>
      <c r="H11" s="249">
        <f>IF(Affiliates!$K$155="Yes",Affiliates!H202,0)</f>
        <v>0</v>
      </c>
      <c r="I11" s="250"/>
      <c r="J11" s="249">
        <f>IF(Affiliates!$K$155="Yes",Affiliates!J202,0)</f>
        <v>0</v>
      </c>
      <c r="K11" s="251"/>
    </row>
    <row r="12" spans="2:11" outlineLevel="1" x14ac:dyDescent="0.3">
      <c r="B12" s="6"/>
      <c r="C12" s="240" t="s">
        <v>431</v>
      </c>
      <c r="D12" s="241">
        <f>IF(Affiliates!$K$155="Yes",Affiliates!D205,0)</f>
        <v>0</v>
      </c>
      <c r="E12" s="1"/>
      <c r="F12" s="241">
        <f>IF(Affiliates!$K$155="Yes",Affiliates!F205,0)</f>
        <v>0</v>
      </c>
      <c r="G12" s="1"/>
      <c r="H12" s="241">
        <f>IF(Affiliates!$K$155="Yes",Affiliates!H205,0)</f>
        <v>0</v>
      </c>
      <c r="I12" s="1"/>
      <c r="J12" s="241">
        <f>IF(Affiliates!$K$155="Yes",Affiliates!J205,0)</f>
        <v>0</v>
      </c>
      <c r="K12" s="4"/>
    </row>
    <row r="13" spans="2:11" outlineLevel="1" x14ac:dyDescent="0.3">
      <c r="B13" s="242"/>
      <c r="C13" s="243" t="str">
        <f>'BDO Prequal'!C166</f>
        <v>Affiliate 3 - Net Cashflow</v>
      </c>
      <c r="D13" s="244">
        <f>'BDO Prequal'!D166</f>
        <v>0</v>
      </c>
      <c r="E13" s="245"/>
      <c r="F13" s="244">
        <f>'BDO Prequal'!F166</f>
        <v>0</v>
      </c>
      <c r="G13" s="245"/>
      <c r="H13" s="244">
        <f>'BDO Prequal'!H166</f>
        <v>0</v>
      </c>
      <c r="I13" s="245"/>
      <c r="J13" s="244">
        <f>'BDO Prequal'!J166</f>
        <v>0</v>
      </c>
      <c r="K13" s="246"/>
    </row>
    <row r="14" spans="2:11" outlineLevel="1" x14ac:dyDescent="0.3">
      <c r="B14" s="247"/>
      <c r="C14" s="248" t="s">
        <v>432</v>
      </c>
      <c r="D14" s="249">
        <f>IF(Affiliates!$K$211="Yes",Affiliates!D258,0)</f>
        <v>0</v>
      </c>
      <c r="E14" s="250"/>
      <c r="F14" s="249">
        <f>IF(Affiliates!$K$211="Yes",Affiliates!F258,0)</f>
        <v>0</v>
      </c>
      <c r="G14" s="250"/>
      <c r="H14" s="249">
        <f>IF(Affiliates!$K$211="Yes",Affiliates!H258,0)</f>
        <v>0</v>
      </c>
      <c r="I14" s="250"/>
      <c r="J14" s="249">
        <f>IF(Affiliates!$K$211="Yes",Affiliates!J258,0)</f>
        <v>0</v>
      </c>
      <c r="K14" s="251"/>
    </row>
    <row r="15" spans="2:11" outlineLevel="1" x14ac:dyDescent="0.3">
      <c r="B15" s="6"/>
      <c r="C15" s="240" t="s">
        <v>433</v>
      </c>
      <c r="D15" s="241">
        <f>IF(Affiliates!$K$211="Yes",Affiliates!D261,0)</f>
        <v>0</v>
      </c>
      <c r="E15" s="1"/>
      <c r="F15" s="241">
        <f>IF(Affiliates!$K$211="Yes",Affiliates!F261,0)</f>
        <v>0</v>
      </c>
      <c r="G15" s="1"/>
      <c r="H15" s="241">
        <f>IF(Affiliates!$K$211="Yes",Affiliates!H261,0)</f>
        <v>0</v>
      </c>
      <c r="I15" s="1"/>
      <c r="J15" s="241">
        <f>IF(Affiliates!$K$211="Yes",Affiliates!J261,0)</f>
        <v>0</v>
      </c>
      <c r="K15" s="4"/>
    </row>
    <row r="16" spans="2:11" outlineLevel="1" x14ac:dyDescent="0.3">
      <c r="B16" s="242"/>
      <c r="C16" s="243" t="str">
        <f>'BDO Prequal'!C167</f>
        <v>Affiliate 4 - Net Cashflow</v>
      </c>
      <c r="D16" s="244">
        <f>'BDO Prequal'!D167</f>
        <v>0</v>
      </c>
      <c r="E16" s="245"/>
      <c r="F16" s="244">
        <f>'BDO Prequal'!F167</f>
        <v>0</v>
      </c>
      <c r="G16" s="245"/>
      <c r="H16" s="244">
        <f>'BDO Prequal'!H167</f>
        <v>0</v>
      </c>
      <c r="I16" s="245"/>
      <c r="J16" s="244">
        <f>'BDO Prequal'!J167</f>
        <v>0</v>
      </c>
      <c r="K16" s="246"/>
    </row>
    <row r="17" spans="2:11" outlineLevel="1" x14ac:dyDescent="0.3">
      <c r="B17" s="247"/>
      <c r="C17" s="248" t="s">
        <v>434</v>
      </c>
      <c r="D17" s="249">
        <f>IF(Affiliates!$K$267="Yes",Affiliates!D314,0)</f>
        <v>0</v>
      </c>
      <c r="E17" s="250"/>
      <c r="F17" s="249">
        <f>IF(Affiliates!$K$267="Yes",Affiliates!F314,0)</f>
        <v>0</v>
      </c>
      <c r="G17" s="250"/>
      <c r="H17" s="249">
        <f>IF(Affiliates!$K$267="Yes",Affiliates!H314,0)</f>
        <v>0</v>
      </c>
      <c r="I17" s="250"/>
      <c r="J17" s="249">
        <f>IF(Affiliates!$K$267="Yes",Affiliates!J314,0)</f>
        <v>0</v>
      </c>
      <c r="K17" s="251"/>
    </row>
    <row r="18" spans="2:11" outlineLevel="1" x14ac:dyDescent="0.3">
      <c r="B18" s="6"/>
      <c r="C18" s="240" t="s">
        <v>435</v>
      </c>
      <c r="D18" s="241">
        <f>IF(Affiliates!$K$267="Yes",Affiliates!D317,0)</f>
        <v>0</v>
      </c>
      <c r="E18" s="1"/>
      <c r="F18" s="241">
        <f>IF(Affiliates!$K$267="Yes",Affiliates!F317,0)</f>
        <v>0</v>
      </c>
      <c r="G18" s="1"/>
      <c r="H18" s="241">
        <f>IF(Affiliates!$K$267="Yes",Affiliates!H317,0)</f>
        <v>0</v>
      </c>
      <c r="I18" s="1"/>
      <c r="J18" s="241">
        <f>IF(Affiliates!$K$267="Yes",Affiliates!J317,0)</f>
        <v>0</v>
      </c>
      <c r="K18" s="4"/>
    </row>
    <row r="19" spans="2:11" outlineLevel="1" x14ac:dyDescent="0.3">
      <c r="B19" s="242"/>
      <c r="C19" s="243" t="str">
        <f>'BDO Prequal'!C168</f>
        <v>Affiliate 5 - Net Cashflow</v>
      </c>
      <c r="D19" s="244">
        <f>'BDO Prequal'!D168</f>
        <v>0</v>
      </c>
      <c r="E19" s="245"/>
      <c r="F19" s="244">
        <f>'BDO Prequal'!F168</f>
        <v>0</v>
      </c>
      <c r="G19" s="245"/>
      <c r="H19" s="244">
        <f>'BDO Prequal'!H168</f>
        <v>0</v>
      </c>
      <c r="I19" s="245"/>
      <c r="J19" s="244">
        <f>'BDO Prequal'!J168</f>
        <v>0</v>
      </c>
      <c r="K19" s="246"/>
    </row>
    <row r="20" spans="2:11" outlineLevel="1" x14ac:dyDescent="0.3">
      <c r="B20" s="247"/>
      <c r="C20" s="248" t="s">
        <v>436</v>
      </c>
      <c r="D20" s="249">
        <f>IF(Affiliates!$K$323="Yes",Affiliates!D370,0)</f>
        <v>0</v>
      </c>
      <c r="E20" s="250"/>
      <c r="F20" s="249">
        <f>IF(Affiliates!$K$323="Yes",Affiliates!F370,0)</f>
        <v>0</v>
      </c>
      <c r="G20" s="250"/>
      <c r="H20" s="249">
        <f>IF(Affiliates!$K$323="Yes",Affiliates!H370,0)</f>
        <v>0</v>
      </c>
      <c r="I20" s="250"/>
      <c r="J20" s="249">
        <f>IF(Affiliates!$K$323="Yes",Affiliates!J370,0)</f>
        <v>0</v>
      </c>
      <c r="K20" s="251"/>
    </row>
    <row r="21" spans="2:11" outlineLevel="1" x14ac:dyDescent="0.3">
      <c r="B21" s="6"/>
      <c r="C21" s="240" t="s">
        <v>437</v>
      </c>
      <c r="D21" s="241">
        <f>IF(Affiliates!$K$323="Yes",Affiliates!D373,0)</f>
        <v>0</v>
      </c>
      <c r="E21" s="1"/>
      <c r="F21" s="241">
        <f>IF(Affiliates!$K$323="Yes",Affiliates!F373,0)</f>
        <v>0</v>
      </c>
      <c r="G21" s="1"/>
      <c r="H21" s="241">
        <f>IF(Affiliates!$K$323="Yes",Affiliates!H373,0)</f>
        <v>0</v>
      </c>
      <c r="I21" s="1"/>
      <c r="J21" s="241">
        <f>IF(Affiliates!$K$323="Yes",Affiliates!J373,0)</f>
        <v>0</v>
      </c>
      <c r="K21" s="4"/>
    </row>
    <row r="22" spans="2:11" outlineLevel="1" x14ac:dyDescent="0.3">
      <c r="B22" s="242"/>
      <c r="C22" s="243" t="str">
        <f>'BDO Prequal'!C169</f>
        <v>Affiliate 6 - Net Cashflow</v>
      </c>
      <c r="D22" s="244">
        <f>'BDO Prequal'!D169</f>
        <v>0</v>
      </c>
      <c r="E22" s="245"/>
      <c r="F22" s="244">
        <f>'BDO Prequal'!F169</f>
        <v>0</v>
      </c>
      <c r="G22" s="245"/>
      <c r="H22" s="244">
        <f>'BDO Prequal'!H169</f>
        <v>0</v>
      </c>
      <c r="I22" s="245"/>
      <c r="J22" s="244">
        <f>'BDO Prequal'!J169</f>
        <v>0</v>
      </c>
      <c r="K22" s="246"/>
    </row>
    <row r="23" spans="2:11" outlineLevel="1" x14ac:dyDescent="0.3">
      <c r="B23" s="247"/>
      <c r="C23" s="248" t="s">
        <v>438</v>
      </c>
      <c r="D23" s="249">
        <f>IF(Affiliates!$K$379="Yes",Affiliates!D426,0)</f>
        <v>0</v>
      </c>
      <c r="E23" s="250"/>
      <c r="F23" s="249">
        <f>IF(Affiliates!$K$379="Yes",Affiliates!F426,0)</f>
        <v>0</v>
      </c>
      <c r="G23" s="250"/>
      <c r="H23" s="249">
        <f>IF(Affiliates!$K$379="Yes",Affiliates!H426,0)</f>
        <v>0</v>
      </c>
      <c r="I23" s="250"/>
      <c r="J23" s="249">
        <f>IF(Affiliates!$K$379="Yes",Affiliates!J426,0)</f>
        <v>0</v>
      </c>
      <c r="K23" s="251"/>
    </row>
    <row r="24" spans="2:11" outlineLevel="1" x14ac:dyDescent="0.3">
      <c r="B24" s="6"/>
      <c r="C24" s="240" t="s">
        <v>439</v>
      </c>
      <c r="D24" s="241">
        <f>IF(Affiliates!$K$379="Yes",D429,0)</f>
        <v>0</v>
      </c>
      <c r="E24" s="1"/>
      <c r="F24" s="241">
        <f>IF(Affiliates!$K$379="Yes",Affiliates!F429,0)</f>
        <v>0</v>
      </c>
      <c r="G24" s="1"/>
      <c r="H24" s="241">
        <f>IF(Affiliates!$K$379="Yes",Affiliates!H429,0)</f>
        <v>0</v>
      </c>
      <c r="I24" s="1"/>
      <c r="J24" s="241">
        <f>IF(Affiliates!$K$379="Yes",Affiliates!J429,0)</f>
        <v>0</v>
      </c>
      <c r="K24" s="4"/>
    </row>
    <row r="25" spans="2:11" outlineLevel="1" x14ac:dyDescent="0.3">
      <c r="B25" s="242"/>
      <c r="C25" s="243" t="str">
        <f>'BDO Prequal'!C170</f>
        <v>Affiliate 7 - Net Cashflow</v>
      </c>
      <c r="D25" s="244">
        <f>'BDO Prequal'!D170</f>
        <v>0</v>
      </c>
      <c r="E25" s="245"/>
      <c r="F25" s="244">
        <f>'BDO Prequal'!F170</f>
        <v>0</v>
      </c>
      <c r="G25" s="245"/>
      <c r="H25" s="244">
        <f>'BDO Prequal'!H170</f>
        <v>0</v>
      </c>
      <c r="I25" s="245"/>
      <c r="J25" s="244">
        <f>'BDO Prequal'!J170</f>
        <v>0</v>
      </c>
      <c r="K25" s="246"/>
    </row>
    <row r="26" spans="2:11" outlineLevel="1" x14ac:dyDescent="0.3">
      <c r="B26" s="247"/>
      <c r="C26" s="248" t="s">
        <v>440</v>
      </c>
      <c r="D26" s="249">
        <f>IF(Affiliates!$K$435="Yes",Affiliates!D482,0)</f>
        <v>0</v>
      </c>
      <c r="E26" s="250"/>
      <c r="F26" s="249">
        <f>IF(Affiliates!$K$435="Yes",Affiliates!F482,0)</f>
        <v>0</v>
      </c>
      <c r="G26" s="250"/>
      <c r="H26" s="249">
        <f>IF(Affiliates!$K$435="Yes",Affiliates!H482,0)</f>
        <v>0</v>
      </c>
      <c r="I26" s="250"/>
      <c r="J26" s="249">
        <f>IF(Affiliates!$K$435="Yes",Affiliates!J482,0)</f>
        <v>0</v>
      </c>
      <c r="K26" s="251"/>
    </row>
    <row r="27" spans="2:11" outlineLevel="1" x14ac:dyDescent="0.3">
      <c r="B27" s="6"/>
      <c r="C27" s="240" t="s">
        <v>441</v>
      </c>
      <c r="D27" s="241">
        <f>IF(Affiliates!$K$435="Yes",D485,0)</f>
        <v>0</v>
      </c>
      <c r="E27" s="1"/>
      <c r="F27" s="241">
        <f>IF(Affiliates!$K$435="Yes",F485,0)</f>
        <v>0</v>
      </c>
      <c r="G27" s="1"/>
      <c r="H27" s="241">
        <f>IF(Affiliates!$K$435="Yes",H485,0)</f>
        <v>0</v>
      </c>
      <c r="I27" s="1"/>
      <c r="J27" s="241">
        <f>IF(Affiliates!$K$435="Yes",J485,0)</f>
        <v>0</v>
      </c>
      <c r="K27" s="4"/>
    </row>
    <row r="28" spans="2:11" outlineLevel="1" x14ac:dyDescent="0.3">
      <c r="B28" s="242"/>
      <c r="C28" s="243" t="str">
        <f>'BDO Prequal'!C171</f>
        <v>Affiliate 8 - Net Cashflow</v>
      </c>
      <c r="D28" s="244">
        <f>'BDO Prequal'!D171</f>
        <v>0</v>
      </c>
      <c r="E28" s="245"/>
      <c r="F28" s="244">
        <f>'BDO Prequal'!F171</f>
        <v>0</v>
      </c>
      <c r="G28" s="245"/>
      <c r="H28" s="244">
        <f>'BDO Prequal'!H171</f>
        <v>0</v>
      </c>
      <c r="I28" s="245"/>
      <c r="J28" s="244">
        <f>'BDO Prequal'!J171</f>
        <v>0</v>
      </c>
      <c r="K28" s="246"/>
    </row>
    <row r="29" spans="2:11" outlineLevel="1" x14ac:dyDescent="0.3">
      <c r="B29" s="247"/>
      <c r="C29" s="248" t="s">
        <v>442</v>
      </c>
      <c r="D29" s="249">
        <f>IF(Affiliates!$K$491="Yes",Affiliates!D538,0)</f>
        <v>0</v>
      </c>
      <c r="E29" s="250"/>
      <c r="F29" s="249">
        <f>IF(Affiliates!$K$491="Yes",Affiliates!F538,0)</f>
        <v>0</v>
      </c>
      <c r="G29" s="250"/>
      <c r="H29" s="249">
        <f>IF(Affiliates!$K$491="Yes",Affiliates!H538,0)</f>
        <v>0</v>
      </c>
      <c r="I29" s="250"/>
      <c r="J29" s="249">
        <f>IF(Affiliates!$K$491="Yes",Affiliates!J538,0)</f>
        <v>0</v>
      </c>
      <c r="K29" s="251"/>
    </row>
    <row r="30" spans="2:11" outlineLevel="1" x14ac:dyDescent="0.3">
      <c r="B30" s="6"/>
      <c r="C30" s="240" t="s">
        <v>443</v>
      </c>
      <c r="D30" s="241">
        <f>IF(Affiliates!$K$491="Yes",D541,0)</f>
        <v>0</v>
      </c>
      <c r="E30" s="1"/>
      <c r="F30" s="241">
        <f>IF(Affiliates!$K$491="Yes",F541,0)</f>
        <v>0</v>
      </c>
      <c r="G30" s="1"/>
      <c r="H30" s="241">
        <f>IF(Affiliates!$K$491="Yes",H541,0)</f>
        <v>0</v>
      </c>
      <c r="I30" s="1"/>
      <c r="J30" s="241">
        <f>IF(Affiliates!$K$491="Yes",J541,0)</f>
        <v>0</v>
      </c>
      <c r="K30" s="4"/>
    </row>
    <row r="31" spans="2:11" outlineLevel="1" x14ac:dyDescent="0.3">
      <c r="B31" s="242"/>
      <c r="C31" s="243" t="str">
        <f>'BDO Prequal'!C172</f>
        <v>Affiliate 9 - Net Cashflow</v>
      </c>
      <c r="D31" s="244">
        <f>'BDO Prequal'!D172</f>
        <v>0</v>
      </c>
      <c r="E31" s="245"/>
      <c r="F31" s="244">
        <f>'BDO Prequal'!F172</f>
        <v>0</v>
      </c>
      <c r="G31" s="245"/>
      <c r="H31" s="244">
        <f>'BDO Prequal'!H172</f>
        <v>0</v>
      </c>
      <c r="I31" s="245"/>
      <c r="J31" s="244">
        <f>'BDO Prequal'!J172</f>
        <v>0</v>
      </c>
      <c r="K31" s="246"/>
    </row>
    <row r="32" spans="2:11" outlineLevel="1" x14ac:dyDescent="0.3">
      <c r="B32" s="247"/>
      <c r="C32" s="248" t="s">
        <v>444</v>
      </c>
      <c r="D32" s="249">
        <f>IF($K$547="Yes",D594,0)</f>
        <v>0</v>
      </c>
      <c r="E32" s="250"/>
      <c r="F32" s="249">
        <f>IF($K$547="Yes",F594,0)</f>
        <v>0</v>
      </c>
      <c r="G32" s="250"/>
      <c r="H32" s="249">
        <f>IF($K$547="Yes",H594,0)</f>
        <v>0</v>
      </c>
      <c r="I32" s="250"/>
      <c r="J32" s="249">
        <f>IF($K$547="Yes",J594,0)</f>
        <v>0</v>
      </c>
      <c r="K32" s="251"/>
    </row>
    <row r="33" spans="2:11" outlineLevel="1" x14ac:dyDescent="0.3">
      <c r="B33" s="6"/>
      <c r="C33" s="240" t="s">
        <v>445</v>
      </c>
      <c r="D33" s="241">
        <f>IF($K$547="Yes",D597,0)</f>
        <v>0</v>
      </c>
      <c r="E33" s="1"/>
      <c r="F33" s="241">
        <f>IF($K$547="Yes",F597,0)</f>
        <v>0</v>
      </c>
      <c r="G33" s="1"/>
      <c r="H33" s="241">
        <f>IF($K$547="Yes",H597,0)</f>
        <v>0</v>
      </c>
      <c r="I33" s="1"/>
      <c r="J33" s="241">
        <f>IF($K$547="Yes",J597,0)</f>
        <v>0</v>
      </c>
      <c r="K33" s="4"/>
    </row>
    <row r="34" spans="2:11" outlineLevel="1" x14ac:dyDescent="0.3">
      <c r="B34" s="242"/>
      <c r="C34" s="243" t="str">
        <f>'BDO Prequal'!C173</f>
        <v>Affiliate 10 - Net Cashflow</v>
      </c>
      <c r="D34" s="244">
        <f>'BDO Prequal'!D173</f>
        <v>0</v>
      </c>
      <c r="E34" s="245"/>
      <c r="F34" s="244">
        <f>'BDO Prequal'!F173</f>
        <v>0</v>
      </c>
      <c r="G34" s="245"/>
      <c r="H34" s="244">
        <f>'BDO Prequal'!H173</f>
        <v>0</v>
      </c>
      <c r="I34" s="245"/>
      <c r="J34" s="244">
        <f>'BDO Prequal'!J173</f>
        <v>0</v>
      </c>
      <c r="K34" s="246"/>
    </row>
    <row r="35" spans="2:11" outlineLevel="1" x14ac:dyDescent="0.3">
      <c r="B35" s="247"/>
      <c r="C35" s="248" t="s">
        <v>446</v>
      </c>
      <c r="D35" s="249">
        <f>IF($K$603="Yes",D650,0)</f>
        <v>0</v>
      </c>
      <c r="E35" s="250"/>
      <c r="F35" s="249">
        <f>IF($K$603="Yes",F650,0)</f>
        <v>0</v>
      </c>
      <c r="G35" s="250"/>
      <c r="H35" s="249">
        <f>IF($K$603="Yes",H650,0)</f>
        <v>0</v>
      </c>
      <c r="I35" s="250"/>
      <c r="J35" s="249">
        <f>IF($K$603="Yes",J650,0)</f>
        <v>0</v>
      </c>
      <c r="K35" s="251"/>
    </row>
    <row r="36" spans="2:11" outlineLevel="1" x14ac:dyDescent="0.3">
      <c r="B36" s="6"/>
      <c r="C36" s="240" t="s">
        <v>447</v>
      </c>
      <c r="D36" s="241">
        <f>IF($K$603="Yes",D650,0)</f>
        <v>0</v>
      </c>
      <c r="E36" s="1"/>
      <c r="F36" s="241">
        <f>IF($K$603="Yes",F650,0)</f>
        <v>0</v>
      </c>
      <c r="G36" s="1"/>
      <c r="H36" s="241">
        <f>IF($K$603="Yes",H650,0)</f>
        <v>0</v>
      </c>
      <c r="I36" s="1"/>
      <c r="J36" s="241">
        <f>IF($K$603="Yes",J650,0)</f>
        <v>0</v>
      </c>
      <c r="K36" s="4"/>
    </row>
    <row r="37" spans="2:11" outlineLevel="1" x14ac:dyDescent="0.3">
      <c r="B37" s="242"/>
      <c r="C37" s="243" t="str">
        <f>'BDO Prequal'!C174</f>
        <v>Affiliate 11 - Net Cashflow</v>
      </c>
      <c r="D37" s="244">
        <f>'BDO Prequal'!D174</f>
        <v>0</v>
      </c>
      <c r="E37" s="245"/>
      <c r="F37" s="244">
        <f>'BDO Prequal'!F174</f>
        <v>0</v>
      </c>
      <c r="G37" s="245"/>
      <c r="H37" s="244">
        <f>'BDO Prequal'!H174</f>
        <v>0</v>
      </c>
      <c r="I37" s="245"/>
      <c r="J37" s="244">
        <f>'BDO Prequal'!J174</f>
        <v>0</v>
      </c>
      <c r="K37" s="246"/>
    </row>
    <row r="38" spans="2:11" outlineLevel="1" x14ac:dyDescent="0.3">
      <c r="B38" s="247"/>
      <c r="C38" s="248" t="s">
        <v>448</v>
      </c>
      <c r="D38" s="249">
        <f>IF($K$659="Yes",D706,0)</f>
        <v>0</v>
      </c>
      <c r="E38" s="250"/>
      <c r="F38" s="249">
        <f>IF($K$659="Yes",F706,0)</f>
        <v>0</v>
      </c>
      <c r="G38" s="250"/>
      <c r="H38" s="249">
        <f>IF($K$659="Yes",H706,0)</f>
        <v>0</v>
      </c>
      <c r="I38" s="250"/>
      <c r="J38" s="249">
        <f>IF($K$659="Yes",J706,0)</f>
        <v>0</v>
      </c>
      <c r="K38" s="251"/>
    </row>
    <row r="39" spans="2:11" outlineLevel="1" x14ac:dyDescent="0.3">
      <c r="B39" s="6"/>
      <c r="C39" s="240" t="s">
        <v>449</v>
      </c>
      <c r="D39" s="241">
        <f>IF($K$659="Yes",D709,0)</f>
        <v>0</v>
      </c>
      <c r="E39" s="1"/>
      <c r="F39" s="241">
        <f>IF($K$659="Yes",F709,0)</f>
        <v>0</v>
      </c>
      <c r="G39" s="1"/>
      <c r="H39" s="241">
        <f>IF($K$659="Yes",H709,0)</f>
        <v>0</v>
      </c>
      <c r="I39" s="1"/>
      <c r="J39" s="241">
        <f>IF($K$659="Yes",J709,0)</f>
        <v>0</v>
      </c>
      <c r="K39" s="4"/>
    </row>
    <row r="40" spans="2:11" ht="15" outlineLevel="1" thickBot="1" x14ac:dyDescent="0.35">
      <c r="B40" s="32"/>
      <c r="C40" s="252" t="str">
        <f>'BDO Prequal'!C175</f>
        <v>Affiliate 12 - Net Cashflow</v>
      </c>
      <c r="D40" s="253">
        <f>'BDO Prequal'!D175</f>
        <v>0</v>
      </c>
      <c r="E40" s="33"/>
      <c r="F40" s="253">
        <f>'BDO Prequal'!F175</f>
        <v>0</v>
      </c>
      <c r="G40" s="33"/>
      <c r="H40" s="253">
        <f>'BDO Prequal'!H175</f>
        <v>0</v>
      </c>
      <c r="I40" s="33"/>
      <c r="J40" s="253">
        <f>'BDO Prequal'!J175</f>
        <v>0</v>
      </c>
      <c r="K40" s="7"/>
    </row>
    <row r="41" spans="2:11" ht="16.2" thickBot="1" x14ac:dyDescent="0.35">
      <c r="B41" s="254"/>
      <c r="C41" s="254"/>
      <c r="D41" s="254"/>
      <c r="E41" s="254"/>
      <c r="F41" s="254"/>
      <c r="G41" s="254"/>
      <c r="H41" s="254"/>
      <c r="I41" s="254"/>
      <c r="J41" s="254"/>
      <c r="K41" s="254"/>
    </row>
    <row r="42" spans="2:11" ht="16.2" thickBot="1" x14ac:dyDescent="0.35">
      <c r="B42" s="227" t="s">
        <v>104</v>
      </c>
      <c r="C42" s="228"/>
      <c r="D42" s="228"/>
      <c r="E42" s="228"/>
      <c r="F42" s="228"/>
      <c r="G42" s="228"/>
      <c r="H42" s="228"/>
      <c r="I42" s="228"/>
      <c r="J42" s="228"/>
      <c r="K42" s="229"/>
    </row>
    <row r="43" spans="2:11" ht="16.2" thickBot="1" x14ac:dyDescent="0.35">
      <c r="B43" s="1287" t="s">
        <v>176</v>
      </c>
      <c r="C43" s="1288"/>
      <c r="D43" s="1288"/>
      <c r="E43" s="1288"/>
      <c r="F43" s="1288"/>
      <c r="G43" s="1288"/>
      <c r="H43" s="1288"/>
      <c r="I43" s="1289"/>
      <c r="J43" s="255" t="s">
        <v>129</v>
      </c>
      <c r="K43" s="296" t="s">
        <v>43</v>
      </c>
    </row>
    <row r="44" spans="2:11" hidden="1" outlineLevel="1" x14ac:dyDescent="0.3">
      <c r="B44" s="256"/>
      <c r="C44" s="257"/>
      <c r="D44" s="258"/>
      <c r="E44" s="258"/>
      <c r="F44" s="258"/>
      <c r="G44" s="258"/>
      <c r="H44" s="258"/>
      <c r="I44" s="258"/>
      <c r="J44" s="258"/>
      <c r="K44" s="259"/>
    </row>
    <row r="45" spans="2:11" hidden="1" outlineLevel="1" x14ac:dyDescent="0.3">
      <c r="B45" s="260" t="s">
        <v>132</v>
      </c>
      <c r="C45" s="29"/>
      <c r="D45" s="297">
        <f>'BDO Prequal'!$D$99</f>
        <v>45291</v>
      </c>
      <c r="E45" s="261"/>
      <c r="F45" s="297">
        <f>EOMONTH(D45,F46)</f>
        <v>45657</v>
      </c>
      <c r="G45" s="261"/>
      <c r="H45" s="297">
        <f>EOMONTH(F45,H46)</f>
        <v>46022</v>
      </c>
      <c r="I45" s="261"/>
      <c r="J45" s="297">
        <f>EOMONTH(H45,J46)</f>
        <v>46112</v>
      </c>
      <c r="K45" s="4"/>
    </row>
    <row r="46" spans="2:11" hidden="1" outlineLevel="1" x14ac:dyDescent="0.3">
      <c r="B46" s="260" t="s">
        <v>134</v>
      </c>
      <c r="C46" s="29"/>
      <c r="D46" s="298">
        <v>12</v>
      </c>
      <c r="E46" s="262"/>
      <c r="F46" s="298">
        <v>12</v>
      </c>
      <c r="G46" s="262"/>
      <c r="H46" s="298">
        <v>12</v>
      </c>
      <c r="I46" s="262"/>
      <c r="J46" s="298">
        <v>3</v>
      </c>
      <c r="K46" s="263"/>
    </row>
    <row r="47" spans="2:11" hidden="1" outlineLevel="1" x14ac:dyDescent="0.3">
      <c r="B47" s="260" t="s">
        <v>136</v>
      </c>
      <c r="C47" s="29"/>
      <c r="D47" s="299" t="s">
        <v>137</v>
      </c>
      <c r="E47" s="264"/>
      <c r="F47" s="299" t="s">
        <v>137</v>
      </c>
      <c r="G47" s="264"/>
      <c r="H47" s="299"/>
      <c r="I47" s="264"/>
      <c r="J47" s="299" t="s">
        <v>138</v>
      </c>
      <c r="K47" s="263"/>
    </row>
    <row r="48" spans="2:11" hidden="1" outlineLevel="1" x14ac:dyDescent="0.3">
      <c r="B48" s="260" t="s">
        <v>140</v>
      </c>
      <c r="C48" s="29"/>
      <c r="D48" s="299"/>
      <c r="E48" s="264"/>
      <c r="F48" s="299"/>
      <c r="G48" s="264"/>
      <c r="H48" s="299"/>
      <c r="I48" s="264"/>
      <c r="J48" s="299"/>
      <c r="K48" s="263"/>
    </row>
    <row r="49" spans="2:11" hidden="1" outlineLevel="1" x14ac:dyDescent="0.3">
      <c r="B49" s="265"/>
      <c r="C49" s="266"/>
      <c r="D49" s="267"/>
      <c r="E49" s="268"/>
      <c r="F49" s="267"/>
      <c r="G49" s="268"/>
      <c r="H49" s="267"/>
      <c r="I49" s="268"/>
      <c r="J49" s="269">
        <f>(J50/J46)*12</f>
        <v>0</v>
      </c>
      <c r="K49" s="270"/>
    </row>
    <row r="50" spans="2:11" hidden="1" outlineLevel="1" x14ac:dyDescent="0.3">
      <c r="B50" s="19"/>
      <c r="C50" s="240" t="s">
        <v>141</v>
      </c>
      <c r="D50" s="300">
        <v>0</v>
      </c>
      <c r="E50" s="271">
        <f>IF(D$50=0,0,D50/D$50)</f>
        <v>0</v>
      </c>
      <c r="F50" s="300">
        <v>0</v>
      </c>
      <c r="G50" s="271">
        <f>IF(F$50=0,0,F50/F$50)</f>
        <v>0</v>
      </c>
      <c r="H50" s="300">
        <v>0</v>
      </c>
      <c r="I50" s="271">
        <f>IF(H$50=0,0,H50/H$50)</f>
        <v>0</v>
      </c>
      <c r="J50" s="300">
        <v>0</v>
      </c>
      <c r="K50" s="272">
        <f>IF(J$50=0,0,J50/J$50)</f>
        <v>0</v>
      </c>
    </row>
    <row r="51" spans="2:11" hidden="1" outlineLevel="1" x14ac:dyDescent="0.3">
      <c r="B51" s="6"/>
      <c r="C51" s="240" t="s">
        <v>142</v>
      </c>
      <c r="D51" s="301">
        <v>0</v>
      </c>
      <c r="E51" s="271">
        <f>IF(D$50=0,0,D51/D$50)</f>
        <v>0</v>
      </c>
      <c r="F51" s="301">
        <v>0</v>
      </c>
      <c r="G51" s="271">
        <f>IF(F$50=0,0,F51/F$50)</f>
        <v>0</v>
      </c>
      <c r="H51" s="301">
        <v>0</v>
      </c>
      <c r="I51" s="271">
        <f>IF(H$50=0,0,H51/H$50)</f>
        <v>0</v>
      </c>
      <c r="J51" s="301">
        <v>0</v>
      </c>
      <c r="K51" s="272">
        <f>IF(J$50=0,0,J51/J$50)</f>
        <v>0</v>
      </c>
    </row>
    <row r="52" spans="2:11" hidden="1" outlineLevel="1" x14ac:dyDescent="0.3">
      <c r="B52" s="6"/>
      <c r="C52" s="240" t="s">
        <v>143</v>
      </c>
      <c r="D52" s="273">
        <f>D50-D51</f>
        <v>0</v>
      </c>
      <c r="E52" s="271">
        <f>IF(D$50=0,0,D52/D$50)</f>
        <v>0</v>
      </c>
      <c r="F52" s="273">
        <f>F50-F51</f>
        <v>0</v>
      </c>
      <c r="G52" s="271">
        <f>IF(F$50=0,0,F52/F$50)</f>
        <v>0</v>
      </c>
      <c r="H52" s="273">
        <f>H50-H51</f>
        <v>0</v>
      </c>
      <c r="I52" s="271">
        <f>IF(H$50=0,0,H52/H$50)</f>
        <v>0</v>
      </c>
      <c r="J52" s="273">
        <f>J50-J51</f>
        <v>0</v>
      </c>
      <c r="K52" s="272">
        <f>IF(J$50=0,0,J52/J$50)</f>
        <v>0</v>
      </c>
    </row>
    <row r="53" spans="2:11" hidden="1" outlineLevel="1" x14ac:dyDescent="0.3">
      <c r="B53" s="6"/>
      <c r="C53" s="274"/>
      <c r="D53" s="275"/>
      <c r="E53" s="276"/>
      <c r="F53" s="275"/>
      <c r="G53" s="276"/>
      <c r="H53" s="275"/>
      <c r="I53" s="276"/>
      <c r="J53" s="275"/>
      <c r="K53" s="277"/>
    </row>
    <row r="54" spans="2:11" hidden="1" outlineLevel="1" x14ac:dyDescent="0.3">
      <c r="B54" s="6"/>
      <c r="C54" s="240" t="s">
        <v>144</v>
      </c>
      <c r="D54" s="300">
        <v>0</v>
      </c>
      <c r="E54" s="271">
        <f t="shared" ref="E54:E67" si="0">IF(D$50=0,0,D54/D$50)</f>
        <v>0</v>
      </c>
      <c r="F54" s="300">
        <v>0</v>
      </c>
      <c r="G54" s="271">
        <f t="shared" ref="G54:G67" si="1">IF(F$50=0,0,F54/F$50)</f>
        <v>0</v>
      </c>
      <c r="H54" s="300">
        <v>0</v>
      </c>
      <c r="I54" s="271">
        <f t="shared" ref="I54:I67" si="2">IF(H$50=0,0,H54/H$50)</f>
        <v>0</v>
      </c>
      <c r="J54" s="300">
        <v>0</v>
      </c>
      <c r="K54" s="272">
        <f t="shared" ref="K54:K67" si="3">IF(J$50=0,0,J54/J$50)</f>
        <v>0</v>
      </c>
    </row>
    <row r="55" spans="2:11" hidden="1" outlineLevel="1" x14ac:dyDescent="0.3">
      <c r="B55" s="6"/>
      <c r="C55" s="240" t="s">
        <v>145</v>
      </c>
      <c r="D55" s="301">
        <v>0</v>
      </c>
      <c r="E55" s="271">
        <f t="shared" si="0"/>
        <v>0</v>
      </c>
      <c r="F55" s="301">
        <v>0</v>
      </c>
      <c r="G55" s="271">
        <f t="shared" si="1"/>
        <v>0</v>
      </c>
      <c r="H55" s="301">
        <v>0</v>
      </c>
      <c r="I55" s="271">
        <f t="shared" si="2"/>
        <v>0</v>
      </c>
      <c r="J55" s="301">
        <v>0</v>
      </c>
      <c r="K55" s="272">
        <f t="shared" si="3"/>
        <v>0</v>
      </c>
    </row>
    <row r="56" spans="2:11" hidden="1" outlineLevel="1" x14ac:dyDescent="0.3">
      <c r="B56" s="6"/>
      <c r="C56" s="240" t="s">
        <v>146</v>
      </c>
      <c r="D56" s="301">
        <v>0</v>
      </c>
      <c r="E56" s="271">
        <f t="shared" si="0"/>
        <v>0</v>
      </c>
      <c r="F56" s="301">
        <v>0</v>
      </c>
      <c r="G56" s="271">
        <f t="shared" si="1"/>
        <v>0</v>
      </c>
      <c r="H56" s="301">
        <v>0</v>
      </c>
      <c r="I56" s="271">
        <f t="shared" si="2"/>
        <v>0</v>
      </c>
      <c r="J56" s="301">
        <v>0</v>
      </c>
      <c r="K56" s="272">
        <f t="shared" si="3"/>
        <v>0</v>
      </c>
    </row>
    <row r="57" spans="2:11" hidden="1" outlineLevel="1" x14ac:dyDescent="0.3">
      <c r="B57" s="6"/>
      <c r="C57" s="240" t="s">
        <v>147</v>
      </c>
      <c r="D57" s="301">
        <v>0</v>
      </c>
      <c r="E57" s="271">
        <f t="shared" si="0"/>
        <v>0</v>
      </c>
      <c r="F57" s="301">
        <v>0</v>
      </c>
      <c r="G57" s="271">
        <f t="shared" si="1"/>
        <v>0</v>
      </c>
      <c r="H57" s="301">
        <v>0</v>
      </c>
      <c r="I57" s="271">
        <f t="shared" si="2"/>
        <v>0</v>
      </c>
      <c r="J57" s="301">
        <v>0</v>
      </c>
      <c r="K57" s="272">
        <f t="shared" si="3"/>
        <v>0</v>
      </c>
    </row>
    <row r="58" spans="2:11" hidden="1" outlineLevel="1" x14ac:dyDescent="0.3">
      <c r="B58" s="6"/>
      <c r="C58" s="240" t="s">
        <v>148</v>
      </c>
      <c r="D58" s="301">
        <v>0</v>
      </c>
      <c r="E58" s="271">
        <f t="shared" si="0"/>
        <v>0</v>
      </c>
      <c r="F58" s="301">
        <v>0</v>
      </c>
      <c r="G58" s="271">
        <f t="shared" si="1"/>
        <v>0</v>
      </c>
      <c r="H58" s="301">
        <v>0</v>
      </c>
      <c r="I58" s="271">
        <f t="shared" si="2"/>
        <v>0</v>
      </c>
      <c r="J58" s="301">
        <v>0</v>
      </c>
      <c r="K58" s="272">
        <f t="shared" si="3"/>
        <v>0</v>
      </c>
    </row>
    <row r="59" spans="2:11" hidden="1" outlineLevel="1" x14ac:dyDescent="0.3">
      <c r="B59" s="6"/>
      <c r="C59" s="240" t="s">
        <v>149</v>
      </c>
      <c r="D59" s="301">
        <v>0</v>
      </c>
      <c r="E59" s="271">
        <f t="shared" si="0"/>
        <v>0</v>
      </c>
      <c r="F59" s="301">
        <v>0</v>
      </c>
      <c r="G59" s="271">
        <f t="shared" si="1"/>
        <v>0</v>
      </c>
      <c r="H59" s="301">
        <v>0</v>
      </c>
      <c r="I59" s="271">
        <f t="shared" si="2"/>
        <v>0</v>
      </c>
      <c r="J59" s="301">
        <v>0</v>
      </c>
      <c r="K59" s="272">
        <f t="shared" si="3"/>
        <v>0</v>
      </c>
    </row>
    <row r="60" spans="2:11" hidden="1" outlineLevel="1" x14ac:dyDescent="0.3">
      <c r="B60" s="6"/>
      <c r="C60" s="240" t="s">
        <v>150</v>
      </c>
      <c r="D60" s="301">
        <v>0</v>
      </c>
      <c r="E60" s="271">
        <f t="shared" si="0"/>
        <v>0</v>
      </c>
      <c r="F60" s="301">
        <v>0</v>
      </c>
      <c r="G60" s="271">
        <f t="shared" si="1"/>
        <v>0</v>
      </c>
      <c r="H60" s="301">
        <v>0</v>
      </c>
      <c r="I60" s="271">
        <f t="shared" si="2"/>
        <v>0</v>
      </c>
      <c r="J60" s="301">
        <v>0</v>
      </c>
      <c r="K60" s="272">
        <f t="shared" si="3"/>
        <v>0</v>
      </c>
    </row>
    <row r="61" spans="2:11" hidden="1" outlineLevel="1" x14ac:dyDescent="0.3">
      <c r="B61" s="6"/>
      <c r="C61" s="240" t="s">
        <v>151</v>
      </c>
      <c r="D61" s="301">
        <v>0</v>
      </c>
      <c r="E61" s="271">
        <f t="shared" si="0"/>
        <v>0</v>
      </c>
      <c r="F61" s="301">
        <v>0</v>
      </c>
      <c r="G61" s="271">
        <f t="shared" si="1"/>
        <v>0</v>
      </c>
      <c r="H61" s="301">
        <v>0</v>
      </c>
      <c r="I61" s="271">
        <f t="shared" si="2"/>
        <v>0</v>
      </c>
      <c r="J61" s="301">
        <v>0</v>
      </c>
      <c r="K61" s="272">
        <f t="shared" si="3"/>
        <v>0</v>
      </c>
    </row>
    <row r="62" spans="2:11" hidden="1" outlineLevel="1" x14ac:dyDescent="0.3">
      <c r="B62" s="6"/>
      <c r="C62" s="240" t="s">
        <v>152</v>
      </c>
      <c r="D62" s="301">
        <v>0</v>
      </c>
      <c r="E62" s="271">
        <f t="shared" si="0"/>
        <v>0</v>
      </c>
      <c r="F62" s="301">
        <v>0</v>
      </c>
      <c r="G62" s="271">
        <f t="shared" si="1"/>
        <v>0</v>
      </c>
      <c r="H62" s="301">
        <v>0</v>
      </c>
      <c r="I62" s="271">
        <f t="shared" si="2"/>
        <v>0</v>
      </c>
      <c r="J62" s="301">
        <v>0</v>
      </c>
      <c r="K62" s="272">
        <f t="shared" si="3"/>
        <v>0</v>
      </c>
    </row>
    <row r="63" spans="2:11" hidden="1" outlineLevel="1" x14ac:dyDescent="0.3">
      <c r="B63" s="6"/>
      <c r="C63" s="303" t="s">
        <v>153</v>
      </c>
      <c r="D63" s="301">
        <v>0</v>
      </c>
      <c r="E63" s="271">
        <f t="shared" si="0"/>
        <v>0</v>
      </c>
      <c r="F63" s="301">
        <v>0</v>
      </c>
      <c r="G63" s="271">
        <f t="shared" si="1"/>
        <v>0</v>
      </c>
      <c r="H63" s="301">
        <v>0</v>
      </c>
      <c r="I63" s="271">
        <f t="shared" si="2"/>
        <v>0</v>
      </c>
      <c r="J63" s="301">
        <v>0</v>
      </c>
      <c r="K63" s="272">
        <f t="shared" si="3"/>
        <v>0</v>
      </c>
    </row>
    <row r="64" spans="2:11" hidden="1" outlineLevel="1" x14ac:dyDescent="0.3">
      <c r="B64" s="6"/>
      <c r="C64" s="303" t="s">
        <v>153</v>
      </c>
      <c r="D64" s="301">
        <v>0</v>
      </c>
      <c r="E64" s="271">
        <f t="shared" si="0"/>
        <v>0</v>
      </c>
      <c r="F64" s="301">
        <v>0</v>
      </c>
      <c r="G64" s="271">
        <f t="shared" si="1"/>
        <v>0</v>
      </c>
      <c r="H64" s="301">
        <v>0</v>
      </c>
      <c r="I64" s="271">
        <f t="shared" si="2"/>
        <v>0</v>
      </c>
      <c r="J64" s="301">
        <v>0</v>
      </c>
      <c r="K64" s="272">
        <f t="shared" si="3"/>
        <v>0</v>
      </c>
    </row>
    <row r="65" spans="2:11" hidden="1" outlineLevel="1" x14ac:dyDescent="0.3">
      <c r="B65" s="19"/>
      <c r="C65" s="303" t="s">
        <v>153</v>
      </c>
      <c r="D65" s="301">
        <v>0</v>
      </c>
      <c r="E65" s="271">
        <f t="shared" si="0"/>
        <v>0</v>
      </c>
      <c r="F65" s="301">
        <v>0</v>
      </c>
      <c r="G65" s="271">
        <f t="shared" si="1"/>
        <v>0</v>
      </c>
      <c r="H65" s="301">
        <v>0</v>
      </c>
      <c r="I65" s="271">
        <f t="shared" si="2"/>
        <v>0</v>
      </c>
      <c r="J65" s="301">
        <v>0</v>
      </c>
      <c r="K65" s="272">
        <f t="shared" si="3"/>
        <v>0</v>
      </c>
    </row>
    <row r="66" spans="2:11" hidden="1" outlineLevel="1" x14ac:dyDescent="0.3">
      <c r="B66" s="6"/>
      <c r="C66" s="303" t="s">
        <v>153</v>
      </c>
      <c r="D66" s="302">
        <v>0</v>
      </c>
      <c r="E66" s="271">
        <f t="shared" si="0"/>
        <v>0</v>
      </c>
      <c r="F66" s="302">
        <v>0</v>
      </c>
      <c r="G66" s="271">
        <f t="shared" si="1"/>
        <v>0</v>
      </c>
      <c r="H66" s="302">
        <v>0</v>
      </c>
      <c r="I66" s="271">
        <f t="shared" si="2"/>
        <v>0</v>
      </c>
      <c r="J66" s="302">
        <v>0</v>
      </c>
      <c r="K66" s="272">
        <f t="shared" si="3"/>
        <v>0</v>
      </c>
    </row>
    <row r="67" spans="2:11" hidden="1" outlineLevel="1" x14ac:dyDescent="0.3">
      <c r="B67" s="6"/>
      <c r="C67" s="274" t="s">
        <v>154</v>
      </c>
      <c r="D67" s="273">
        <f>SUM(D54:D66)</f>
        <v>0</v>
      </c>
      <c r="E67" s="271">
        <f t="shared" si="0"/>
        <v>0</v>
      </c>
      <c r="F67" s="273">
        <f>SUM(F54:F66)</f>
        <v>0</v>
      </c>
      <c r="G67" s="271">
        <f t="shared" si="1"/>
        <v>0</v>
      </c>
      <c r="H67" s="273">
        <f>SUM(H54:H66)</f>
        <v>0</v>
      </c>
      <c r="I67" s="271">
        <f t="shared" si="2"/>
        <v>0</v>
      </c>
      <c r="J67" s="273">
        <f>SUM(J54:J66)</f>
        <v>0</v>
      </c>
      <c r="K67" s="272">
        <f t="shared" si="3"/>
        <v>0</v>
      </c>
    </row>
    <row r="68" spans="2:11" hidden="1" outlineLevel="1" x14ac:dyDescent="0.3">
      <c r="B68" s="6"/>
      <c r="C68" s="274"/>
      <c r="D68" s="275"/>
      <c r="E68" s="276"/>
      <c r="F68" s="275"/>
      <c r="G68" s="276"/>
      <c r="H68" s="275"/>
      <c r="I68" s="276"/>
      <c r="J68" s="275"/>
      <c r="K68" s="277"/>
    </row>
    <row r="69" spans="2:11" hidden="1" outlineLevel="1" x14ac:dyDescent="0.3">
      <c r="B69" s="6"/>
      <c r="C69" s="274" t="s">
        <v>155</v>
      </c>
      <c r="D69" s="273">
        <f>D52-D67</f>
        <v>0</v>
      </c>
      <c r="E69" s="271">
        <f>IF(D$50=0,0,D69/D$50)</f>
        <v>0</v>
      </c>
      <c r="F69" s="273">
        <f>F52-F67</f>
        <v>0</v>
      </c>
      <c r="G69" s="271">
        <f>IF(F$50=0,0,F69/F$50)</f>
        <v>0</v>
      </c>
      <c r="H69" s="273">
        <f>H52-H67</f>
        <v>0</v>
      </c>
      <c r="I69" s="271">
        <f>IF(H$50=0,0,H69/H$50)</f>
        <v>0</v>
      </c>
      <c r="J69" s="273">
        <f>J52-J67</f>
        <v>0</v>
      </c>
      <c r="K69" s="272">
        <f>IF(J$50=0,0,J69/J$50)</f>
        <v>0</v>
      </c>
    </row>
    <row r="70" spans="2:11" hidden="1" outlineLevel="1" x14ac:dyDescent="0.3">
      <c r="B70" s="6"/>
      <c r="C70" s="274"/>
      <c r="D70" s="275"/>
      <c r="E70" s="276"/>
      <c r="F70" s="275"/>
      <c r="G70" s="276"/>
      <c r="H70" s="275"/>
      <c r="I70" s="276"/>
      <c r="J70" s="275"/>
      <c r="K70" s="277"/>
    </row>
    <row r="71" spans="2:11" hidden="1" outlineLevel="1" x14ac:dyDescent="0.3">
      <c r="B71" s="6"/>
      <c r="C71" s="240" t="s">
        <v>450</v>
      </c>
      <c r="D71" s="300">
        <v>0</v>
      </c>
      <c r="E71" s="271">
        <f>IF(D$50=0,0,D71/D$50)</f>
        <v>0</v>
      </c>
      <c r="F71" s="300">
        <v>0</v>
      </c>
      <c r="G71" s="271">
        <f>IF(F$50=0,0,F71/F$50)</f>
        <v>0</v>
      </c>
      <c r="H71" s="300">
        <v>0</v>
      </c>
      <c r="I71" s="271">
        <f>IF(H$50=0,0,H71/H$50)</f>
        <v>0</v>
      </c>
      <c r="J71" s="300">
        <v>0</v>
      </c>
      <c r="K71" s="272">
        <f>IF(J$50=0,0,J71/J$50)</f>
        <v>0</v>
      </c>
    </row>
    <row r="72" spans="2:11" hidden="1" outlineLevel="1" x14ac:dyDescent="0.3">
      <c r="B72" s="6"/>
      <c r="C72" s="240" t="s">
        <v>450</v>
      </c>
      <c r="D72" s="301">
        <v>0</v>
      </c>
      <c r="E72" s="271">
        <f>IF(D$50=0,0,D72/D$50)</f>
        <v>0</v>
      </c>
      <c r="F72" s="301">
        <v>0</v>
      </c>
      <c r="G72" s="271">
        <f>IF(F$50=0,0,F72/F$50)</f>
        <v>0</v>
      </c>
      <c r="H72" s="301">
        <v>0</v>
      </c>
      <c r="I72" s="271">
        <f>IF(H$50=0,0,H72/H$50)</f>
        <v>0</v>
      </c>
      <c r="J72" s="301">
        <v>0</v>
      </c>
      <c r="K72" s="272">
        <f>IF(J$50=0,0,J72/J$50)</f>
        <v>0</v>
      </c>
    </row>
    <row r="73" spans="2:11" hidden="1" outlineLevel="1" x14ac:dyDescent="0.3">
      <c r="B73" s="6"/>
      <c r="C73" s="274" t="s">
        <v>157</v>
      </c>
      <c r="D73" s="273">
        <f>SUM(D71:D72)</f>
        <v>0</v>
      </c>
      <c r="E73" s="271">
        <f>IF(D$50=0,0,D73/D$50)</f>
        <v>0</v>
      </c>
      <c r="F73" s="273">
        <f>SUM(F71:F72)</f>
        <v>0</v>
      </c>
      <c r="G73" s="271">
        <f>IF(F$50=0,0,F73/F$50)</f>
        <v>0</v>
      </c>
      <c r="H73" s="273">
        <f>SUM(H71:H72)</f>
        <v>0</v>
      </c>
      <c r="I73" s="271">
        <f>IF(H$50=0,0,H73/H$50)</f>
        <v>0</v>
      </c>
      <c r="J73" s="273">
        <f>SUM(J71:J72)</f>
        <v>0</v>
      </c>
      <c r="K73" s="272">
        <f>IF(J$50=0,0,J73/J$50)</f>
        <v>0</v>
      </c>
    </row>
    <row r="74" spans="2:11" hidden="1" outlineLevel="1" x14ac:dyDescent="0.3">
      <c r="B74" s="6"/>
      <c r="C74" s="274"/>
      <c r="D74" s="275"/>
      <c r="E74" s="276"/>
      <c r="F74" s="275"/>
      <c r="G74" s="276"/>
      <c r="H74" s="275"/>
      <c r="I74" s="276"/>
      <c r="J74" s="275"/>
      <c r="K74" s="278"/>
    </row>
    <row r="75" spans="2:11" hidden="1" outlineLevel="1" x14ac:dyDescent="0.3">
      <c r="B75" s="6"/>
      <c r="C75" s="274" t="s">
        <v>158</v>
      </c>
      <c r="D75" s="273">
        <f>D52-D67+D73</f>
        <v>0</v>
      </c>
      <c r="E75" s="271">
        <f>IF(D$50=0,0,D75/D$50)</f>
        <v>0</v>
      </c>
      <c r="F75" s="273">
        <f>F52-F67+F73</f>
        <v>0</v>
      </c>
      <c r="G75" s="271">
        <f>IF(F$50=0,0,F75/F$50)</f>
        <v>0</v>
      </c>
      <c r="H75" s="273">
        <f>H52-H67+H73</f>
        <v>0</v>
      </c>
      <c r="I75" s="271">
        <f>IF(H$50=0,0,H75/H$50)</f>
        <v>0</v>
      </c>
      <c r="J75" s="273">
        <f>J52-J67+J73</f>
        <v>0</v>
      </c>
      <c r="K75" s="272">
        <f>IF(J$50=0,0,J75/J$50)</f>
        <v>0</v>
      </c>
    </row>
    <row r="76" spans="2:11" hidden="1" outlineLevel="1" x14ac:dyDescent="0.3">
      <c r="B76" s="6"/>
      <c r="C76" s="274" t="s">
        <v>159</v>
      </c>
      <c r="D76" s="273">
        <v>0</v>
      </c>
      <c r="E76" s="271">
        <f>IF(D$50=0,0,D76/D$50)</f>
        <v>0</v>
      </c>
      <c r="F76" s="273">
        <v>0</v>
      </c>
      <c r="G76" s="271">
        <f>IF(F$50=0,0,F76/F$50)</f>
        <v>0</v>
      </c>
      <c r="H76" s="273">
        <v>0</v>
      </c>
      <c r="I76" s="271">
        <f>IF(H$50=0,0,H76/H$50)</f>
        <v>0</v>
      </c>
      <c r="J76" s="273">
        <v>0</v>
      </c>
      <c r="K76" s="272">
        <f>IF(J$50=0,0,J76/J$50)</f>
        <v>0</v>
      </c>
    </row>
    <row r="77" spans="2:11" hidden="1" outlineLevel="1" x14ac:dyDescent="0.3">
      <c r="B77" s="6"/>
      <c r="C77" s="279"/>
      <c r="D77" s="275"/>
      <c r="E77" s="276"/>
      <c r="F77" s="275"/>
      <c r="G77" s="276"/>
      <c r="H77" s="275"/>
      <c r="I77" s="276"/>
      <c r="J77" s="275"/>
      <c r="K77" s="280"/>
    </row>
    <row r="78" spans="2:11" hidden="1" outlineLevel="1" x14ac:dyDescent="0.3">
      <c r="B78" s="6"/>
      <c r="C78" s="274" t="s">
        <v>160</v>
      </c>
      <c r="D78" s="273">
        <f>D75-D76</f>
        <v>0</v>
      </c>
      <c r="E78" s="271">
        <f>IF(D$50=0,0,D78/D$50)</f>
        <v>0</v>
      </c>
      <c r="F78" s="273">
        <f>F75-F76</f>
        <v>0</v>
      </c>
      <c r="G78" s="271">
        <f>IF(F$50=0,0,F78/F$50)</f>
        <v>0</v>
      </c>
      <c r="H78" s="273">
        <f>H75-H76</f>
        <v>0</v>
      </c>
      <c r="I78" s="271">
        <f>IF(H$50=0,0,H78/H$50)</f>
        <v>0</v>
      </c>
      <c r="J78" s="273">
        <f>J75-J76</f>
        <v>0</v>
      </c>
      <c r="K78" s="272">
        <f>IF(J$50=0,0,J78/J$50)</f>
        <v>0</v>
      </c>
    </row>
    <row r="79" spans="2:11" hidden="1" outlineLevel="1" x14ac:dyDescent="0.3">
      <c r="B79" s="6"/>
      <c r="C79" s="240"/>
      <c r="D79" s="281"/>
      <c r="E79" s="282"/>
      <c r="F79" s="281"/>
      <c r="G79" s="282"/>
      <c r="H79" s="281"/>
      <c r="I79" s="282"/>
      <c r="J79" s="281"/>
      <c r="K79" s="283"/>
    </row>
    <row r="80" spans="2:11" hidden="1" outlineLevel="1" x14ac:dyDescent="0.3">
      <c r="B80" s="6"/>
      <c r="C80" s="284" t="s">
        <v>396</v>
      </c>
      <c r="D80" s="1"/>
      <c r="E80" s="1"/>
      <c r="F80" s="1"/>
      <c r="G80" s="1"/>
      <c r="H80" s="1"/>
      <c r="I80" s="1"/>
      <c r="J80" s="1"/>
      <c r="K80" s="4"/>
    </row>
    <row r="81" spans="2:11" hidden="1" outlineLevel="1" x14ac:dyDescent="0.3">
      <c r="B81" s="6"/>
      <c r="C81" s="285" t="s">
        <v>385</v>
      </c>
      <c r="D81" s="300">
        <f>D54</f>
        <v>0</v>
      </c>
      <c r="E81" s="1"/>
      <c r="F81" s="300">
        <f>F54</f>
        <v>0</v>
      </c>
      <c r="G81" s="1"/>
      <c r="H81" s="300">
        <f>H54</f>
        <v>0</v>
      </c>
      <c r="I81" s="1"/>
      <c r="J81" s="300">
        <f>J54</f>
        <v>0</v>
      </c>
      <c r="K81" s="4"/>
    </row>
    <row r="82" spans="2:11" hidden="1" outlineLevel="1" x14ac:dyDescent="0.3">
      <c r="B82" s="6"/>
      <c r="C82" s="286" t="s">
        <v>386</v>
      </c>
      <c r="D82" s="301">
        <f>D61</f>
        <v>0</v>
      </c>
      <c r="E82" s="1"/>
      <c r="F82" s="301">
        <f>F61</f>
        <v>0</v>
      </c>
      <c r="G82" s="1"/>
      <c r="H82" s="301">
        <f>H61</f>
        <v>0</v>
      </c>
      <c r="I82" s="1"/>
      <c r="J82" s="301">
        <f>J61</f>
        <v>0</v>
      </c>
      <c r="K82" s="4"/>
    </row>
    <row r="83" spans="2:11" hidden="1" outlineLevel="1" x14ac:dyDescent="0.3">
      <c r="B83" s="6"/>
      <c r="C83" s="286" t="s">
        <v>387</v>
      </c>
      <c r="D83" s="301">
        <f>D60</f>
        <v>0</v>
      </c>
      <c r="E83" s="1"/>
      <c r="F83" s="301">
        <f>F60</f>
        <v>0</v>
      </c>
      <c r="G83" s="1"/>
      <c r="H83" s="301">
        <f>H60</f>
        <v>0</v>
      </c>
      <c r="I83" s="1"/>
      <c r="J83" s="301">
        <f>J60</f>
        <v>0</v>
      </c>
      <c r="K83" s="4"/>
    </row>
    <row r="84" spans="2:11" hidden="1" outlineLevel="1" x14ac:dyDescent="0.3">
      <c r="B84" s="6"/>
      <c r="C84" s="286" t="s">
        <v>397</v>
      </c>
      <c r="D84" s="301">
        <v>0</v>
      </c>
      <c r="E84" s="1"/>
      <c r="F84" s="301">
        <v>0</v>
      </c>
      <c r="G84" s="1"/>
      <c r="H84" s="301">
        <v>0</v>
      </c>
      <c r="I84" s="1"/>
      <c r="J84" s="301">
        <v>0</v>
      </c>
      <c r="K84" s="4"/>
    </row>
    <row r="85" spans="2:11" hidden="1" outlineLevel="1" x14ac:dyDescent="0.3">
      <c r="B85" s="6"/>
      <c r="C85" s="304" t="s">
        <v>153</v>
      </c>
      <c r="D85" s="301">
        <v>0</v>
      </c>
      <c r="E85" s="1"/>
      <c r="F85" s="301">
        <v>0</v>
      </c>
      <c r="G85" s="1"/>
      <c r="H85" s="301">
        <v>0</v>
      </c>
      <c r="I85" s="1"/>
      <c r="J85" s="301">
        <v>0</v>
      </c>
      <c r="K85" s="4"/>
    </row>
    <row r="86" spans="2:11" hidden="1" outlineLevel="1" x14ac:dyDescent="0.3">
      <c r="B86" s="6"/>
      <c r="C86" s="304" t="s">
        <v>153</v>
      </c>
      <c r="D86" s="301">
        <v>0</v>
      </c>
      <c r="E86" s="1"/>
      <c r="F86" s="301">
        <v>0</v>
      </c>
      <c r="G86" s="1"/>
      <c r="H86" s="301">
        <v>0</v>
      </c>
      <c r="I86" s="1"/>
      <c r="J86" s="301">
        <v>0</v>
      </c>
      <c r="K86" s="4"/>
    </row>
    <row r="87" spans="2:11" hidden="1" outlineLevel="1" x14ac:dyDescent="0.3">
      <c r="B87" s="6"/>
      <c r="C87" s="286" t="s">
        <v>388</v>
      </c>
      <c r="D87" s="301">
        <v>0</v>
      </c>
      <c r="E87" s="1"/>
      <c r="F87" s="301">
        <v>0</v>
      </c>
      <c r="G87" s="1"/>
      <c r="H87" s="301">
        <v>0</v>
      </c>
      <c r="I87" s="1"/>
      <c r="J87" s="301">
        <v>0</v>
      </c>
      <c r="K87" s="4"/>
    </row>
    <row r="88" spans="2:11" hidden="1" outlineLevel="1" x14ac:dyDescent="0.3">
      <c r="B88" s="6"/>
      <c r="C88" s="286" t="s">
        <v>389</v>
      </c>
      <c r="D88" s="302">
        <v>0</v>
      </c>
      <c r="E88" s="1"/>
      <c r="F88" s="302">
        <v>0</v>
      </c>
      <c r="G88" s="1"/>
      <c r="H88" s="302">
        <v>0</v>
      </c>
      <c r="I88" s="1"/>
      <c r="J88" s="302">
        <v>0</v>
      </c>
      <c r="K88" s="4"/>
    </row>
    <row r="89" spans="2:11" hidden="1" outlineLevel="1" x14ac:dyDescent="0.3">
      <c r="B89" s="6"/>
      <c r="C89" s="286"/>
      <c r="D89" s="1"/>
      <c r="E89" s="1"/>
      <c r="F89" s="1"/>
      <c r="G89" s="1"/>
      <c r="H89" s="1"/>
      <c r="I89" s="1"/>
      <c r="J89" s="1"/>
      <c r="K89" s="4"/>
    </row>
    <row r="90" spans="2:11" hidden="1" outlineLevel="1" x14ac:dyDescent="0.3">
      <c r="B90" s="6"/>
      <c r="C90" s="286" t="s">
        <v>162</v>
      </c>
      <c r="D90" s="287">
        <f>D78+SUM(D81:D88)</f>
        <v>0</v>
      </c>
      <c r="E90" s="288"/>
      <c r="F90" s="287">
        <f>F78+SUM(F81:F88)</f>
        <v>0</v>
      </c>
      <c r="G90" s="288"/>
      <c r="H90" s="287">
        <f>H78+SUM(H81:H88)</f>
        <v>0</v>
      </c>
      <c r="I90" s="288"/>
      <c r="J90" s="287">
        <f>J78+SUM(J81:J88)</f>
        <v>0</v>
      </c>
      <c r="K90" s="4"/>
    </row>
    <row r="91" spans="2:11" hidden="1" outlineLevel="1" x14ac:dyDescent="0.3">
      <c r="B91" s="6"/>
      <c r="C91" s="286"/>
      <c r="D91" s="1"/>
      <c r="E91" s="1"/>
      <c r="F91" s="1"/>
      <c r="G91" s="1"/>
      <c r="H91" s="1"/>
      <c r="I91" s="1"/>
      <c r="J91" s="1"/>
      <c r="K91" s="4"/>
    </row>
    <row r="92" spans="2:11" hidden="1" outlineLevel="1" x14ac:dyDescent="0.3">
      <c r="B92" s="6"/>
      <c r="C92" s="240" t="s">
        <v>177</v>
      </c>
      <c r="D92" s="305">
        <v>0</v>
      </c>
      <c r="E92" s="1"/>
      <c r="F92" s="305">
        <v>0</v>
      </c>
      <c r="G92" s="1"/>
      <c r="H92" s="305">
        <v>0</v>
      </c>
      <c r="I92" s="1"/>
      <c r="J92" s="305">
        <v>0</v>
      </c>
      <c r="K92" s="4"/>
    </row>
    <row r="93" spans="2:11" hidden="1" outlineLevel="1" x14ac:dyDescent="0.3">
      <c r="B93" s="6"/>
      <c r="C93" s="240" t="s">
        <v>163</v>
      </c>
      <c r="D93" s="289">
        <f>D92*D46</f>
        <v>0</v>
      </c>
      <c r="E93" s="1"/>
      <c r="F93" s="289">
        <f>F92*F46</f>
        <v>0</v>
      </c>
      <c r="G93" s="1"/>
      <c r="H93" s="289">
        <f>H92*H46</f>
        <v>0</v>
      </c>
      <c r="I93" s="1"/>
      <c r="J93" s="289">
        <f>J92*J46</f>
        <v>0</v>
      </c>
      <c r="K93" s="4"/>
    </row>
    <row r="94" spans="2:11" hidden="1" outlineLevel="1" x14ac:dyDescent="0.3">
      <c r="B94" s="6"/>
      <c r="C94" s="240"/>
      <c r="D94" s="1"/>
      <c r="E94" s="1"/>
      <c r="F94" s="1"/>
      <c r="G94" s="1"/>
      <c r="H94" s="1"/>
      <c r="I94" s="1"/>
      <c r="J94" s="1"/>
      <c r="K94" s="4"/>
    </row>
    <row r="95" spans="2:11" hidden="1" outlineLevel="1" x14ac:dyDescent="0.3">
      <c r="B95" s="6"/>
      <c r="C95" s="274" t="s">
        <v>165</v>
      </c>
      <c r="D95" s="290">
        <f>IFERROR(D90/D93,0)</f>
        <v>0</v>
      </c>
      <c r="E95" s="1"/>
      <c r="F95" s="290">
        <f>IFERROR(F90/F93,0)</f>
        <v>0</v>
      </c>
      <c r="G95" s="1"/>
      <c r="H95" s="290">
        <f>IFERROR(H90/H93,0)</f>
        <v>0</v>
      </c>
      <c r="I95" s="1"/>
      <c r="J95" s="290">
        <f>IFERROR(J90/J93,0)</f>
        <v>0</v>
      </c>
      <c r="K95" s="4"/>
    </row>
    <row r="96" spans="2:11" ht="15" hidden="1" outlineLevel="1" thickBot="1" x14ac:dyDescent="0.35">
      <c r="B96" s="1285"/>
      <c r="C96" s="1286"/>
      <c r="D96" s="1286"/>
      <c r="E96" s="33"/>
      <c r="F96" s="33"/>
      <c r="G96" s="33"/>
      <c r="H96" s="33"/>
      <c r="I96" s="33"/>
      <c r="J96" s="33"/>
      <c r="K96" s="7"/>
    </row>
    <row r="97" spans="2:11" ht="15" collapsed="1" thickBot="1" x14ac:dyDescent="0.35">
      <c r="B97" s="291"/>
      <c r="C97" s="291"/>
      <c r="D97" s="291"/>
      <c r="E97" s="292"/>
      <c r="F97" s="292"/>
      <c r="G97" s="292"/>
      <c r="H97" s="292"/>
      <c r="I97" s="292"/>
      <c r="J97" s="292"/>
      <c r="K97" s="292"/>
    </row>
    <row r="98" spans="2:11" ht="16.2" thickBot="1" x14ac:dyDescent="0.35">
      <c r="B98" s="227" t="s">
        <v>106</v>
      </c>
      <c r="C98" s="228"/>
      <c r="D98" s="228"/>
      <c r="E98" s="228"/>
      <c r="F98" s="228"/>
      <c r="G98" s="228"/>
      <c r="H98" s="228"/>
      <c r="I98" s="228"/>
      <c r="J98" s="228"/>
      <c r="K98" s="229"/>
    </row>
    <row r="99" spans="2:11" ht="16.2" thickBot="1" x14ac:dyDescent="0.35">
      <c r="B99" s="1287" t="s">
        <v>178</v>
      </c>
      <c r="C99" s="1288"/>
      <c r="D99" s="1288"/>
      <c r="E99" s="1288"/>
      <c r="F99" s="1288"/>
      <c r="G99" s="1288"/>
      <c r="H99" s="1288"/>
      <c r="I99" s="1289"/>
      <c r="J99" s="255" t="s">
        <v>129</v>
      </c>
      <c r="K99" s="296" t="s">
        <v>43</v>
      </c>
    </row>
    <row r="100" spans="2:11" hidden="1" outlineLevel="1" x14ac:dyDescent="0.3">
      <c r="B100" s="256"/>
      <c r="C100" s="257"/>
      <c r="D100" s="258"/>
      <c r="E100" s="258"/>
      <c r="F100" s="258"/>
      <c r="G100" s="258"/>
      <c r="H100" s="258"/>
      <c r="I100" s="258"/>
      <c r="J100" s="258"/>
      <c r="K100" s="259"/>
    </row>
    <row r="101" spans="2:11" hidden="1" outlineLevel="1" x14ac:dyDescent="0.3">
      <c r="B101" s="260" t="s">
        <v>132</v>
      </c>
      <c r="C101" s="29"/>
      <c r="D101" s="297">
        <f>'BDO Prequal'!$D$99</f>
        <v>45291</v>
      </c>
      <c r="E101" s="261"/>
      <c r="F101" s="297">
        <f>EOMONTH(D101,F102)</f>
        <v>45657</v>
      </c>
      <c r="G101" s="261"/>
      <c r="H101" s="297">
        <f>EOMONTH(F101,H102)</f>
        <v>46022</v>
      </c>
      <c r="I101" s="261"/>
      <c r="J101" s="297">
        <f>EOMONTH(H101,J102)</f>
        <v>46112</v>
      </c>
      <c r="K101" s="4"/>
    </row>
    <row r="102" spans="2:11" hidden="1" outlineLevel="1" x14ac:dyDescent="0.3">
      <c r="B102" s="260" t="s">
        <v>134</v>
      </c>
      <c r="C102" s="29"/>
      <c r="D102" s="298">
        <v>12</v>
      </c>
      <c r="E102" s="262"/>
      <c r="F102" s="298">
        <v>12</v>
      </c>
      <c r="G102" s="262"/>
      <c r="H102" s="298">
        <v>12</v>
      </c>
      <c r="I102" s="262"/>
      <c r="J102" s="298">
        <v>3</v>
      </c>
      <c r="K102" s="263"/>
    </row>
    <row r="103" spans="2:11" hidden="1" outlineLevel="1" x14ac:dyDescent="0.3">
      <c r="B103" s="260" t="s">
        <v>136</v>
      </c>
      <c r="C103" s="29"/>
      <c r="D103" s="299" t="s">
        <v>137</v>
      </c>
      <c r="E103" s="264"/>
      <c r="F103" s="299" t="s">
        <v>137</v>
      </c>
      <c r="G103" s="264"/>
      <c r="H103" s="299"/>
      <c r="I103" s="264"/>
      <c r="J103" s="299" t="s">
        <v>138</v>
      </c>
      <c r="K103" s="263"/>
    </row>
    <row r="104" spans="2:11" hidden="1" outlineLevel="1" x14ac:dyDescent="0.3">
      <c r="B104" s="260" t="s">
        <v>140</v>
      </c>
      <c r="C104" s="29"/>
      <c r="D104" s="299"/>
      <c r="E104" s="264"/>
      <c r="F104" s="299"/>
      <c r="G104" s="264"/>
      <c r="H104" s="299"/>
      <c r="I104" s="264"/>
      <c r="J104" s="299"/>
      <c r="K104" s="263"/>
    </row>
    <row r="105" spans="2:11" hidden="1" outlineLevel="1" x14ac:dyDescent="0.3">
      <c r="B105" s="265"/>
      <c r="C105" s="266"/>
      <c r="D105" s="267"/>
      <c r="E105" s="268"/>
      <c r="F105" s="267"/>
      <c r="G105" s="268"/>
      <c r="H105" s="267"/>
      <c r="I105" s="268"/>
      <c r="J105" s="269">
        <f>(J106/J102)*12</f>
        <v>0</v>
      </c>
      <c r="K105" s="270"/>
    </row>
    <row r="106" spans="2:11" hidden="1" outlineLevel="1" x14ac:dyDescent="0.3">
      <c r="B106" s="19"/>
      <c r="C106" s="240" t="s">
        <v>141</v>
      </c>
      <c r="D106" s="300">
        <v>0</v>
      </c>
      <c r="E106" s="271" t="s">
        <v>52</v>
      </c>
      <c r="F106" s="300">
        <v>0</v>
      </c>
      <c r="G106" s="271">
        <f>IF(F$106=0,0,F106/F$106)</f>
        <v>0</v>
      </c>
      <c r="H106" s="300">
        <v>0</v>
      </c>
      <c r="I106" s="271">
        <f>IF(H$106=0,0,H106/H$106)</f>
        <v>0</v>
      </c>
      <c r="J106" s="300">
        <v>0</v>
      </c>
      <c r="K106" s="272">
        <f>IF(J$106=0,0,J106/J$106)</f>
        <v>0</v>
      </c>
    </row>
    <row r="107" spans="2:11" hidden="1" outlineLevel="1" x14ac:dyDescent="0.3">
      <c r="B107" s="6"/>
      <c r="C107" s="240" t="s">
        <v>142</v>
      </c>
      <c r="D107" s="301">
        <v>0</v>
      </c>
      <c r="E107" s="271">
        <f>IF(D$106=0,0,D107/D$106)</f>
        <v>0</v>
      </c>
      <c r="F107" s="301">
        <v>0</v>
      </c>
      <c r="G107" s="271">
        <f>IF(F$106=0,0,F107/F$106)</f>
        <v>0</v>
      </c>
      <c r="H107" s="301">
        <v>0</v>
      </c>
      <c r="I107" s="271">
        <f>IF(H$106=0,0,H107/H$106)</f>
        <v>0</v>
      </c>
      <c r="J107" s="301">
        <v>0</v>
      </c>
      <c r="K107" s="272">
        <f>IF(J$106=0,0,J107/J$106)</f>
        <v>0</v>
      </c>
    </row>
    <row r="108" spans="2:11" hidden="1" outlineLevel="1" x14ac:dyDescent="0.3">
      <c r="B108" s="6"/>
      <c r="C108" s="240" t="s">
        <v>143</v>
      </c>
      <c r="D108" s="273">
        <f>D106-D107</f>
        <v>0</v>
      </c>
      <c r="E108" s="271">
        <f>IF(D$106=0,0,D108/D$106)</f>
        <v>0</v>
      </c>
      <c r="F108" s="273">
        <f>F106-F107</f>
        <v>0</v>
      </c>
      <c r="G108" s="271">
        <f>IF(F$106=0,0,F108/F$106)</f>
        <v>0</v>
      </c>
      <c r="H108" s="273">
        <f>H106-H107</f>
        <v>0</v>
      </c>
      <c r="I108" s="271">
        <f>IF(H$106=0,0,H108/H$106)</f>
        <v>0</v>
      </c>
      <c r="J108" s="273">
        <f>J106-J107</f>
        <v>0</v>
      </c>
      <c r="K108" s="272">
        <f>IF(J$106=0,0,J108/J$106)</f>
        <v>0</v>
      </c>
    </row>
    <row r="109" spans="2:11" hidden="1" outlineLevel="1" x14ac:dyDescent="0.3">
      <c r="B109" s="6"/>
      <c r="C109" s="274"/>
      <c r="D109" s="275"/>
      <c r="E109" s="276"/>
      <c r="F109" s="275"/>
      <c r="G109" s="276"/>
      <c r="H109" s="275"/>
      <c r="I109" s="276"/>
      <c r="J109" s="275"/>
      <c r="K109" s="277"/>
    </row>
    <row r="110" spans="2:11" hidden="1" outlineLevel="1" x14ac:dyDescent="0.3">
      <c r="B110" s="6"/>
      <c r="C110" s="240" t="s">
        <v>144</v>
      </c>
      <c r="D110" s="300">
        <v>0</v>
      </c>
      <c r="E110" s="271">
        <f t="shared" ref="E110:E123" si="4">IF(D$106=0,0,D110/D$106)</f>
        <v>0</v>
      </c>
      <c r="F110" s="300">
        <v>0</v>
      </c>
      <c r="G110" s="271">
        <f t="shared" ref="G110:G123" si="5">IF(F$106=0,0,F110/F$106)</f>
        <v>0</v>
      </c>
      <c r="H110" s="300">
        <v>0</v>
      </c>
      <c r="I110" s="271">
        <f t="shared" ref="I110:I123" si="6">IF(H$106=0,0,H110/H$106)</f>
        <v>0</v>
      </c>
      <c r="J110" s="300">
        <v>0</v>
      </c>
      <c r="K110" s="272">
        <f t="shared" ref="K110:K123" si="7">IF(J$106=0,0,J110/J$106)</f>
        <v>0</v>
      </c>
    </row>
    <row r="111" spans="2:11" hidden="1" outlineLevel="1" x14ac:dyDescent="0.3">
      <c r="B111" s="6"/>
      <c r="C111" s="240" t="s">
        <v>145</v>
      </c>
      <c r="D111" s="301">
        <v>0</v>
      </c>
      <c r="E111" s="271">
        <f t="shared" si="4"/>
        <v>0</v>
      </c>
      <c r="F111" s="301">
        <v>0</v>
      </c>
      <c r="G111" s="271">
        <f t="shared" si="5"/>
        <v>0</v>
      </c>
      <c r="H111" s="301">
        <v>0</v>
      </c>
      <c r="I111" s="271">
        <f t="shared" si="6"/>
        <v>0</v>
      </c>
      <c r="J111" s="301">
        <v>0</v>
      </c>
      <c r="K111" s="272">
        <f t="shared" si="7"/>
        <v>0</v>
      </c>
    </row>
    <row r="112" spans="2:11" hidden="1" outlineLevel="1" x14ac:dyDescent="0.3">
      <c r="B112" s="6"/>
      <c r="C112" s="240" t="s">
        <v>146</v>
      </c>
      <c r="D112" s="301">
        <v>0</v>
      </c>
      <c r="E112" s="271">
        <f t="shared" si="4"/>
        <v>0</v>
      </c>
      <c r="F112" s="301">
        <v>0</v>
      </c>
      <c r="G112" s="271">
        <f t="shared" si="5"/>
        <v>0</v>
      </c>
      <c r="H112" s="301">
        <v>0</v>
      </c>
      <c r="I112" s="271">
        <f t="shared" si="6"/>
        <v>0</v>
      </c>
      <c r="J112" s="301">
        <v>0</v>
      </c>
      <c r="K112" s="272">
        <f t="shared" si="7"/>
        <v>0</v>
      </c>
    </row>
    <row r="113" spans="2:11" hidden="1" outlineLevel="1" x14ac:dyDescent="0.3">
      <c r="B113" s="6"/>
      <c r="C113" s="240" t="s">
        <v>147</v>
      </c>
      <c r="D113" s="301">
        <v>0</v>
      </c>
      <c r="E113" s="271">
        <f t="shared" si="4"/>
        <v>0</v>
      </c>
      <c r="F113" s="301">
        <v>0</v>
      </c>
      <c r="G113" s="271">
        <f t="shared" si="5"/>
        <v>0</v>
      </c>
      <c r="H113" s="301">
        <v>0</v>
      </c>
      <c r="I113" s="271">
        <f t="shared" si="6"/>
        <v>0</v>
      </c>
      <c r="J113" s="301">
        <v>0</v>
      </c>
      <c r="K113" s="272">
        <f t="shared" si="7"/>
        <v>0</v>
      </c>
    </row>
    <row r="114" spans="2:11" hidden="1" outlineLevel="1" x14ac:dyDescent="0.3">
      <c r="B114" s="6"/>
      <c r="C114" s="240" t="s">
        <v>148</v>
      </c>
      <c r="D114" s="301">
        <v>0</v>
      </c>
      <c r="E114" s="271">
        <f t="shared" si="4"/>
        <v>0</v>
      </c>
      <c r="F114" s="301">
        <v>0</v>
      </c>
      <c r="G114" s="271">
        <f t="shared" si="5"/>
        <v>0</v>
      </c>
      <c r="H114" s="301">
        <v>0</v>
      </c>
      <c r="I114" s="271">
        <f t="shared" si="6"/>
        <v>0</v>
      </c>
      <c r="J114" s="301">
        <v>0</v>
      </c>
      <c r="K114" s="272">
        <f t="shared" si="7"/>
        <v>0</v>
      </c>
    </row>
    <row r="115" spans="2:11" hidden="1" outlineLevel="1" x14ac:dyDescent="0.3">
      <c r="B115" s="6"/>
      <c r="C115" s="240" t="s">
        <v>149</v>
      </c>
      <c r="D115" s="301">
        <v>0</v>
      </c>
      <c r="E115" s="271">
        <f t="shared" si="4"/>
        <v>0</v>
      </c>
      <c r="F115" s="301">
        <v>0</v>
      </c>
      <c r="G115" s="271">
        <f t="shared" si="5"/>
        <v>0</v>
      </c>
      <c r="H115" s="301">
        <v>0</v>
      </c>
      <c r="I115" s="271">
        <f t="shared" si="6"/>
        <v>0</v>
      </c>
      <c r="J115" s="301">
        <v>0</v>
      </c>
      <c r="K115" s="272">
        <f t="shared" si="7"/>
        <v>0</v>
      </c>
    </row>
    <row r="116" spans="2:11" hidden="1" outlineLevel="1" x14ac:dyDescent="0.3">
      <c r="B116" s="6"/>
      <c r="C116" s="240" t="s">
        <v>150</v>
      </c>
      <c r="D116" s="301">
        <v>0</v>
      </c>
      <c r="E116" s="271">
        <f t="shared" si="4"/>
        <v>0</v>
      </c>
      <c r="F116" s="301">
        <v>0</v>
      </c>
      <c r="G116" s="271">
        <f t="shared" si="5"/>
        <v>0</v>
      </c>
      <c r="H116" s="301">
        <v>0</v>
      </c>
      <c r="I116" s="271">
        <f t="shared" si="6"/>
        <v>0</v>
      </c>
      <c r="J116" s="301">
        <v>0</v>
      </c>
      <c r="K116" s="272">
        <f t="shared" si="7"/>
        <v>0</v>
      </c>
    </row>
    <row r="117" spans="2:11" hidden="1" outlineLevel="1" x14ac:dyDescent="0.3">
      <c r="B117" s="6"/>
      <c r="C117" s="240" t="s">
        <v>151</v>
      </c>
      <c r="D117" s="301">
        <v>0</v>
      </c>
      <c r="E117" s="271">
        <f t="shared" si="4"/>
        <v>0</v>
      </c>
      <c r="F117" s="301">
        <v>0</v>
      </c>
      <c r="G117" s="271">
        <f t="shared" si="5"/>
        <v>0</v>
      </c>
      <c r="H117" s="301">
        <v>0</v>
      </c>
      <c r="I117" s="271">
        <f t="shared" si="6"/>
        <v>0</v>
      </c>
      <c r="J117" s="301">
        <v>0</v>
      </c>
      <c r="K117" s="272">
        <f t="shared" si="7"/>
        <v>0</v>
      </c>
    </row>
    <row r="118" spans="2:11" hidden="1" outlineLevel="1" x14ac:dyDescent="0.3">
      <c r="B118" s="6"/>
      <c r="C118" s="240" t="s">
        <v>152</v>
      </c>
      <c r="D118" s="301">
        <v>0</v>
      </c>
      <c r="E118" s="271">
        <f t="shared" si="4"/>
        <v>0</v>
      </c>
      <c r="F118" s="301">
        <v>0</v>
      </c>
      <c r="G118" s="271">
        <f t="shared" si="5"/>
        <v>0</v>
      </c>
      <c r="H118" s="301">
        <v>0</v>
      </c>
      <c r="I118" s="271">
        <f t="shared" si="6"/>
        <v>0</v>
      </c>
      <c r="J118" s="301">
        <v>0</v>
      </c>
      <c r="K118" s="272">
        <f t="shared" si="7"/>
        <v>0</v>
      </c>
    </row>
    <row r="119" spans="2:11" hidden="1" outlineLevel="1" x14ac:dyDescent="0.3">
      <c r="B119" s="6"/>
      <c r="C119" s="303" t="s">
        <v>153</v>
      </c>
      <c r="D119" s="301">
        <v>0</v>
      </c>
      <c r="E119" s="271">
        <f t="shared" si="4"/>
        <v>0</v>
      </c>
      <c r="F119" s="301">
        <v>0</v>
      </c>
      <c r="G119" s="271">
        <f t="shared" si="5"/>
        <v>0</v>
      </c>
      <c r="H119" s="301">
        <v>0</v>
      </c>
      <c r="I119" s="271">
        <f t="shared" si="6"/>
        <v>0</v>
      </c>
      <c r="J119" s="301">
        <v>0</v>
      </c>
      <c r="K119" s="272">
        <f t="shared" si="7"/>
        <v>0</v>
      </c>
    </row>
    <row r="120" spans="2:11" hidden="1" outlineLevel="1" x14ac:dyDescent="0.3">
      <c r="B120" s="6"/>
      <c r="C120" s="303" t="s">
        <v>153</v>
      </c>
      <c r="D120" s="301">
        <v>0</v>
      </c>
      <c r="E120" s="271">
        <f t="shared" si="4"/>
        <v>0</v>
      </c>
      <c r="F120" s="301">
        <v>0</v>
      </c>
      <c r="G120" s="271">
        <f t="shared" si="5"/>
        <v>0</v>
      </c>
      <c r="H120" s="301">
        <v>0</v>
      </c>
      <c r="I120" s="271">
        <f t="shared" si="6"/>
        <v>0</v>
      </c>
      <c r="J120" s="301">
        <v>0</v>
      </c>
      <c r="K120" s="272">
        <f t="shared" si="7"/>
        <v>0</v>
      </c>
    </row>
    <row r="121" spans="2:11" hidden="1" outlineLevel="1" x14ac:dyDescent="0.3">
      <c r="B121" s="19"/>
      <c r="C121" s="303" t="s">
        <v>153</v>
      </c>
      <c r="D121" s="301">
        <v>0</v>
      </c>
      <c r="E121" s="271">
        <f t="shared" si="4"/>
        <v>0</v>
      </c>
      <c r="F121" s="301">
        <v>0</v>
      </c>
      <c r="G121" s="271">
        <f t="shared" si="5"/>
        <v>0</v>
      </c>
      <c r="H121" s="301">
        <v>0</v>
      </c>
      <c r="I121" s="271">
        <f t="shared" si="6"/>
        <v>0</v>
      </c>
      <c r="J121" s="301">
        <v>0</v>
      </c>
      <c r="K121" s="272">
        <f t="shared" si="7"/>
        <v>0</v>
      </c>
    </row>
    <row r="122" spans="2:11" hidden="1" outlineLevel="1" x14ac:dyDescent="0.3">
      <c r="B122" s="6"/>
      <c r="C122" s="303" t="s">
        <v>153</v>
      </c>
      <c r="D122" s="302">
        <v>0</v>
      </c>
      <c r="E122" s="271">
        <f t="shared" si="4"/>
        <v>0</v>
      </c>
      <c r="F122" s="302">
        <v>0</v>
      </c>
      <c r="G122" s="271">
        <f t="shared" si="5"/>
        <v>0</v>
      </c>
      <c r="H122" s="302">
        <v>0</v>
      </c>
      <c r="I122" s="271">
        <f t="shared" si="6"/>
        <v>0</v>
      </c>
      <c r="J122" s="302">
        <v>0</v>
      </c>
      <c r="K122" s="272">
        <f t="shared" si="7"/>
        <v>0</v>
      </c>
    </row>
    <row r="123" spans="2:11" hidden="1" outlineLevel="1" x14ac:dyDescent="0.3">
      <c r="B123" s="6"/>
      <c r="C123" s="274" t="s">
        <v>154</v>
      </c>
      <c r="D123" s="273">
        <f>SUM(D110:D122)</f>
        <v>0</v>
      </c>
      <c r="E123" s="271">
        <f t="shared" si="4"/>
        <v>0</v>
      </c>
      <c r="F123" s="273">
        <f>SUM(F110:F122)</f>
        <v>0</v>
      </c>
      <c r="G123" s="271">
        <f t="shared" si="5"/>
        <v>0</v>
      </c>
      <c r="H123" s="273">
        <f>SUM(H110:H122)</f>
        <v>0</v>
      </c>
      <c r="I123" s="271">
        <f t="shared" si="6"/>
        <v>0</v>
      </c>
      <c r="J123" s="273">
        <f>SUM(J110:J122)</f>
        <v>0</v>
      </c>
      <c r="K123" s="272">
        <f t="shared" si="7"/>
        <v>0</v>
      </c>
    </row>
    <row r="124" spans="2:11" hidden="1" outlineLevel="1" x14ac:dyDescent="0.3">
      <c r="B124" s="6"/>
      <c r="C124" s="274"/>
      <c r="D124" s="275"/>
      <c r="E124" s="276"/>
      <c r="F124" s="275"/>
      <c r="G124" s="276"/>
      <c r="H124" s="275"/>
      <c r="I124" s="276"/>
      <c r="J124" s="275"/>
      <c r="K124" s="277"/>
    </row>
    <row r="125" spans="2:11" hidden="1" outlineLevel="1" x14ac:dyDescent="0.3">
      <c r="B125" s="6"/>
      <c r="C125" s="274" t="s">
        <v>155</v>
      </c>
      <c r="D125" s="273">
        <f>D108-D123</f>
        <v>0</v>
      </c>
      <c r="E125" s="271">
        <f>IF(D$106=0,0,D125/D$106)</f>
        <v>0</v>
      </c>
      <c r="F125" s="273">
        <f>F108-F123</f>
        <v>0</v>
      </c>
      <c r="G125" s="271">
        <f>IF(F$106=0,0,F125/F$106)</f>
        <v>0</v>
      </c>
      <c r="H125" s="273">
        <f>H108-H123</f>
        <v>0</v>
      </c>
      <c r="I125" s="271">
        <f>IF(H$106=0,0,H125/H$106)</f>
        <v>0</v>
      </c>
      <c r="J125" s="273">
        <f>J108-J123</f>
        <v>0</v>
      </c>
      <c r="K125" s="272">
        <f>IF(J$106=0,0,J125/J$106)</f>
        <v>0</v>
      </c>
    </row>
    <row r="126" spans="2:11" hidden="1" outlineLevel="1" x14ac:dyDescent="0.3">
      <c r="B126" s="6"/>
      <c r="C126" s="274"/>
      <c r="D126" s="275"/>
      <c r="E126" s="276"/>
      <c r="F126" s="275"/>
      <c r="G126" s="276"/>
      <c r="H126" s="275"/>
      <c r="I126" s="276"/>
      <c r="J126" s="275"/>
      <c r="K126" s="277"/>
    </row>
    <row r="127" spans="2:11" hidden="1" outlineLevel="1" x14ac:dyDescent="0.3">
      <c r="B127" s="6"/>
      <c r="C127" s="240" t="s">
        <v>450</v>
      </c>
      <c r="D127" s="300">
        <v>0</v>
      </c>
      <c r="E127" s="271">
        <f>IF(D$106=0,0,D127/D$106)</f>
        <v>0</v>
      </c>
      <c r="F127" s="300">
        <v>0</v>
      </c>
      <c r="G127" s="271">
        <f>IF(F$106=0,0,F127/F$106)</f>
        <v>0</v>
      </c>
      <c r="H127" s="300">
        <v>0</v>
      </c>
      <c r="I127" s="271">
        <f>IF(H$106=0,0,H127/H$106)</f>
        <v>0</v>
      </c>
      <c r="J127" s="300">
        <v>0</v>
      </c>
      <c r="K127" s="272">
        <f>IF(J$106=0,0,J127/J$106)</f>
        <v>0</v>
      </c>
    </row>
    <row r="128" spans="2:11" hidden="1" outlineLevel="1" x14ac:dyDescent="0.3">
      <c r="B128" s="6"/>
      <c r="C128" s="240" t="s">
        <v>450</v>
      </c>
      <c r="D128" s="301">
        <v>0</v>
      </c>
      <c r="E128" s="271">
        <f>IF(D$106=0,0,D128/D$106)</f>
        <v>0</v>
      </c>
      <c r="F128" s="301">
        <v>0</v>
      </c>
      <c r="G128" s="271">
        <f>IF(F$106=0,0,F128/F$106)</f>
        <v>0</v>
      </c>
      <c r="H128" s="301">
        <v>0</v>
      </c>
      <c r="I128" s="271">
        <f>IF(H$106=0,0,H128/H$106)</f>
        <v>0</v>
      </c>
      <c r="J128" s="301">
        <v>0</v>
      </c>
      <c r="K128" s="272">
        <f>IF(J$106=0,0,J128/J$106)</f>
        <v>0</v>
      </c>
    </row>
    <row r="129" spans="2:11" hidden="1" outlineLevel="1" x14ac:dyDescent="0.3">
      <c r="B129" s="6"/>
      <c r="C129" s="274" t="s">
        <v>157</v>
      </c>
      <c r="D129" s="273">
        <f>SUM(D127:D128)</f>
        <v>0</v>
      </c>
      <c r="E129" s="271">
        <f>IF(D$106=0,0,D129/D$106)</f>
        <v>0</v>
      </c>
      <c r="F129" s="273">
        <f>SUM(F127:F128)</f>
        <v>0</v>
      </c>
      <c r="G129" s="271">
        <f>IF(F$106=0,0,F129/F$106)</f>
        <v>0</v>
      </c>
      <c r="H129" s="273">
        <f>SUM(H127:H128)</f>
        <v>0</v>
      </c>
      <c r="I129" s="271">
        <f>IF(H$106=0,0,H129/H$106)</f>
        <v>0</v>
      </c>
      <c r="J129" s="273">
        <f>SUM(J127:J128)</f>
        <v>0</v>
      </c>
      <c r="K129" s="272">
        <f>IF(J$106=0,0,J129/J$106)</f>
        <v>0</v>
      </c>
    </row>
    <row r="130" spans="2:11" hidden="1" outlineLevel="1" x14ac:dyDescent="0.3">
      <c r="B130" s="6"/>
      <c r="C130" s="274"/>
      <c r="D130" s="275"/>
      <c r="E130" s="276"/>
      <c r="F130" s="275"/>
      <c r="G130" s="276"/>
      <c r="H130" s="275"/>
      <c r="I130" s="276"/>
      <c r="J130" s="275"/>
      <c r="K130" s="278"/>
    </row>
    <row r="131" spans="2:11" hidden="1" outlineLevel="1" x14ac:dyDescent="0.3">
      <c r="B131" s="6"/>
      <c r="C131" s="274" t="s">
        <v>158</v>
      </c>
      <c r="D131" s="273">
        <f>D108-D123+D129</f>
        <v>0</v>
      </c>
      <c r="E131" s="271">
        <f>IF(D$106=0,0,D131/D$106)</f>
        <v>0</v>
      </c>
      <c r="F131" s="273">
        <f>F108-F123+F129</f>
        <v>0</v>
      </c>
      <c r="G131" s="271">
        <f>IF(F$106=0,0,F131/F$106)</f>
        <v>0</v>
      </c>
      <c r="H131" s="273">
        <f>H108-H123+H129</f>
        <v>0</v>
      </c>
      <c r="I131" s="271">
        <f>IF(H$106=0,0,H131/H$106)</f>
        <v>0</v>
      </c>
      <c r="J131" s="273">
        <f>J108-J123+J129</f>
        <v>0</v>
      </c>
      <c r="K131" s="272">
        <f>IF(J$106=0,0,J131/J$106)</f>
        <v>0</v>
      </c>
    </row>
    <row r="132" spans="2:11" hidden="1" outlineLevel="1" x14ac:dyDescent="0.3">
      <c r="B132" s="6"/>
      <c r="C132" s="274" t="s">
        <v>159</v>
      </c>
      <c r="D132" s="273">
        <v>0</v>
      </c>
      <c r="E132" s="271">
        <f>IF(D$106=0,0,D132/D$106)</f>
        <v>0</v>
      </c>
      <c r="F132" s="273">
        <v>0</v>
      </c>
      <c r="G132" s="271">
        <f>IF(F$106=0,0,F132/F$106)</f>
        <v>0</v>
      </c>
      <c r="H132" s="273">
        <v>0</v>
      </c>
      <c r="I132" s="271">
        <f>IF(H$106=0,0,H132/H$106)</f>
        <v>0</v>
      </c>
      <c r="J132" s="273">
        <v>0</v>
      </c>
      <c r="K132" s="272">
        <f>IF(J$106=0,0,J132/J$106)</f>
        <v>0</v>
      </c>
    </row>
    <row r="133" spans="2:11" hidden="1" outlineLevel="1" x14ac:dyDescent="0.3">
      <c r="B133" s="6"/>
      <c r="C133" s="279"/>
      <c r="D133" s="275"/>
      <c r="E133" s="276"/>
      <c r="F133" s="275"/>
      <c r="G133" s="276"/>
      <c r="H133" s="275"/>
      <c r="I133" s="276"/>
      <c r="J133" s="275"/>
      <c r="K133" s="280"/>
    </row>
    <row r="134" spans="2:11" hidden="1" outlineLevel="1" x14ac:dyDescent="0.3">
      <c r="B134" s="6"/>
      <c r="C134" s="274" t="s">
        <v>160</v>
      </c>
      <c r="D134" s="273">
        <f>D131-D132</f>
        <v>0</v>
      </c>
      <c r="E134" s="271">
        <f>IF(D$106=0,0,D134/D$106)</f>
        <v>0</v>
      </c>
      <c r="F134" s="273">
        <f>F131-F132</f>
        <v>0</v>
      </c>
      <c r="G134" s="271">
        <f>IF(F$106=0,0,F134/F$106)</f>
        <v>0</v>
      </c>
      <c r="H134" s="273">
        <f>H131-H132</f>
        <v>0</v>
      </c>
      <c r="I134" s="271">
        <f>IF(H$106=0,0,H134/H$106)</f>
        <v>0</v>
      </c>
      <c r="J134" s="273">
        <f>J131-J132</f>
        <v>0</v>
      </c>
      <c r="K134" s="272">
        <f>IF(J$106=0,0,J134/J$106)</f>
        <v>0</v>
      </c>
    </row>
    <row r="135" spans="2:11" hidden="1" outlineLevel="1" x14ac:dyDescent="0.3">
      <c r="B135" s="6"/>
      <c r="C135" s="240"/>
      <c r="D135" s="281"/>
      <c r="E135" s="282"/>
      <c r="F135" s="281"/>
      <c r="G135" s="282"/>
      <c r="H135" s="281"/>
      <c r="I135" s="282"/>
      <c r="J135" s="281"/>
      <c r="K135" s="283"/>
    </row>
    <row r="136" spans="2:11" hidden="1" outlineLevel="1" x14ac:dyDescent="0.3">
      <c r="B136" s="6"/>
      <c r="C136" s="284" t="s">
        <v>396</v>
      </c>
      <c r="D136" s="1"/>
      <c r="E136" s="1"/>
      <c r="F136" s="1"/>
      <c r="G136" s="1"/>
      <c r="H136" s="1"/>
      <c r="I136" s="1"/>
      <c r="J136" s="1"/>
      <c r="K136" s="4"/>
    </row>
    <row r="137" spans="2:11" hidden="1" outlineLevel="1" x14ac:dyDescent="0.3">
      <c r="B137" s="6"/>
      <c r="C137" s="285" t="s">
        <v>385</v>
      </c>
      <c r="D137" s="300">
        <f>D110</f>
        <v>0</v>
      </c>
      <c r="E137" s="1"/>
      <c r="F137" s="300">
        <f>F110</f>
        <v>0</v>
      </c>
      <c r="G137" s="1"/>
      <c r="H137" s="300">
        <f>H110</f>
        <v>0</v>
      </c>
      <c r="I137" s="1"/>
      <c r="J137" s="300">
        <f>J110</f>
        <v>0</v>
      </c>
      <c r="K137" s="4"/>
    </row>
    <row r="138" spans="2:11" hidden="1" outlineLevel="1" x14ac:dyDescent="0.3">
      <c r="B138" s="6"/>
      <c r="C138" s="286" t="s">
        <v>386</v>
      </c>
      <c r="D138" s="301">
        <f>D117</f>
        <v>0</v>
      </c>
      <c r="E138" s="1"/>
      <c r="F138" s="301">
        <f>F117</f>
        <v>0</v>
      </c>
      <c r="G138" s="1"/>
      <c r="H138" s="301">
        <f>H117</f>
        <v>0</v>
      </c>
      <c r="I138" s="1"/>
      <c r="J138" s="301">
        <f>J117</f>
        <v>0</v>
      </c>
      <c r="K138" s="4"/>
    </row>
    <row r="139" spans="2:11" hidden="1" outlineLevel="1" x14ac:dyDescent="0.3">
      <c r="B139" s="6"/>
      <c r="C139" s="286" t="s">
        <v>387</v>
      </c>
      <c r="D139" s="301">
        <f>D116</f>
        <v>0</v>
      </c>
      <c r="E139" s="1"/>
      <c r="F139" s="301">
        <f>F116</f>
        <v>0</v>
      </c>
      <c r="G139" s="1"/>
      <c r="H139" s="301">
        <f>H116</f>
        <v>0</v>
      </c>
      <c r="I139" s="1"/>
      <c r="J139" s="301">
        <f>J116</f>
        <v>0</v>
      </c>
      <c r="K139" s="4"/>
    </row>
    <row r="140" spans="2:11" hidden="1" outlineLevel="1" x14ac:dyDescent="0.3">
      <c r="B140" s="6"/>
      <c r="C140" s="286" t="s">
        <v>397</v>
      </c>
      <c r="D140" s="301">
        <v>0</v>
      </c>
      <c r="E140" s="1"/>
      <c r="F140" s="301">
        <v>0</v>
      </c>
      <c r="G140" s="1"/>
      <c r="H140" s="301">
        <v>0</v>
      </c>
      <c r="I140" s="1"/>
      <c r="J140" s="301">
        <v>0</v>
      </c>
      <c r="K140" s="4"/>
    </row>
    <row r="141" spans="2:11" hidden="1" outlineLevel="1" x14ac:dyDescent="0.3">
      <c r="B141" s="6"/>
      <c r="C141" s="304" t="s">
        <v>153</v>
      </c>
      <c r="D141" s="301">
        <v>0</v>
      </c>
      <c r="E141" s="1"/>
      <c r="F141" s="301">
        <v>0</v>
      </c>
      <c r="G141" s="1"/>
      <c r="H141" s="301">
        <v>0</v>
      </c>
      <c r="I141" s="1"/>
      <c r="J141" s="301">
        <v>0</v>
      </c>
      <c r="K141" s="4"/>
    </row>
    <row r="142" spans="2:11" hidden="1" outlineLevel="1" x14ac:dyDescent="0.3">
      <c r="B142" s="6"/>
      <c r="C142" s="304" t="s">
        <v>153</v>
      </c>
      <c r="D142" s="301">
        <v>0</v>
      </c>
      <c r="E142" s="1"/>
      <c r="F142" s="301">
        <v>0</v>
      </c>
      <c r="G142" s="1"/>
      <c r="H142" s="301">
        <v>0</v>
      </c>
      <c r="I142" s="1"/>
      <c r="J142" s="301">
        <v>0</v>
      </c>
      <c r="K142" s="4"/>
    </row>
    <row r="143" spans="2:11" hidden="1" outlineLevel="1" x14ac:dyDescent="0.3">
      <c r="B143" s="6"/>
      <c r="C143" s="286" t="s">
        <v>388</v>
      </c>
      <c r="D143" s="301">
        <v>0</v>
      </c>
      <c r="E143" s="1"/>
      <c r="F143" s="301">
        <v>0</v>
      </c>
      <c r="G143" s="1"/>
      <c r="H143" s="301">
        <v>0</v>
      </c>
      <c r="I143" s="1"/>
      <c r="J143" s="301">
        <v>0</v>
      </c>
      <c r="K143" s="4"/>
    </row>
    <row r="144" spans="2:11" hidden="1" outlineLevel="1" x14ac:dyDescent="0.3">
      <c r="B144" s="6"/>
      <c r="C144" s="286" t="s">
        <v>389</v>
      </c>
      <c r="D144" s="302">
        <v>0</v>
      </c>
      <c r="E144" s="1"/>
      <c r="F144" s="302">
        <v>0</v>
      </c>
      <c r="G144" s="1"/>
      <c r="H144" s="302">
        <v>0</v>
      </c>
      <c r="I144" s="1"/>
      <c r="J144" s="302">
        <v>0</v>
      </c>
      <c r="K144" s="4"/>
    </row>
    <row r="145" spans="2:13" hidden="1" outlineLevel="1" x14ac:dyDescent="0.3">
      <c r="B145" s="6"/>
      <c r="C145" s="286"/>
      <c r="D145" s="1"/>
      <c r="E145" s="1"/>
      <c r="F145" s="1"/>
      <c r="G145" s="1"/>
      <c r="H145" s="1"/>
      <c r="I145" s="1"/>
      <c r="J145" s="1"/>
      <c r="K145" s="4"/>
    </row>
    <row r="146" spans="2:13" hidden="1" outlineLevel="1" x14ac:dyDescent="0.3">
      <c r="B146" s="6"/>
      <c r="C146" s="286" t="s">
        <v>162</v>
      </c>
      <c r="D146" s="287">
        <f>D134+SUM(D137:D144)</f>
        <v>0</v>
      </c>
      <c r="E146" s="288"/>
      <c r="F146" s="287">
        <f>F134+SUM(F137:F144)</f>
        <v>0</v>
      </c>
      <c r="G146" s="288"/>
      <c r="H146" s="287">
        <f>H134+SUM(H137:H144)</f>
        <v>0</v>
      </c>
      <c r="I146" s="288"/>
      <c r="J146" s="287">
        <f>J134+SUM(J137:J144)</f>
        <v>0</v>
      </c>
      <c r="K146" s="4"/>
    </row>
    <row r="147" spans="2:13" hidden="1" outlineLevel="1" x14ac:dyDescent="0.3">
      <c r="B147" s="6"/>
      <c r="C147" s="286"/>
      <c r="D147" s="1"/>
      <c r="E147" s="1"/>
      <c r="F147" s="1"/>
      <c r="G147" s="1"/>
      <c r="H147" s="1"/>
      <c r="I147" s="1"/>
      <c r="J147" s="1"/>
      <c r="K147" s="4"/>
    </row>
    <row r="148" spans="2:13" hidden="1" outlineLevel="1" x14ac:dyDescent="0.3">
      <c r="B148" s="6"/>
      <c r="C148" s="240" t="s">
        <v>177</v>
      </c>
      <c r="D148" s="305">
        <v>0</v>
      </c>
      <c r="E148" s="1"/>
      <c r="F148" s="305">
        <v>0</v>
      </c>
      <c r="G148" s="1"/>
      <c r="H148" s="305">
        <v>0</v>
      </c>
      <c r="I148" s="1"/>
      <c r="J148" s="305">
        <v>0</v>
      </c>
      <c r="K148" s="4"/>
    </row>
    <row r="149" spans="2:13" hidden="1" outlineLevel="1" x14ac:dyDescent="0.3">
      <c r="B149" s="6"/>
      <c r="C149" s="240" t="s">
        <v>163</v>
      </c>
      <c r="D149" s="289">
        <f>D148*D102</f>
        <v>0</v>
      </c>
      <c r="E149" s="1"/>
      <c r="F149" s="289">
        <f>F148*F102</f>
        <v>0</v>
      </c>
      <c r="G149" s="1"/>
      <c r="H149" s="289">
        <f>H148*H102</f>
        <v>0</v>
      </c>
      <c r="I149" s="1"/>
      <c r="J149" s="289">
        <f>J148*J102</f>
        <v>0</v>
      </c>
      <c r="K149" s="4"/>
    </row>
    <row r="150" spans="2:13" hidden="1" outlineLevel="1" x14ac:dyDescent="0.3">
      <c r="B150" s="6"/>
      <c r="C150" s="240"/>
      <c r="D150" s="1"/>
      <c r="E150" s="1"/>
      <c r="F150" s="1"/>
      <c r="G150" s="1"/>
      <c r="H150" s="1"/>
      <c r="I150" s="1"/>
      <c r="J150" s="1"/>
      <c r="K150" s="4"/>
    </row>
    <row r="151" spans="2:13" hidden="1" outlineLevel="1" x14ac:dyDescent="0.3">
      <c r="B151" s="6"/>
      <c r="C151" s="274" t="s">
        <v>165</v>
      </c>
      <c r="D151" s="290">
        <f>IFERROR(D146/D149,0)</f>
        <v>0</v>
      </c>
      <c r="E151" s="1"/>
      <c r="F151" s="290">
        <f>IFERROR(F146/F149,0)</f>
        <v>0</v>
      </c>
      <c r="G151" s="1"/>
      <c r="H151" s="290">
        <f>IFERROR(H146/H149,0)</f>
        <v>0</v>
      </c>
      <c r="I151" s="1"/>
      <c r="J151" s="290">
        <f>IFERROR(J146/J149,0)</f>
        <v>0</v>
      </c>
      <c r="K151" s="4"/>
    </row>
    <row r="152" spans="2:13" ht="15" hidden="1" outlineLevel="1" thickBot="1" x14ac:dyDescent="0.35">
      <c r="B152" s="1285"/>
      <c r="C152" s="1286"/>
      <c r="D152" s="1286"/>
      <c r="E152" s="33"/>
      <c r="F152" s="33"/>
      <c r="G152" s="33"/>
      <c r="H152" s="33"/>
      <c r="I152" s="33"/>
      <c r="J152" s="33"/>
      <c r="K152" s="7"/>
    </row>
    <row r="153" spans="2:13" ht="15" collapsed="1" thickBot="1" x14ac:dyDescent="0.35">
      <c r="B153" s="291"/>
      <c r="C153" s="291"/>
      <c r="D153" s="291"/>
      <c r="E153" s="292"/>
      <c r="F153" s="292"/>
      <c r="G153" s="292"/>
      <c r="H153" s="292"/>
      <c r="I153" s="292"/>
      <c r="J153" s="292"/>
      <c r="K153" s="292"/>
    </row>
    <row r="154" spans="2:13" ht="16.2" thickBot="1" x14ac:dyDescent="0.35">
      <c r="B154" s="227" t="s">
        <v>107</v>
      </c>
      <c r="C154" s="228"/>
      <c r="D154" s="228"/>
      <c r="E154" s="228"/>
      <c r="F154" s="228"/>
      <c r="G154" s="228"/>
      <c r="H154" s="228"/>
      <c r="I154" s="228"/>
      <c r="J154" s="228"/>
      <c r="K154" s="229"/>
      <c r="M154" s="167"/>
    </row>
    <row r="155" spans="2:13" ht="16.2" thickBot="1" x14ac:dyDescent="0.35">
      <c r="B155" s="1290" t="s">
        <v>179</v>
      </c>
      <c r="C155" s="1291"/>
      <c r="D155" s="1291"/>
      <c r="E155" s="1291"/>
      <c r="F155" s="1291"/>
      <c r="G155" s="1291"/>
      <c r="H155" s="1291"/>
      <c r="I155" s="1292"/>
      <c r="J155" s="255" t="s">
        <v>129</v>
      </c>
      <c r="K155" s="296" t="s">
        <v>43</v>
      </c>
    </row>
    <row r="156" spans="2:13" hidden="1" outlineLevel="1" x14ac:dyDescent="0.3">
      <c r="B156" s="293"/>
      <c r="C156" s="257"/>
      <c r="D156" s="258"/>
      <c r="E156" s="258"/>
      <c r="F156" s="258"/>
      <c r="G156" s="258"/>
      <c r="H156" s="258"/>
      <c r="I156" s="258"/>
      <c r="J156" s="258"/>
      <c r="K156" s="259"/>
    </row>
    <row r="157" spans="2:13" hidden="1" outlineLevel="1" x14ac:dyDescent="0.3">
      <c r="B157" s="260" t="s">
        <v>132</v>
      </c>
      <c r="C157" s="29"/>
      <c r="D157" s="297">
        <f>'BDO Prequal'!$D$99</f>
        <v>45291</v>
      </c>
      <c r="E157" s="261"/>
      <c r="F157" s="297">
        <f>EOMONTH(D157,F158)</f>
        <v>45657</v>
      </c>
      <c r="G157" s="261"/>
      <c r="H157" s="297">
        <f>EOMONTH(F157,H158)</f>
        <v>46022</v>
      </c>
      <c r="I157" s="261"/>
      <c r="J157" s="297">
        <f>EOMONTH(H157,J158)</f>
        <v>46112</v>
      </c>
      <c r="K157" s="4"/>
    </row>
    <row r="158" spans="2:13" hidden="1" outlineLevel="1" x14ac:dyDescent="0.3">
      <c r="B158" s="260" t="s">
        <v>134</v>
      </c>
      <c r="C158" s="29"/>
      <c r="D158" s="298">
        <v>12</v>
      </c>
      <c r="E158" s="262"/>
      <c r="F158" s="298">
        <v>12</v>
      </c>
      <c r="G158" s="262"/>
      <c r="H158" s="298">
        <v>12</v>
      </c>
      <c r="I158" s="262"/>
      <c r="J158" s="298">
        <v>3</v>
      </c>
      <c r="K158" s="263"/>
    </row>
    <row r="159" spans="2:13" hidden="1" outlineLevel="1" x14ac:dyDescent="0.3">
      <c r="B159" s="260" t="s">
        <v>136</v>
      </c>
      <c r="C159" s="29"/>
      <c r="D159" s="299" t="s">
        <v>137</v>
      </c>
      <c r="E159" s="264"/>
      <c r="F159" s="299" t="s">
        <v>137</v>
      </c>
      <c r="G159" s="264"/>
      <c r="H159" s="299"/>
      <c r="I159" s="264"/>
      <c r="J159" s="299" t="s">
        <v>138</v>
      </c>
      <c r="K159" s="263"/>
    </row>
    <row r="160" spans="2:13" hidden="1" outlineLevel="1" x14ac:dyDescent="0.3">
      <c r="B160" s="260" t="s">
        <v>140</v>
      </c>
      <c r="C160" s="29"/>
      <c r="D160" s="299"/>
      <c r="E160" s="264"/>
      <c r="F160" s="299"/>
      <c r="G160" s="264"/>
      <c r="H160" s="299"/>
      <c r="I160" s="264"/>
      <c r="J160" s="299"/>
      <c r="K160" s="263"/>
    </row>
    <row r="161" spans="2:11" hidden="1" outlineLevel="1" x14ac:dyDescent="0.3">
      <c r="B161" s="265"/>
      <c r="C161" s="266"/>
      <c r="D161" s="267"/>
      <c r="E161" s="268"/>
      <c r="F161" s="267"/>
      <c r="G161" s="268"/>
      <c r="H161" s="267"/>
      <c r="I161" s="268"/>
      <c r="J161" s="269">
        <f>(J162/J158)*12</f>
        <v>0</v>
      </c>
      <c r="K161" s="270"/>
    </row>
    <row r="162" spans="2:11" hidden="1" outlineLevel="1" x14ac:dyDescent="0.3">
      <c r="B162" s="19"/>
      <c r="C162" s="240" t="s">
        <v>141</v>
      </c>
      <c r="D162" s="300">
        <v>0</v>
      </c>
      <c r="E162" s="271">
        <f>IF(D$162=0,0,D162/D$162)</f>
        <v>0</v>
      </c>
      <c r="F162" s="300">
        <v>0</v>
      </c>
      <c r="G162" s="271">
        <f>IF(F$162=0,0,F162/F$162)</f>
        <v>0</v>
      </c>
      <c r="H162" s="300">
        <v>0</v>
      </c>
      <c r="I162" s="271">
        <f>IF(H$162=0,0,H162/H$162)</f>
        <v>0</v>
      </c>
      <c r="J162" s="300">
        <v>0</v>
      </c>
      <c r="K162" s="272">
        <f>IF(J$162=0,0,J162/J$162)</f>
        <v>0</v>
      </c>
    </row>
    <row r="163" spans="2:11" hidden="1" outlineLevel="1" x14ac:dyDescent="0.3">
      <c r="B163" s="6"/>
      <c r="C163" s="240" t="s">
        <v>142</v>
      </c>
      <c r="D163" s="301">
        <v>0</v>
      </c>
      <c r="E163" s="271">
        <f>IF(D$162=0,0,D163/D$162)</f>
        <v>0</v>
      </c>
      <c r="F163" s="301">
        <v>0</v>
      </c>
      <c r="G163" s="271">
        <f>IF(F$162=0,0,F163/F$162)</f>
        <v>0</v>
      </c>
      <c r="H163" s="301">
        <v>0</v>
      </c>
      <c r="I163" s="271">
        <f>IF(H$162=0,0,H163/H$162)</f>
        <v>0</v>
      </c>
      <c r="J163" s="301">
        <v>0</v>
      </c>
      <c r="K163" s="272">
        <f>IF(J$162=0,0,J163/J$162)</f>
        <v>0</v>
      </c>
    </row>
    <row r="164" spans="2:11" hidden="1" outlineLevel="1" x14ac:dyDescent="0.3">
      <c r="B164" s="6"/>
      <c r="C164" s="240" t="s">
        <v>143</v>
      </c>
      <c r="D164" s="273">
        <f>D162-D163</f>
        <v>0</v>
      </c>
      <c r="E164" s="271">
        <f>IF(D$162=0,0,D164/D$162)</f>
        <v>0</v>
      </c>
      <c r="F164" s="273">
        <f>F162-F163</f>
        <v>0</v>
      </c>
      <c r="G164" s="271">
        <f>IF(F$162=0,0,F164/F$162)</f>
        <v>0</v>
      </c>
      <c r="H164" s="273">
        <f>H162-H163</f>
        <v>0</v>
      </c>
      <c r="I164" s="271">
        <f>IF(H$162=0,0,H164/H$162)</f>
        <v>0</v>
      </c>
      <c r="J164" s="273">
        <f>J162-J163</f>
        <v>0</v>
      </c>
      <c r="K164" s="272">
        <f>IF(J$162=0,0,J164/J$162)</f>
        <v>0</v>
      </c>
    </row>
    <row r="165" spans="2:11" hidden="1" outlineLevel="1" x14ac:dyDescent="0.3">
      <c r="B165" s="6"/>
      <c r="C165" s="274"/>
      <c r="D165" s="275"/>
      <c r="E165" s="276"/>
      <c r="F165" s="275"/>
      <c r="G165" s="276"/>
      <c r="H165" s="275"/>
      <c r="I165" s="276"/>
      <c r="J165" s="275"/>
      <c r="K165" s="277"/>
    </row>
    <row r="166" spans="2:11" hidden="1" outlineLevel="1" x14ac:dyDescent="0.3">
      <c r="B166" s="6"/>
      <c r="C166" s="240" t="s">
        <v>144</v>
      </c>
      <c r="D166" s="300">
        <v>0</v>
      </c>
      <c r="E166" s="271">
        <f t="shared" ref="E166:E179" si="8">IF(D$162=0,0,D166/D$162)</f>
        <v>0</v>
      </c>
      <c r="F166" s="300">
        <v>0</v>
      </c>
      <c r="G166" s="271">
        <f t="shared" ref="G166:G179" si="9">IF(F$162=0,0,F166/F$162)</f>
        <v>0</v>
      </c>
      <c r="H166" s="300">
        <v>0</v>
      </c>
      <c r="I166" s="271">
        <f t="shared" ref="I166:I179" si="10">IF(H$162=0,0,H166/H$162)</f>
        <v>0</v>
      </c>
      <c r="J166" s="300">
        <v>0</v>
      </c>
      <c r="K166" s="272">
        <f t="shared" ref="K166:K179" si="11">IF(J$162=0,0,J166/J$162)</f>
        <v>0</v>
      </c>
    </row>
    <row r="167" spans="2:11" hidden="1" outlineLevel="1" x14ac:dyDescent="0.3">
      <c r="B167" s="6"/>
      <c r="C167" s="240" t="s">
        <v>145</v>
      </c>
      <c r="D167" s="301">
        <v>0</v>
      </c>
      <c r="E167" s="271">
        <f t="shared" si="8"/>
        <v>0</v>
      </c>
      <c r="F167" s="301">
        <v>0</v>
      </c>
      <c r="G167" s="271">
        <f t="shared" si="9"/>
        <v>0</v>
      </c>
      <c r="H167" s="301">
        <v>0</v>
      </c>
      <c r="I167" s="271">
        <f t="shared" si="10"/>
        <v>0</v>
      </c>
      <c r="J167" s="301">
        <v>0</v>
      </c>
      <c r="K167" s="272">
        <f t="shared" si="11"/>
        <v>0</v>
      </c>
    </row>
    <row r="168" spans="2:11" hidden="1" outlineLevel="1" x14ac:dyDescent="0.3">
      <c r="B168" s="6"/>
      <c r="C168" s="240" t="s">
        <v>146</v>
      </c>
      <c r="D168" s="301">
        <v>0</v>
      </c>
      <c r="E168" s="271">
        <f t="shared" si="8"/>
        <v>0</v>
      </c>
      <c r="F168" s="301">
        <v>0</v>
      </c>
      <c r="G168" s="271">
        <f t="shared" si="9"/>
        <v>0</v>
      </c>
      <c r="H168" s="301">
        <v>0</v>
      </c>
      <c r="I168" s="271">
        <f t="shared" si="10"/>
        <v>0</v>
      </c>
      <c r="J168" s="301">
        <v>0</v>
      </c>
      <c r="K168" s="272">
        <f t="shared" si="11"/>
        <v>0</v>
      </c>
    </row>
    <row r="169" spans="2:11" hidden="1" outlineLevel="1" x14ac:dyDescent="0.3">
      <c r="B169" s="6"/>
      <c r="C169" s="240" t="s">
        <v>147</v>
      </c>
      <c r="D169" s="301">
        <v>0</v>
      </c>
      <c r="E169" s="271">
        <f t="shared" si="8"/>
        <v>0</v>
      </c>
      <c r="F169" s="301">
        <v>0</v>
      </c>
      <c r="G169" s="271">
        <f t="shared" si="9"/>
        <v>0</v>
      </c>
      <c r="H169" s="301">
        <v>0</v>
      </c>
      <c r="I169" s="271">
        <f t="shared" si="10"/>
        <v>0</v>
      </c>
      <c r="J169" s="301">
        <v>0</v>
      </c>
      <c r="K169" s="272">
        <f t="shared" si="11"/>
        <v>0</v>
      </c>
    </row>
    <row r="170" spans="2:11" hidden="1" outlineLevel="1" x14ac:dyDescent="0.3">
      <c r="B170" s="6"/>
      <c r="C170" s="240" t="s">
        <v>148</v>
      </c>
      <c r="D170" s="301">
        <v>0</v>
      </c>
      <c r="E170" s="271">
        <f t="shared" si="8"/>
        <v>0</v>
      </c>
      <c r="F170" s="301">
        <v>0</v>
      </c>
      <c r="G170" s="271">
        <f t="shared" si="9"/>
        <v>0</v>
      </c>
      <c r="H170" s="301">
        <v>0</v>
      </c>
      <c r="I170" s="271">
        <f t="shared" si="10"/>
        <v>0</v>
      </c>
      <c r="J170" s="301">
        <v>0</v>
      </c>
      <c r="K170" s="272">
        <f t="shared" si="11"/>
        <v>0</v>
      </c>
    </row>
    <row r="171" spans="2:11" hidden="1" outlineLevel="1" x14ac:dyDescent="0.3">
      <c r="B171" s="6"/>
      <c r="C171" s="240" t="s">
        <v>149</v>
      </c>
      <c r="D171" s="301">
        <v>0</v>
      </c>
      <c r="E171" s="271">
        <f t="shared" si="8"/>
        <v>0</v>
      </c>
      <c r="F171" s="301">
        <v>0</v>
      </c>
      <c r="G171" s="271">
        <f t="shared" si="9"/>
        <v>0</v>
      </c>
      <c r="H171" s="301">
        <v>0</v>
      </c>
      <c r="I171" s="271">
        <f t="shared" si="10"/>
        <v>0</v>
      </c>
      <c r="J171" s="301">
        <v>0</v>
      </c>
      <c r="K171" s="272">
        <f t="shared" si="11"/>
        <v>0</v>
      </c>
    </row>
    <row r="172" spans="2:11" hidden="1" outlineLevel="1" x14ac:dyDescent="0.3">
      <c r="B172" s="6"/>
      <c r="C172" s="240" t="s">
        <v>150</v>
      </c>
      <c r="D172" s="301">
        <v>0</v>
      </c>
      <c r="E172" s="271">
        <f t="shared" si="8"/>
        <v>0</v>
      </c>
      <c r="F172" s="301">
        <v>0</v>
      </c>
      <c r="G172" s="271">
        <f t="shared" si="9"/>
        <v>0</v>
      </c>
      <c r="H172" s="301">
        <v>0</v>
      </c>
      <c r="I172" s="271">
        <f t="shared" si="10"/>
        <v>0</v>
      </c>
      <c r="J172" s="301">
        <v>0</v>
      </c>
      <c r="K172" s="272">
        <f t="shared" si="11"/>
        <v>0</v>
      </c>
    </row>
    <row r="173" spans="2:11" hidden="1" outlineLevel="1" x14ac:dyDescent="0.3">
      <c r="B173" s="6"/>
      <c r="C173" s="240" t="s">
        <v>151</v>
      </c>
      <c r="D173" s="301">
        <v>0</v>
      </c>
      <c r="E173" s="271">
        <f t="shared" si="8"/>
        <v>0</v>
      </c>
      <c r="F173" s="301">
        <v>0</v>
      </c>
      <c r="G173" s="271">
        <f t="shared" si="9"/>
        <v>0</v>
      </c>
      <c r="H173" s="301">
        <v>0</v>
      </c>
      <c r="I173" s="271">
        <f t="shared" si="10"/>
        <v>0</v>
      </c>
      <c r="J173" s="301">
        <v>0</v>
      </c>
      <c r="K173" s="272">
        <f t="shared" si="11"/>
        <v>0</v>
      </c>
    </row>
    <row r="174" spans="2:11" hidden="1" outlineLevel="1" x14ac:dyDescent="0.3">
      <c r="B174" s="6"/>
      <c r="C174" s="240" t="s">
        <v>152</v>
      </c>
      <c r="D174" s="301">
        <v>0</v>
      </c>
      <c r="E174" s="271">
        <f t="shared" si="8"/>
        <v>0</v>
      </c>
      <c r="F174" s="301">
        <v>0</v>
      </c>
      <c r="G174" s="271">
        <f t="shared" si="9"/>
        <v>0</v>
      </c>
      <c r="H174" s="301">
        <v>0</v>
      </c>
      <c r="I174" s="271">
        <f t="shared" si="10"/>
        <v>0</v>
      </c>
      <c r="J174" s="301">
        <v>0</v>
      </c>
      <c r="K174" s="272">
        <f t="shared" si="11"/>
        <v>0</v>
      </c>
    </row>
    <row r="175" spans="2:11" hidden="1" outlineLevel="1" x14ac:dyDescent="0.3">
      <c r="B175" s="6"/>
      <c r="C175" s="303" t="s">
        <v>153</v>
      </c>
      <c r="D175" s="301">
        <v>0</v>
      </c>
      <c r="E175" s="271">
        <f t="shared" si="8"/>
        <v>0</v>
      </c>
      <c r="F175" s="301">
        <v>0</v>
      </c>
      <c r="G175" s="271">
        <f t="shared" si="9"/>
        <v>0</v>
      </c>
      <c r="H175" s="301">
        <v>0</v>
      </c>
      <c r="I175" s="271">
        <f t="shared" si="10"/>
        <v>0</v>
      </c>
      <c r="J175" s="301">
        <v>0</v>
      </c>
      <c r="K175" s="272">
        <f t="shared" si="11"/>
        <v>0</v>
      </c>
    </row>
    <row r="176" spans="2:11" hidden="1" outlineLevel="1" x14ac:dyDescent="0.3">
      <c r="B176" s="6"/>
      <c r="C176" s="303" t="s">
        <v>153</v>
      </c>
      <c r="D176" s="301">
        <v>0</v>
      </c>
      <c r="E176" s="271">
        <f t="shared" si="8"/>
        <v>0</v>
      </c>
      <c r="F176" s="301">
        <v>0</v>
      </c>
      <c r="G176" s="271">
        <f t="shared" si="9"/>
        <v>0</v>
      </c>
      <c r="H176" s="301">
        <v>0</v>
      </c>
      <c r="I176" s="271">
        <f t="shared" si="10"/>
        <v>0</v>
      </c>
      <c r="J176" s="301">
        <v>0</v>
      </c>
      <c r="K176" s="272">
        <f t="shared" si="11"/>
        <v>0</v>
      </c>
    </row>
    <row r="177" spans="2:11" hidden="1" outlineLevel="1" x14ac:dyDescent="0.3">
      <c r="B177" s="19"/>
      <c r="C177" s="303" t="s">
        <v>153</v>
      </c>
      <c r="D177" s="301">
        <v>0</v>
      </c>
      <c r="E177" s="271">
        <f t="shared" si="8"/>
        <v>0</v>
      </c>
      <c r="F177" s="301">
        <v>0</v>
      </c>
      <c r="G177" s="271">
        <f t="shared" si="9"/>
        <v>0</v>
      </c>
      <c r="H177" s="301">
        <v>0</v>
      </c>
      <c r="I177" s="271">
        <f t="shared" si="10"/>
        <v>0</v>
      </c>
      <c r="J177" s="301">
        <v>0</v>
      </c>
      <c r="K177" s="272">
        <f t="shared" si="11"/>
        <v>0</v>
      </c>
    </row>
    <row r="178" spans="2:11" hidden="1" outlineLevel="1" x14ac:dyDescent="0.3">
      <c r="B178" s="6"/>
      <c r="C178" s="303" t="s">
        <v>153</v>
      </c>
      <c r="D178" s="302">
        <v>0</v>
      </c>
      <c r="E178" s="271">
        <f t="shared" si="8"/>
        <v>0</v>
      </c>
      <c r="F178" s="302">
        <v>0</v>
      </c>
      <c r="G178" s="271">
        <f t="shared" si="9"/>
        <v>0</v>
      </c>
      <c r="H178" s="302">
        <v>0</v>
      </c>
      <c r="I178" s="271">
        <f t="shared" si="10"/>
        <v>0</v>
      </c>
      <c r="J178" s="302">
        <v>0</v>
      </c>
      <c r="K178" s="272">
        <f t="shared" si="11"/>
        <v>0</v>
      </c>
    </row>
    <row r="179" spans="2:11" hidden="1" outlineLevel="1" x14ac:dyDescent="0.3">
      <c r="B179" s="6"/>
      <c r="C179" s="274" t="s">
        <v>154</v>
      </c>
      <c r="D179" s="273">
        <f>SUM(D166:D178)</f>
        <v>0</v>
      </c>
      <c r="E179" s="271">
        <f t="shared" si="8"/>
        <v>0</v>
      </c>
      <c r="F179" s="273">
        <f>SUM(F166:F178)</f>
        <v>0</v>
      </c>
      <c r="G179" s="271">
        <f t="shared" si="9"/>
        <v>0</v>
      </c>
      <c r="H179" s="273">
        <f>SUM(H166:H178)</f>
        <v>0</v>
      </c>
      <c r="I179" s="271">
        <f t="shared" si="10"/>
        <v>0</v>
      </c>
      <c r="J179" s="273">
        <f>SUM(J166:J178)</f>
        <v>0</v>
      </c>
      <c r="K179" s="272">
        <f t="shared" si="11"/>
        <v>0</v>
      </c>
    </row>
    <row r="180" spans="2:11" hidden="1" outlineLevel="1" x14ac:dyDescent="0.3">
      <c r="B180" s="6"/>
      <c r="C180" s="274"/>
      <c r="D180" s="275"/>
      <c r="E180" s="276"/>
      <c r="F180" s="275"/>
      <c r="G180" s="276"/>
      <c r="H180" s="275"/>
      <c r="I180" s="276"/>
      <c r="J180" s="275"/>
      <c r="K180" s="277"/>
    </row>
    <row r="181" spans="2:11" hidden="1" outlineLevel="1" x14ac:dyDescent="0.3">
      <c r="B181" s="6"/>
      <c r="C181" s="274" t="s">
        <v>155</v>
      </c>
      <c r="D181" s="273">
        <f>D164-D179</f>
        <v>0</v>
      </c>
      <c r="E181" s="271">
        <f>IF(D$162=0,0,D181/D$162)</f>
        <v>0</v>
      </c>
      <c r="F181" s="273">
        <f>F164-F179</f>
        <v>0</v>
      </c>
      <c r="G181" s="271">
        <f>IF(F$162=0,0,F181/F$162)</f>
        <v>0</v>
      </c>
      <c r="H181" s="273">
        <f>H164-H179</f>
        <v>0</v>
      </c>
      <c r="I181" s="271">
        <f>IF(H$162=0,0,H181/H$162)</f>
        <v>0</v>
      </c>
      <c r="J181" s="273">
        <f>J164-J179</f>
        <v>0</v>
      </c>
      <c r="K181" s="272">
        <f>IF(J$162=0,0,J181/J$162)</f>
        <v>0</v>
      </c>
    </row>
    <row r="182" spans="2:11" hidden="1" outlineLevel="1" x14ac:dyDescent="0.3">
      <c r="B182" s="6"/>
      <c r="C182" s="274"/>
      <c r="D182" s="275"/>
      <c r="E182" s="276"/>
      <c r="F182" s="275"/>
      <c r="G182" s="276"/>
      <c r="H182" s="275"/>
      <c r="I182" s="276"/>
      <c r="J182" s="275"/>
      <c r="K182" s="277"/>
    </row>
    <row r="183" spans="2:11" hidden="1" outlineLevel="1" x14ac:dyDescent="0.3">
      <c r="B183" s="6"/>
      <c r="C183" s="240" t="s">
        <v>450</v>
      </c>
      <c r="D183" s="300">
        <v>0</v>
      </c>
      <c r="E183" s="271">
        <f>IF(D$162=0,0,D183/D$162)</f>
        <v>0</v>
      </c>
      <c r="F183" s="300">
        <v>0</v>
      </c>
      <c r="G183" s="271">
        <f>IF(F$162=0,0,F183/F$162)</f>
        <v>0</v>
      </c>
      <c r="H183" s="300">
        <v>0</v>
      </c>
      <c r="I183" s="271">
        <f>IF(H$162=0,0,H183/H$162)</f>
        <v>0</v>
      </c>
      <c r="J183" s="300">
        <v>0</v>
      </c>
      <c r="K183" s="272">
        <f>IF(J$162=0,0,J183/J$162)</f>
        <v>0</v>
      </c>
    </row>
    <row r="184" spans="2:11" hidden="1" outlineLevel="1" x14ac:dyDescent="0.3">
      <c r="B184" s="6"/>
      <c r="C184" s="240" t="s">
        <v>450</v>
      </c>
      <c r="D184" s="301">
        <v>0</v>
      </c>
      <c r="E184" s="271">
        <f>IF(D$162=0,0,D184/D$162)</f>
        <v>0</v>
      </c>
      <c r="F184" s="301">
        <v>0</v>
      </c>
      <c r="G184" s="271">
        <f>IF(F$162=0,0,F184/F$162)</f>
        <v>0</v>
      </c>
      <c r="H184" s="301">
        <v>0</v>
      </c>
      <c r="I184" s="271">
        <f>IF(H$162=0,0,H184/H$162)</f>
        <v>0</v>
      </c>
      <c r="J184" s="301">
        <v>0</v>
      </c>
      <c r="K184" s="272">
        <f>IF(J$162=0,0,J184/J$162)</f>
        <v>0</v>
      </c>
    </row>
    <row r="185" spans="2:11" hidden="1" outlineLevel="1" x14ac:dyDescent="0.3">
      <c r="B185" s="6"/>
      <c r="C185" s="274" t="s">
        <v>157</v>
      </c>
      <c r="D185" s="273">
        <f>SUM(D183:D184)</f>
        <v>0</v>
      </c>
      <c r="E185" s="271">
        <f>IF(D$162=0,0,D185/D$162)</f>
        <v>0</v>
      </c>
      <c r="F185" s="273">
        <f>SUM(F183:F184)</f>
        <v>0</v>
      </c>
      <c r="G185" s="271">
        <f>IF(F$162=0,0,F185/F$162)</f>
        <v>0</v>
      </c>
      <c r="H185" s="273">
        <f>SUM(H183:H184)</f>
        <v>0</v>
      </c>
      <c r="I185" s="271">
        <f>IF(H$162=0,0,H185/H$162)</f>
        <v>0</v>
      </c>
      <c r="J185" s="273">
        <f>SUM(J183:J184)</f>
        <v>0</v>
      </c>
      <c r="K185" s="272">
        <f>IF(J$162=0,0,J185/J$162)</f>
        <v>0</v>
      </c>
    </row>
    <row r="186" spans="2:11" hidden="1" outlineLevel="1" x14ac:dyDescent="0.3">
      <c r="B186" s="6"/>
      <c r="C186" s="274"/>
      <c r="D186" s="275"/>
      <c r="E186" s="276"/>
      <c r="F186" s="275"/>
      <c r="G186" s="276"/>
      <c r="H186" s="275"/>
      <c r="I186" s="276"/>
      <c r="J186" s="275"/>
      <c r="K186" s="278"/>
    </row>
    <row r="187" spans="2:11" hidden="1" outlineLevel="1" x14ac:dyDescent="0.3">
      <c r="B187" s="6"/>
      <c r="C187" s="274" t="s">
        <v>158</v>
      </c>
      <c r="D187" s="273">
        <f>D164-D179+D185</f>
        <v>0</v>
      </c>
      <c r="E187" s="271">
        <f>IF(D$162=0,0,D187/D$162)</f>
        <v>0</v>
      </c>
      <c r="F187" s="273">
        <f>F164-F179+F185</f>
        <v>0</v>
      </c>
      <c r="G187" s="271">
        <f>IF(F$162=0,0,F187/F$162)</f>
        <v>0</v>
      </c>
      <c r="H187" s="273">
        <f>H164-H179+H185</f>
        <v>0</v>
      </c>
      <c r="I187" s="271">
        <f>IF(H$162=0,0,H187/H$162)</f>
        <v>0</v>
      </c>
      <c r="J187" s="273">
        <f>J164-J179+J185</f>
        <v>0</v>
      </c>
      <c r="K187" s="272">
        <f>IF(J$162=0,0,J187/J$162)</f>
        <v>0</v>
      </c>
    </row>
    <row r="188" spans="2:11" hidden="1" outlineLevel="1" x14ac:dyDescent="0.3">
      <c r="B188" s="6"/>
      <c r="C188" s="274" t="s">
        <v>159</v>
      </c>
      <c r="D188" s="273">
        <v>0</v>
      </c>
      <c r="E188" s="271">
        <f>IF(D$162=0,0,D188/D$162)</f>
        <v>0</v>
      </c>
      <c r="F188" s="273">
        <v>0</v>
      </c>
      <c r="G188" s="271">
        <f>IF(F$162=0,0,F188/F$162)</f>
        <v>0</v>
      </c>
      <c r="H188" s="273">
        <v>0</v>
      </c>
      <c r="I188" s="271">
        <f>IF(H$162=0,0,H188/H$162)</f>
        <v>0</v>
      </c>
      <c r="J188" s="273">
        <v>0</v>
      </c>
      <c r="K188" s="272">
        <f>IF(J$162=0,0,J188/J$162)</f>
        <v>0</v>
      </c>
    </row>
    <row r="189" spans="2:11" hidden="1" outlineLevel="1" x14ac:dyDescent="0.3">
      <c r="B189" s="6"/>
      <c r="C189" s="279"/>
      <c r="D189" s="275"/>
      <c r="E189" s="276"/>
      <c r="F189" s="275"/>
      <c r="G189" s="276"/>
      <c r="H189" s="275"/>
      <c r="I189" s="276"/>
      <c r="J189" s="275"/>
      <c r="K189" s="280"/>
    </row>
    <row r="190" spans="2:11" hidden="1" outlineLevel="1" x14ac:dyDescent="0.3">
      <c r="B190" s="6"/>
      <c r="C190" s="274" t="s">
        <v>160</v>
      </c>
      <c r="D190" s="273">
        <f>D187-D188</f>
        <v>0</v>
      </c>
      <c r="E190" s="271">
        <f>IF(D$162=0,0,D190/D$162)</f>
        <v>0</v>
      </c>
      <c r="F190" s="273">
        <f>F187-F188</f>
        <v>0</v>
      </c>
      <c r="G190" s="271">
        <f>IF(F$162=0,0,F190/F$162)</f>
        <v>0</v>
      </c>
      <c r="H190" s="273">
        <f>H187-H188</f>
        <v>0</v>
      </c>
      <c r="I190" s="271">
        <f>IF(H$162=0,0,H190/H$162)</f>
        <v>0</v>
      </c>
      <c r="J190" s="273">
        <f>J187-J188</f>
        <v>0</v>
      </c>
      <c r="K190" s="272">
        <f>IF(J$162=0,0,J190/J$162)</f>
        <v>0</v>
      </c>
    </row>
    <row r="191" spans="2:11" hidden="1" outlineLevel="1" x14ac:dyDescent="0.3">
      <c r="B191" s="6"/>
      <c r="C191" s="240"/>
      <c r="D191" s="281"/>
      <c r="E191" s="282"/>
      <c r="F191" s="281"/>
      <c r="G191" s="282"/>
      <c r="H191" s="281"/>
      <c r="I191" s="282"/>
      <c r="J191" s="281"/>
      <c r="K191" s="283"/>
    </row>
    <row r="192" spans="2:11" hidden="1" outlineLevel="1" x14ac:dyDescent="0.3">
      <c r="B192" s="6"/>
      <c r="C192" s="284" t="s">
        <v>396</v>
      </c>
      <c r="D192" s="1"/>
      <c r="E192" s="1"/>
      <c r="F192" s="1"/>
      <c r="G192" s="1"/>
      <c r="H192" s="1"/>
      <c r="I192" s="1"/>
      <c r="J192" s="1"/>
      <c r="K192" s="4"/>
    </row>
    <row r="193" spans="2:11" hidden="1" outlineLevel="1" x14ac:dyDescent="0.3">
      <c r="B193" s="6"/>
      <c r="C193" s="285" t="s">
        <v>385</v>
      </c>
      <c r="D193" s="300">
        <f>D166</f>
        <v>0</v>
      </c>
      <c r="E193" s="1"/>
      <c r="F193" s="300">
        <f>F166</f>
        <v>0</v>
      </c>
      <c r="G193" s="1"/>
      <c r="H193" s="300">
        <f>H166</f>
        <v>0</v>
      </c>
      <c r="I193" s="1"/>
      <c r="J193" s="300">
        <f>J166</f>
        <v>0</v>
      </c>
      <c r="K193" s="4"/>
    </row>
    <row r="194" spans="2:11" hidden="1" outlineLevel="1" x14ac:dyDescent="0.3">
      <c r="B194" s="6"/>
      <c r="C194" s="286" t="s">
        <v>386</v>
      </c>
      <c r="D194" s="301">
        <f>D173</f>
        <v>0</v>
      </c>
      <c r="E194" s="1"/>
      <c r="F194" s="301">
        <f>F173</f>
        <v>0</v>
      </c>
      <c r="G194" s="1"/>
      <c r="H194" s="301">
        <f>H173</f>
        <v>0</v>
      </c>
      <c r="I194" s="1"/>
      <c r="J194" s="301">
        <f>J173</f>
        <v>0</v>
      </c>
      <c r="K194" s="4"/>
    </row>
    <row r="195" spans="2:11" hidden="1" outlineLevel="1" x14ac:dyDescent="0.3">
      <c r="B195" s="6"/>
      <c r="C195" s="286" t="s">
        <v>387</v>
      </c>
      <c r="D195" s="301">
        <f>D172</f>
        <v>0</v>
      </c>
      <c r="E195" s="1"/>
      <c r="F195" s="301">
        <f>F172</f>
        <v>0</v>
      </c>
      <c r="G195" s="1"/>
      <c r="H195" s="301">
        <f>H172</f>
        <v>0</v>
      </c>
      <c r="I195" s="1"/>
      <c r="J195" s="301">
        <f>J172</f>
        <v>0</v>
      </c>
      <c r="K195" s="4"/>
    </row>
    <row r="196" spans="2:11" hidden="1" outlineLevel="1" x14ac:dyDescent="0.3">
      <c r="B196" s="6"/>
      <c r="C196" s="286" t="s">
        <v>397</v>
      </c>
      <c r="D196" s="301">
        <v>0</v>
      </c>
      <c r="E196" s="1"/>
      <c r="F196" s="301">
        <v>0</v>
      </c>
      <c r="G196" s="1"/>
      <c r="H196" s="301">
        <v>0</v>
      </c>
      <c r="I196" s="1"/>
      <c r="J196" s="301">
        <v>0</v>
      </c>
      <c r="K196" s="4"/>
    </row>
    <row r="197" spans="2:11" hidden="1" outlineLevel="1" x14ac:dyDescent="0.3">
      <c r="B197" s="6"/>
      <c r="C197" s="304" t="s">
        <v>153</v>
      </c>
      <c r="D197" s="301">
        <v>0</v>
      </c>
      <c r="E197" s="1"/>
      <c r="F197" s="301">
        <v>0</v>
      </c>
      <c r="G197" s="1"/>
      <c r="H197" s="301">
        <v>0</v>
      </c>
      <c r="I197" s="1"/>
      <c r="J197" s="301">
        <v>0</v>
      </c>
      <c r="K197" s="4"/>
    </row>
    <row r="198" spans="2:11" hidden="1" outlineLevel="1" x14ac:dyDescent="0.3">
      <c r="B198" s="6"/>
      <c r="C198" s="304" t="s">
        <v>153</v>
      </c>
      <c r="D198" s="301">
        <v>0</v>
      </c>
      <c r="E198" s="1"/>
      <c r="F198" s="301">
        <v>0</v>
      </c>
      <c r="G198" s="1"/>
      <c r="H198" s="301">
        <v>0</v>
      </c>
      <c r="I198" s="1"/>
      <c r="J198" s="301">
        <v>0</v>
      </c>
      <c r="K198" s="4"/>
    </row>
    <row r="199" spans="2:11" hidden="1" outlineLevel="1" x14ac:dyDescent="0.3">
      <c r="B199" s="6"/>
      <c r="C199" s="286" t="s">
        <v>388</v>
      </c>
      <c r="D199" s="301">
        <v>0</v>
      </c>
      <c r="E199" s="1"/>
      <c r="F199" s="301">
        <v>0</v>
      </c>
      <c r="G199" s="1"/>
      <c r="H199" s="301">
        <v>0</v>
      </c>
      <c r="I199" s="1"/>
      <c r="J199" s="301">
        <v>0</v>
      </c>
      <c r="K199" s="4"/>
    </row>
    <row r="200" spans="2:11" hidden="1" outlineLevel="1" x14ac:dyDescent="0.3">
      <c r="B200" s="6"/>
      <c r="C200" s="286" t="s">
        <v>389</v>
      </c>
      <c r="D200" s="302">
        <v>0</v>
      </c>
      <c r="E200" s="1"/>
      <c r="F200" s="302">
        <v>0</v>
      </c>
      <c r="G200" s="1"/>
      <c r="H200" s="302">
        <v>0</v>
      </c>
      <c r="I200" s="1"/>
      <c r="J200" s="302">
        <v>0</v>
      </c>
      <c r="K200" s="4"/>
    </row>
    <row r="201" spans="2:11" hidden="1" outlineLevel="1" x14ac:dyDescent="0.3">
      <c r="B201" s="6"/>
      <c r="C201" s="286"/>
      <c r="D201" s="1"/>
      <c r="E201" s="1"/>
      <c r="F201" s="1"/>
      <c r="G201" s="1"/>
      <c r="H201" s="1"/>
      <c r="I201" s="1"/>
      <c r="J201" s="1"/>
      <c r="K201" s="4"/>
    </row>
    <row r="202" spans="2:11" hidden="1" outlineLevel="1" x14ac:dyDescent="0.3">
      <c r="B202" s="6"/>
      <c r="C202" s="286" t="s">
        <v>162</v>
      </c>
      <c r="D202" s="287">
        <f>D190+SUM(D193:D200)</f>
        <v>0</v>
      </c>
      <c r="E202" s="288"/>
      <c r="F202" s="287">
        <f>F190+SUM(F193:F200)</f>
        <v>0</v>
      </c>
      <c r="G202" s="288"/>
      <c r="H202" s="287">
        <f>H190+SUM(H193:H200)</f>
        <v>0</v>
      </c>
      <c r="I202" s="288"/>
      <c r="J202" s="287">
        <f>J190+SUM(J193:J200)</f>
        <v>0</v>
      </c>
      <c r="K202" s="4"/>
    </row>
    <row r="203" spans="2:11" hidden="1" outlineLevel="1" x14ac:dyDescent="0.3">
      <c r="B203" s="6"/>
      <c r="C203" s="286"/>
      <c r="D203" s="1"/>
      <c r="E203" s="1"/>
      <c r="F203" s="1"/>
      <c r="G203" s="1"/>
      <c r="H203" s="1"/>
      <c r="I203" s="1"/>
      <c r="J203" s="1"/>
      <c r="K203" s="4"/>
    </row>
    <row r="204" spans="2:11" hidden="1" outlineLevel="1" x14ac:dyDescent="0.3">
      <c r="B204" s="6"/>
      <c r="C204" s="240" t="s">
        <v>177</v>
      </c>
      <c r="D204" s="305">
        <v>0</v>
      </c>
      <c r="E204" s="1"/>
      <c r="F204" s="305">
        <v>0</v>
      </c>
      <c r="G204" s="1"/>
      <c r="H204" s="305">
        <v>0</v>
      </c>
      <c r="I204" s="1"/>
      <c r="J204" s="305">
        <v>0</v>
      </c>
      <c r="K204" s="4"/>
    </row>
    <row r="205" spans="2:11" hidden="1" outlineLevel="1" x14ac:dyDescent="0.3">
      <c r="B205" s="6"/>
      <c r="C205" s="240" t="s">
        <v>163</v>
      </c>
      <c r="D205" s="289">
        <f>D204*D158</f>
        <v>0</v>
      </c>
      <c r="E205" s="1"/>
      <c r="F205" s="289">
        <f>F204*F158</f>
        <v>0</v>
      </c>
      <c r="G205" s="1"/>
      <c r="H205" s="289">
        <f>H204*H158</f>
        <v>0</v>
      </c>
      <c r="I205" s="1"/>
      <c r="J205" s="289">
        <f>J204*J158</f>
        <v>0</v>
      </c>
      <c r="K205" s="4"/>
    </row>
    <row r="206" spans="2:11" hidden="1" outlineLevel="1" x14ac:dyDescent="0.3">
      <c r="B206" s="6"/>
      <c r="C206" s="240"/>
      <c r="D206" s="1"/>
      <c r="E206" s="1"/>
      <c r="F206" s="1"/>
      <c r="G206" s="1"/>
      <c r="H206" s="1"/>
      <c r="I206" s="1"/>
      <c r="J206" s="1"/>
      <c r="K206" s="4"/>
    </row>
    <row r="207" spans="2:11" hidden="1" outlineLevel="1" x14ac:dyDescent="0.3">
      <c r="B207" s="6"/>
      <c r="C207" s="274" t="s">
        <v>165</v>
      </c>
      <c r="D207" s="290">
        <f>IFERROR(D202/D205,0)</f>
        <v>0</v>
      </c>
      <c r="E207" s="1"/>
      <c r="F207" s="290">
        <f>IFERROR(F202/F205,0)</f>
        <v>0</v>
      </c>
      <c r="G207" s="1"/>
      <c r="H207" s="290">
        <f>IFERROR(H202/H205,0)</f>
        <v>0</v>
      </c>
      <c r="I207" s="1"/>
      <c r="J207" s="290">
        <f>IFERROR(J202/J205,0)</f>
        <v>0</v>
      </c>
      <c r="K207" s="4"/>
    </row>
    <row r="208" spans="2:11" ht="15" hidden="1" outlineLevel="1" thickBot="1" x14ac:dyDescent="0.35">
      <c r="B208" s="1285"/>
      <c r="C208" s="1286"/>
      <c r="D208" s="1286"/>
      <c r="E208" s="33"/>
      <c r="F208" s="33"/>
      <c r="G208" s="33"/>
      <c r="H208" s="33"/>
      <c r="I208" s="33"/>
      <c r="J208" s="33"/>
      <c r="K208" s="7"/>
    </row>
    <row r="209" spans="2:11" ht="15" collapsed="1" thickBot="1" x14ac:dyDescent="0.35">
      <c r="B209" s="291"/>
      <c r="C209" s="291"/>
      <c r="D209" s="291"/>
      <c r="E209" s="292"/>
      <c r="F209" s="292"/>
      <c r="G209" s="292"/>
      <c r="H209" s="292"/>
      <c r="I209" s="292"/>
      <c r="J209" s="292"/>
      <c r="K209" s="292"/>
    </row>
    <row r="210" spans="2:11" ht="16.2" thickBot="1" x14ac:dyDescent="0.35">
      <c r="B210" s="227" t="s">
        <v>109</v>
      </c>
      <c r="C210" s="228"/>
      <c r="D210" s="228"/>
      <c r="E210" s="228"/>
      <c r="F210" s="228"/>
      <c r="G210" s="228"/>
      <c r="H210" s="228"/>
      <c r="I210" s="228"/>
      <c r="J210" s="228"/>
      <c r="K210" s="229"/>
    </row>
    <row r="211" spans="2:11" ht="16.2" thickBot="1" x14ac:dyDescent="0.35">
      <c r="B211" s="1290" t="s">
        <v>180</v>
      </c>
      <c r="C211" s="1291"/>
      <c r="D211" s="1291"/>
      <c r="E211" s="1291"/>
      <c r="F211" s="1291"/>
      <c r="G211" s="1291"/>
      <c r="H211" s="1291"/>
      <c r="I211" s="1292"/>
      <c r="J211" s="255" t="s">
        <v>129</v>
      </c>
      <c r="K211" s="296" t="s">
        <v>43</v>
      </c>
    </row>
    <row r="212" spans="2:11" hidden="1" outlineLevel="1" x14ac:dyDescent="0.3">
      <c r="B212" s="256"/>
      <c r="C212" s="257"/>
      <c r="D212" s="258"/>
      <c r="E212" s="258"/>
      <c r="F212" s="258"/>
      <c r="G212" s="258"/>
      <c r="H212" s="258"/>
      <c r="I212" s="258"/>
      <c r="J212" s="258"/>
      <c r="K212" s="259"/>
    </row>
    <row r="213" spans="2:11" hidden="1" outlineLevel="1" x14ac:dyDescent="0.3">
      <c r="B213" s="260" t="s">
        <v>132</v>
      </c>
      <c r="C213" s="29"/>
      <c r="D213" s="297">
        <f>'BDO Prequal'!$D$99</f>
        <v>45291</v>
      </c>
      <c r="E213" s="261"/>
      <c r="F213" s="297">
        <f>EOMONTH(D213,F214)</f>
        <v>45657</v>
      </c>
      <c r="G213" s="261"/>
      <c r="H213" s="297">
        <f>EOMONTH(F213,H214)</f>
        <v>46022</v>
      </c>
      <c r="I213" s="261"/>
      <c r="J213" s="297">
        <f>EOMONTH(H213,J214)</f>
        <v>46112</v>
      </c>
      <c r="K213" s="4"/>
    </row>
    <row r="214" spans="2:11" hidden="1" outlineLevel="1" x14ac:dyDescent="0.3">
      <c r="B214" s="260" t="s">
        <v>134</v>
      </c>
      <c r="C214" s="29"/>
      <c r="D214" s="298">
        <v>12</v>
      </c>
      <c r="E214" s="262"/>
      <c r="F214" s="298">
        <v>12</v>
      </c>
      <c r="G214" s="262"/>
      <c r="H214" s="298">
        <v>12</v>
      </c>
      <c r="I214" s="262"/>
      <c r="J214" s="298">
        <v>3</v>
      </c>
      <c r="K214" s="263"/>
    </row>
    <row r="215" spans="2:11" hidden="1" outlineLevel="1" x14ac:dyDescent="0.3">
      <c r="B215" s="260" t="s">
        <v>136</v>
      </c>
      <c r="C215" s="29"/>
      <c r="D215" s="299" t="s">
        <v>137</v>
      </c>
      <c r="E215" s="264"/>
      <c r="F215" s="299" t="s">
        <v>137</v>
      </c>
      <c r="G215" s="264"/>
      <c r="H215" s="299"/>
      <c r="I215" s="264"/>
      <c r="J215" s="299" t="s">
        <v>138</v>
      </c>
      <c r="K215" s="263"/>
    </row>
    <row r="216" spans="2:11" hidden="1" outlineLevel="1" x14ac:dyDescent="0.3">
      <c r="B216" s="260" t="s">
        <v>140</v>
      </c>
      <c r="C216" s="29"/>
      <c r="D216" s="299"/>
      <c r="E216" s="264"/>
      <c r="F216" s="299"/>
      <c r="G216" s="264"/>
      <c r="H216" s="299"/>
      <c r="I216" s="264"/>
      <c r="J216" s="299"/>
      <c r="K216" s="263"/>
    </row>
    <row r="217" spans="2:11" hidden="1" outlineLevel="1" x14ac:dyDescent="0.3">
      <c r="B217" s="265"/>
      <c r="C217" s="266"/>
      <c r="D217" s="267"/>
      <c r="E217" s="268"/>
      <c r="F217" s="267"/>
      <c r="G217" s="268"/>
      <c r="H217" s="267"/>
      <c r="I217" s="268"/>
      <c r="J217" s="269">
        <f>(J218/J214)*12</f>
        <v>0</v>
      </c>
      <c r="K217" s="270"/>
    </row>
    <row r="218" spans="2:11" hidden="1" outlineLevel="1" x14ac:dyDescent="0.3">
      <c r="B218" s="19"/>
      <c r="C218" s="240" t="s">
        <v>141</v>
      </c>
      <c r="D218" s="300">
        <v>0</v>
      </c>
      <c r="E218" s="271">
        <f>IF(D$218=0,0,D218/D$218)</f>
        <v>0</v>
      </c>
      <c r="F218" s="300">
        <v>0</v>
      </c>
      <c r="G218" s="271">
        <f>IF(F$218=0,0,F218/F$218)</f>
        <v>0</v>
      </c>
      <c r="H218" s="300">
        <v>0</v>
      </c>
      <c r="I218" s="271">
        <f>IF(H$218=0,0,H218/H$218)</f>
        <v>0</v>
      </c>
      <c r="J218" s="300">
        <v>0</v>
      </c>
      <c r="K218" s="272">
        <f>IF(J$218=0,0,J218/J$218)</f>
        <v>0</v>
      </c>
    </row>
    <row r="219" spans="2:11" hidden="1" outlineLevel="1" x14ac:dyDescent="0.3">
      <c r="B219" s="6"/>
      <c r="C219" s="240" t="s">
        <v>142</v>
      </c>
      <c r="D219" s="301">
        <v>0</v>
      </c>
      <c r="E219" s="271">
        <f>IF(D$218=0,0,D219/D$218)</f>
        <v>0</v>
      </c>
      <c r="F219" s="301">
        <v>0</v>
      </c>
      <c r="G219" s="271">
        <f>IF(F$218=0,0,F219/F$218)</f>
        <v>0</v>
      </c>
      <c r="H219" s="301">
        <v>0</v>
      </c>
      <c r="I219" s="271">
        <f>IF(H$218=0,0,H219/H$218)</f>
        <v>0</v>
      </c>
      <c r="J219" s="301">
        <v>0</v>
      </c>
      <c r="K219" s="272">
        <f>IF(J$218=0,0,J219/J$218)</f>
        <v>0</v>
      </c>
    </row>
    <row r="220" spans="2:11" hidden="1" outlineLevel="1" x14ac:dyDescent="0.3">
      <c r="B220" s="6"/>
      <c r="C220" s="240" t="s">
        <v>143</v>
      </c>
      <c r="D220" s="273">
        <f>D218-D219</f>
        <v>0</v>
      </c>
      <c r="E220" s="271">
        <f>IF(D$218=0,0,D220/D$218)</f>
        <v>0</v>
      </c>
      <c r="F220" s="273">
        <f>F218-F219</f>
        <v>0</v>
      </c>
      <c r="G220" s="271">
        <f>IF(F$218=0,0,F220/F$218)</f>
        <v>0</v>
      </c>
      <c r="H220" s="273">
        <f>H218-H219</f>
        <v>0</v>
      </c>
      <c r="I220" s="271">
        <f>IF(H$218=0,0,H220/H$218)</f>
        <v>0</v>
      </c>
      <c r="J220" s="273">
        <f>J218-J219</f>
        <v>0</v>
      </c>
      <c r="K220" s="272">
        <f>IF(J$218=0,0,J220/J$218)</f>
        <v>0</v>
      </c>
    </row>
    <row r="221" spans="2:11" hidden="1" outlineLevel="1" x14ac:dyDescent="0.3">
      <c r="B221" s="6"/>
      <c r="C221" s="274"/>
      <c r="D221" s="275"/>
      <c r="E221" s="276"/>
      <c r="F221" s="275"/>
      <c r="G221" s="276"/>
      <c r="H221" s="275"/>
      <c r="I221" s="276"/>
      <c r="J221" s="275"/>
      <c r="K221" s="277"/>
    </row>
    <row r="222" spans="2:11" hidden="1" outlineLevel="1" x14ac:dyDescent="0.3">
      <c r="B222" s="6"/>
      <c r="C222" s="240" t="s">
        <v>144</v>
      </c>
      <c r="D222" s="300">
        <v>0</v>
      </c>
      <c r="E222" s="271">
        <f t="shared" ref="E222:E235" si="12">IF(D$218=0,0,D222/D$218)</f>
        <v>0</v>
      </c>
      <c r="F222" s="300">
        <v>0</v>
      </c>
      <c r="G222" s="271">
        <f t="shared" ref="G222:G235" si="13">IF(F$218=0,0,F222/F$218)</f>
        <v>0</v>
      </c>
      <c r="H222" s="300">
        <v>0</v>
      </c>
      <c r="I222" s="271">
        <f t="shared" ref="I222:I235" si="14">IF(H$218=0,0,H222/H$218)</f>
        <v>0</v>
      </c>
      <c r="J222" s="300">
        <v>0</v>
      </c>
      <c r="K222" s="272">
        <f t="shared" ref="K222:K235" si="15">IF(J$218=0,0,J222/J$218)</f>
        <v>0</v>
      </c>
    </row>
    <row r="223" spans="2:11" hidden="1" outlineLevel="1" x14ac:dyDescent="0.3">
      <c r="B223" s="6"/>
      <c r="C223" s="240" t="s">
        <v>145</v>
      </c>
      <c r="D223" s="301">
        <v>0</v>
      </c>
      <c r="E223" s="271">
        <f t="shared" si="12"/>
        <v>0</v>
      </c>
      <c r="F223" s="301">
        <v>0</v>
      </c>
      <c r="G223" s="271">
        <f t="shared" si="13"/>
        <v>0</v>
      </c>
      <c r="H223" s="301">
        <v>0</v>
      </c>
      <c r="I223" s="271">
        <f t="shared" si="14"/>
        <v>0</v>
      </c>
      <c r="J223" s="301">
        <v>0</v>
      </c>
      <c r="K223" s="272">
        <f t="shared" si="15"/>
        <v>0</v>
      </c>
    </row>
    <row r="224" spans="2:11" hidden="1" outlineLevel="1" x14ac:dyDescent="0.3">
      <c r="B224" s="6"/>
      <c r="C224" s="240" t="s">
        <v>146</v>
      </c>
      <c r="D224" s="301">
        <v>0</v>
      </c>
      <c r="E224" s="271">
        <f t="shared" si="12"/>
        <v>0</v>
      </c>
      <c r="F224" s="301">
        <v>0</v>
      </c>
      <c r="G224" s="271">
        <f t="shared" si="13"/>
        <v>0</v>
      </c>
      <c r="H224" s="301">
        <v>0</v>
      </c>
      <c r="I224" s="271">
        <f t="shared" si="14"/>
        <v>0</v>
      </c>
      <c r="J224" s="301">
        <v>0</v>
      </c>
      <c r="K224" s="272">
        <f t="shared" si="15"/>
        <v>0</v>
      </c>
    </row>
    <row r="225" spans="2:11" hidden="1" outlineLevel="1" x14ac:dyDescent="0.3">
      <c r="B225" s="6"/>
      <c r="C225" s="240" t="s">
        <v>147</v>
      </c>
      <c r="D225" s="301">
        <v>0</v>
      </c>
      <c r="E225" s="271">
        <f t="shared" si="12"/>
        <v>0</v>
      </c>
      <c r="F225" s="301">
        <v>0</v>
      </c>
      <c r="G225" s="271">
        <f t="shared" si="13"/>
        <v>0</v>
      </c>
      <c r="H225" s="301">
        <v>0</v>
      </c>
      <c r="I225" s="271">
        <f t="shared" si="14"/>
        <v>0</v>
      </c>
      <c r="J225" s="301">
        <v>0</v>
      </c>
      <c r="K225" s="272">
        <f t="shared" si="15"/>
        <v>0</v>
      </c>
    </row>
    <row r="226" spans="2:11" hidden="1" outlineLevel="1" x14ac:dyDescent="0.3">
      <c r="B226" s="6"/>
      <c r="C226" s="240" t="s">
        <v>148</v>
      </c>
      <c r="D226" s="301">
        <v>0</v>
      </c>
      <c r="E226" s="271">
        <f t="shared" si="12"/>
        <v>0</v>
      </c>
      <c r="F226" s="301">
        <v>0</v>
      </c>
      <c r="G226" s="271">
        <f t="shared" si="13"/>
        <v>0</v>
      </c>
      <c r="H226" s="301">
        <v>0</v>
      </c>
      <c r="I226" s="271">
        <f t="shared" si="14"/>
        <v>0</v>
      </c>
      <c r="J226" s="301">
        <v>0</v>
      </c>
      <c r="K226" s="272">
        <f t="shared" si="15"/>
        <v>0</v>
      </c>
    </row>
    <row r="227" spans="2:11" hidden="1" outlineLevel="1" x14ac:dyDescent="0.3">
      <c r="B227" s="6"/>
      <c r="C227" s="240" t="s">
        <v>149</v>
      </c>
      <c r="D227" s="301">
        <v>0</v>
      </c>
      <c r="E227" s="271">
        <f t="shared" si="12"/>
        <v>0</v>
      </c>
      <c r="F227" s="301">
        <v>0</v>
      </c>
      <c r="G227" s="271">
        <f t="shared" si="13"/>
        <v>0</v>
      </c>
      <c r="H227" s="301">
        <v>0</v>
      </c>
      <c r="I227" s="271">
        <f t="shared" si="14"/>
        <v>0</v>
      </c>
      <c r="J227" s="301">
        <v>0</v>
      </c>
      <c r="K227" s="272">
        <f t="shared" si="15"/>
        <v>0</v>
      </c>
    </row>
    <row r="228" spans="2:11" hidden="1" outlineLevel="1" x14ac:dyDescent="0.3">
      <c r="B228" s="6"/>
      <c r="C228" s="240" t="s">
        <v>150</v>
      </c>
      <c r="D228" s="301">
        <v>0</v>
      </c>
      <c r="E228" s="271">
        <f t="shared" si="12"/>
        <v>0</v>
      </c>
      <c r="F228" s="301">
        <v>0</v>
      </c>
      <c r="G228" s="271">
        <f t="shared" si="13"/>
        <v>0</v>
      </c>
      <c r="H228" s="301">
        <v>0</v>
      </c>
      <c r="I228" s="271">
        <f t="shared" si="14"/>
        <v>0</v>
      </c>
      <c r="J228" s="301">
        <v>0</v>
      </c>
      <c r="K228" s="272">
        <f t="shared" si="15"/>
        <v>0</v>
      </c>
    </row>
    <row r="229" spans="2:11" hidden="1" outlineLevel="1" x14ac:dyDescent="0.3">
      <c r="B229" s="6"/>
      <c r="C229" s="240" t="s">
        <v>151</v>
      </c>
      <c r="D229" s="301">
        <v>0</v>
      </c>
      <c r="E229" s="271">
        <f t="shared" si="12"/>
        <v>0</v>
      </c>
      <c r="F229" s="301">
        <v>0</v>
      </c>
      <c r="G229" s="271">
        <f t="shared" si="13"/>
        <v>0</v>
      </c>
      <c r="H229" s="301">
        <v>0</v>
      </c>
      <c r="I229" s="271">
        <f t="shared" si="14"/>
        <v>0</v>
      </c>
      <c r="J229" s="301">
        <v>0</v>
      </c>
      <c r="K229" s="272">
        <f t="shared" si="15"/>
        <v>0</v>
      </c>
    </row>
    <row r="230" spans="2:11" hidden="1" outlineLevel="1" x14ac:dyDescent="0.3">
      <c r="B230" s="6"/>
      <c r="C230" s="240" t="s">
        <v>152</v>
      </c>
      <c r="D230" s="301">
        <v>0</v>
      </c>
      <c r="E230" s="271">
        <f t="shared" si="12"/>
        <v>0</v>
      </c>
      <c r="F230" s="301">
        <v>0</v>
      </c>
      <c r="G230" s="271">
        <f t="shared" si="13"/>
        <v>0</v>
      </c>
      <c r="H230" s="301">
        <v>0</v>
      </c>
      <c r="I230" s="271">
        <f t="shared" si="14"/>
        <v>0</v>
      </c>
      <c r="J230" s="301">
        <v>0</v>
      </c>
      <c r="K230" s="272">
        <f t="shared" si="15"/>
        <v>0</v>
      </c>
    </row>
    <row r="231" spans="2:11" hidden="1" outlineLevel="1" x14ac:dyDescent="0.3">
      <c r="B231" s="6"/>
      <c r="C231" s="303" t="s">
        <v>153</v>
      </c>
      <c r="D231" s="301">
        <v>0</v>
      </c>
      <c r="E231" s="271">
        <f t="shared" si="12"/>
        <v>0</v>
      </c>
      <c r="F231" s="301">
        <v>0</v>
      </c>
      <c r="G231" s="271">
        <f t="shared" si="13"/>
        <v>0</v>
      </c>
      <c r="H231" s="301">
        <v>0</v>
      </c>
      <c r="I231" s="271">
        <f t="shared" si="14"/>
        <v>0</v>
      </c>
      <c r="J231" s="301">
        <v>0</v>
      </c>
      <c r="K231" s="272">
        <f t="shared" si="15"/>
        <v>0</v>
      </c>
    </row>
    <row r="232" spans="2:11" hidden="1" outlineLevel="1" x14ac:dyDescent="0.3">
      <c r="B232" s="6"/>
      <c r="C232" s="303" t="s">
        <v>153</v>
      </c>
      <c r="D232" s="301">
        <v>0</v>
      </c>
      <c r="E232" s="271">
        <f t="shared" si="12"/>
        <v>0</v>
      </c>
      <c r="F232" s="301">
        <v>0</v>
      </c>
      <c r="G232" s="271">
        <f t="shared" si="13"/>
        <v>0</v>
      </c>
      <c r="H232" s="301">
        <v>0</v>
      </c>
      <c r="I232" s="271">
        <f t="shared" si="14"/>
        <v>0</v>
      </c>
      <c r="J232" s="301">
        <v>0</v>
      </c>
      <c r="K232" s="272">
        <f t="shared" si="15"/>
        <v>0</v>
      </c>
    </row>
    <row r="233" spans="2:11" hidden="1" outlineLevel="1" x14ac:dyDescent="0.3">
      <c r="B233" s="19"/>
      <c r="C233" s="303" t="s">
        <v>153</v>
      </c>
      <c r="D233" s="301">
        <v>0</v>
      </c>
      <c r="E233" s="271">
        <f t="shared" si="12"/>
        <v>0</v>
      </c>
      <c r="F233" s="301">
        <v>0</v>
      </c>
      <c r="G233" s="271">
        <f t="shared" si="13"/>
        <v>0</v>
      </c>
      <c r="H233" s="301">
        <v>0</v>
      </c>
      <c r="I233" s="271">
        <f t="shared" si="14"/>
        <v>0</v>
      </c>
      <c r="J233" s="301">
        <v>0</v>
      </c>
      <c r="K233" s="272">
        <f t="shared" si="15"/>
        <v>0</v>
      </c>
    </row>
    <row r="234" spans="2:11" hidden="1" outlineLevel="1" x14ac:dyDescent="0.3">
      <c r="B234" s="6"/>
      <c r="C234" s="303" t="s">
        <v>153</v>
      </c>
      <c r="D234" s="302">
        <v>0</v>
      </c>
      <c r="E234" s="271">
        <f t="shared" si="12"/>
        <v>0</v>
      </c>
      <c r="F234" s="302">
        <v>0</v>
      </c>
      <c r="G234" s="271">
        <f t="shared" si="13"/>
        <v>0</v>
      </c>
      <c r="H234" s="302">
        <v>0</v>
      </c>
      <c r="I234" s="271">
        <f t="shared" si="14"/>
        <v>0</v>
      </c>
      <c r="J234" s="302">
        <v>0</v>
      </c>
      <c r="K234" s="272">
        <f t="shared" si="15"/>
        <v>0</v>
      </c>
    </row>
    <row r="235" spans="2:11" hidden="1" outlineLevel="1" x14ac:dyDescent="0.3">
      <c r="B235" s="6"/>
      <c r="C235" s="274" t="s">
        <v>154</v>
      </c>
      <c r="D235" s="273">
        <f>SUM(D222:D234)</f>
        <v>0</v>
      </c>
      <c r="E235" s="271">
        <f t="shared" si="12"/>
        <v>0</v>
      </c>
      <c r="F235" s="273">
        <f>SUM(F222:F234)</f>
        <v>0</v>
      </c>
      <c r="G235" s="271">
        <f t="shared" si="13"/>
        <v>0</v>
      </c>
      <c r="H235" s="273">
        <f>SUM(H222:H234)</f>
        <v>0</v>
      </c>
      <c r="I235" s="271">
        <f t="shared" si="14"/>
        <v>0</v>
      </c>
      <c r="J235" s="273">
        <f>SUM(J222:J234)</f>
        <v>0</v>
      </c>
      <c r="K235" s="272">
        <f t="shared" si="15"/>
        <v>0</v>
      </c>
    </row>
    <row r="236" spans="2:11" hidden="1" outlineLevel="1" x14ac:dyDescent="0.3">
      <c r="B236" s="6"/>
      <c r="C236" s="274"/>
      <c r="D236" s="275"/>
      <c r="E236" s="276"/>
      <c r="F236" s="275"/>
      <c r="G236" s="276"/>
      <c r="H236" s="275"/>
      <c r="I236" s="276"/>
      <c r="J236" s="275"/>
      <c r="K236" s="277"/>
    </row>
    <row r="237" spans="2:11" hidden="1" outlineLevel="1" x14ac:dyDescent="0.3">
      <c r="B237" s="6"/>
      <c r="C237" s="274" t="s">
        <v>155</v>
      </c>
      <c r="D237" s="273">
        <f>D220-D235</f>
        <v>0</v>
      </c>
      <c r="E237" s="271">
        <f>IF(D$218=0,0,D237/D$218)</f>
        <v>0</v>
      </c>
      <c r="F237" s="273">
        <f>F220-F235</f>
        <v>0</v>
      </c>
      <c r="G237" s="271">
        <f>IF(F$218=0,0,F237/F$218)</f>
        <v>0</v>
      </c>
      <c r="H237" s="273">
        <f>H220-H235</f>
        <v>0</v>
      </c>
      <c r="I237" s="271">
        <f>IF(H$218=0,0,H237/H$218)</f>
        <v>0</v>
      </c>
      <c r="J237" s="273">
        <f>J220-J235</f>
        <v>0</v>
      </c>
      <c r="K237" s="272">
        <f>IF(J$218=0,0,J237/J$218)</f>
        <v>0</v>
      </c>
    </row>
    <row r="238" spans="2:11" hidden="1" outlineLevel="1" x14ac:dyDescent="0.3">
      <c r="B238" s="6"/>
      <c r="C238" s="274"/>
      <c r="D238" s="275"/>
      <c r="E238" s="276"/>
      <c r="F238" s="275"/>
      <c r="G238" s="276"/>
      <c r="H238" s="275"/>
      <c r="I238" s="276"/>
      <c r="J238" s="275"/>
      <c r="K238" s="277"/>
    </row>
    <row r="239" spans="2:11" hidden="1" outlineLevel="1" x14ac:dyDescent="0.3">
      <c r="B239" s="6"/>
      <c r="C239" s="240" t="s">
        <v>450</v>
      </c>
      <c r="D239" s="300">
        <v>0</v>
      </c>
      <c r="E239" s="271">
        <f>IF(D$218=0,0,D239/D$218)</f>
        <v>0</v>
      </c>
      <c r="F239" s="300">
        <v>0</v>
      </c>
      <c r="G239" s="271">
        <f>IF(F$218=0,0,F239/F$218)</f>
        <v>0</v>
      </c>
      <c r="H239" s="300">
        <v>0</v>
      </c>
      <c r="I239" s="271">
        <f>IF(H$218=0,0,H239/H$218)</f>
        <v>0</v>
      </c>
      <c r="J239" s="300">
        <v>0</v>
      </c>
      <c r="K239" s="272">
        <f>IF(J$218=0,0,J239/J$218)</f>
        <v>0</v>
      </c>
    </row>
    <row r="240" spans="2:11" hidden="1" outlineLevel="1" x14ac:dyDescent="0.3">
      <c r="B240" s="6"/>
      <c r="C240" s="240" t="s">
        <v>450</v>
      </c>
      <c r="D240" s="301">
        <v>0</v>
      </c>
      <c r="E240" s="271">
        <f>IF(D$218=0,0,D240/D$218)</f>
        <v>0</v>
      </c>
      <c r="F240" s="301">
        <v>0</v>
      </c>
      <c r="G240" s="271">
        <f>IF(F$218=0,0,F240/F$218)</f>
        <v>0</v>
      </c>
      <c r="H240" s="301">
        <v>0</v>
      </c>
      <c r="I240" s="271">
        <f>IF(H$218=0,0,H240/H$218)</f>
        <v>0</v>
      </c>
      <c r="J240" s="301">
        <v>0</v>
      </c>
      <c r="K240" s="272">
        <f>IF(J$218=0,0,J240/J$218)</f>
        <v>0</v>
      </c>
    </row>
    <row r="241" spans="2:11" hidden="1" outlineLevel="1" x14ac:dyDescent="0.3">
      <c r="B241" s="6"/>
      <c r="C241" s="274" t="s">
        <v>157</v>
      </c>
      <c r="D241" s="273">
        <f>SUM(D239:D240)</f>
        <v>0</v>
      </c>
      <c r="E241" s="271">
        <f>IF(D$218=0,0,D241/D$218)</f>
        <v>0</v>
      </c>
      <c r="F241" s="273">
        <f>SUM(F239:F240)</f>
        <v>0</v>
      </c>
      <c r="G241" s="271">
        <f>IF(F$218=0,0,F241/F$218)</f>
        <v>0</v>
      </c>
      <c r="H241" s="273">
        <f>SUM(H239:H240)</f>
        <v>0</v>
      </c>
      <c r="I241" s="271">
        <f>IF(H$218=0,0,H241/H$218)</f>
        <v>0</v>
      </c>
      <c r="J241" s="273">
        <f>SUM(J239:J240)</f>
        <v>0</v>
      </c>
      <c r="K241" s="272">
        <f>IF(J$218=0,0,J241/J$218)</f>
        <v>0</v>
      </c>
    </row>
    <row r="242" spans="2:11" hidden="1" outlineLevel="1" x14ac:dyDescent="0.3">
      <c r="B242" s="6"/>
      <c r="C242" s="274"/>
      <c r="D242" s="275"/>
      <c r="E242" s="276"/>
      <c r="F242" s="275"/>
      <c r="G242" s="276"/>
      <c r="H242" s="275"/>
      <c r="I242" s="276"/>
      <c r="J242" s="275"/>
      <c r="K242" s="278"/>
    </row>
    <row r="243" spans="2:11" hidden="1" outlineLevel="1" x14ac:dyDescent="0.3">
      <c r="B243" s="6"/>
      <c r="C243" s="274" t="s">
        <v>158</v>
      </c>
      <c r="D243" s="273">
        <f>D220-D235+D241</f>
        <v>0</v>
      </c>
      <c r="E243" s="271">
        <f>IF(D$218=0,0,D243/D$218)</f>
        <v>0</v>
      </c>
      <c r="F243" s="273">
        <f>F220-F235+F241</f>
        <v>0</v>
      </c>
      <c r="G243" s="271">
        <f>IF(F$218=0,0,F243/F$218)</f>
        <v>0</v>
      </c>
      <c r="H243" s="273">
        <f>H220-H235+H241</f>
        <v>0</v>
      </c>
      <c r="I243" s="271">
        <f>IF(H$218=0,0,H243/H$218)</f>
        <v>0</v>
      </c>
      <c r="J243" s="273">
        <f>J220-J235+J241</f>
        <v>0</v>
      </c>
      <c r="K243" s="272">
        <f>IF(J$218=0,0,J243/J$218)</f>
        <v>0</v>
      </c>
    </row>
    <row r="244" spans="2:11" hidden="1" outlineLevel="1" x14ac:dyDescent="0.3">
      <c r="B244" s="6"/>
      <c r="C244" s="274" t="s">
        <v>159</v>
      </c>
      <c r="D244" s="273">
        <v>0</v>
      </c>
      <c r="E244" s="271">
        <f>IF(D$218=0,0,D244/D$218)</f>
        <v>0</v>
      </c>
      <c r="F244" s="273">
        <v>0</v>
      </c>
      <c r="G244" s="271">
        <f>IF(F$218=0,0,F244/F$218)</f>
        <v>0</v>
      </c>
      <c r="H244" s="273">
        <v>0</v>
      </c>
      <c r="I244" s="271">
        <f>IF(H$218=0,0,H244/H$218)</f>
        <v>0</v>
      </c>
      <c r="J244" s="273">
        <v>0</v>
      </c>
      <c r="K244" s="272">
        <f>IF(J$218=0,0,J244/J$218)</f>
        <v>0</v>
      </c>
    </row>
    <row r="245" spans="2:11" hidden="1" outlineLevel="1" x14ac:dyDescent="0.3">
      <c r="B245" s="6"/>
      <c r="C245" s="279"/>
      <c r="D245" s="275"/>
      <c r="E245" s="276"/>
      <c r="F245" s="275"/>
      <c r="G245" s="276"/>
      <c r="H245" s="275"/>
      <c r="I245" s="276"/>
      <c r="J245" s="275"/>
      <c r="K245" s="280"/>
    </row>
    <row r="246" spans="2:11" hidden="1" outlineLevel="1" x14ac:dyDescent="0.3">
      <c r="B246" s="6"/>
      <c r="C246" s="274" t="s">
        <v>160</v>
      </c>
      <c r="D246" s="273">
        <f>D243-D244</f>
        <v>0</v>
      </c>
      <c r="E246" s="271">
        <f>IF(D$218=0,0,D246/D$218)</f>
        <v>0</v>
      </c>
      <c r="F246" s="273">
        <f>F243-F244</f>
        <v>0</v>
      </c>
      <c r="G246" s="271">
        <f>IF(F$218=0,0,F246/F$218)</f>
        <v>0</v>
      </c>
      <c r="H246" s="273">
        <f>H243-H244</f>
        <v>0</v>
      </c>
      <c r="I246" s="271">
        <f>IF(H$218=0,0,H246/H$218)</f>
        <v>0</v>
      </c>
      <c r="J246" s="273">
        <f>J243-J244</f>
        <v>0</v>
      </c>
      <c r="K246" s="272">
        <f>IF(J$218=0,0,J246/J$218)</f>
        <v>0</v>
      </c>
    </row>
    <row r="247" spans="2:11" hidden="1" outlineLevel="1" x14ac:dyDescent="0.3">
      <c r="B247" s="6"/>
      <c r="C247" s="240"/>
      <c r="D247" s="281"/>
      <c r="E247" s="282"/>
      <c r="F247" s="281"/>
      <c r="G247" s="282"/>
      <c r="H247" s="281"/>
      <c r="I247" s="282"/>
      <c r="J247" s="281"/>
      <c r="K247" s="283"/>
    </row>
    <row r="248" spans="2:11" hidden="1" outlineLevel="1" x14ac:dyDescent="0.3">
      <c r="B248" s="6"/>
      <c r="C248" s="284" t="s">
        <v>396</v>
      </c>
      <c r="D248" s="1"/>
      <c r="E248" s="1"/>
      <c r="F248" s="1"/>
      <c r="G248" s="1"/>
      <c r="H248" s="1"/>
      <c r="I248" s="1"/>
      <c r="J248" s="1"/>
      <c r="K248" s="4"/>
    </row>
    <row r="249" spans="2:11" hidden="1" outlineLevel="1" x14ac:dyDescent="0.3">
      <c r="B249" s="6"/>
      <c r="C249" s="285" t="s">
        <v>385</v>
      </c>
      <c r="D249" s="300">
        <f>D222</f>
        <v>0</v>
      </c>
      <c r="E249" s="1"/>
      <c r="F249" s="300">
        <f>F222</f>
        <v>0</v>
      </c>
      <c r="G249" s="1"/>
      <c r="H249" s="300">
        <f>H222</f>
        <v>0</v>
      </c>
      <c r="I249" s="1"/>
      <c r="J249" s="300">
        <f>J222</f>
        <v>0</v>
      </c>
      <c r="K249" s="4"/>
    </row>
    <row r="250" spans="2:11" hidden="1" outlineLevel="1" x14ac:dyDescent="0.3">
      <c r="B250" s="6"/>
      <c r="C250" s="286" t="s">
        <v>386</v>
      </c>
      <c r="D250" s="301">
        <f>D229</f>
        <v>0</v>
      </c>
      <c r="E250" s="1"/>
      <c r="F250" s="301">
        <f>F229</f>
        <v>0</v>
      </c>
      <c r="G250" s="1"/>
      <c r="H250" s="301">
        <f>H229</f>
        <v>0</v>
      </c>
      <c r="I250" s="1"/>
      <c r="J250" s="301">
        <f>J229</f>
        <v>0</v>
      </c>
      <c r="K250" s="4"/>
    </row>
    <row r="251" spans="2:11" hidden="1" outlineLevel="1" x14ac:dyDescent="0.3">
      <c r="B251" s="6"/>
      <c r="C251" s="286" t="s">
        <v>387</v>
      </c>
      <c r="D251" s="301">
        <f>D228</f>
        <v>0</v>
      </c>
      <c r="E251" s="1"/>
      <c r="F251" s="301">
        <f>F228</f>
        <v>0</v>
      </c>
      <c r="G251" s="1"/>
      <c r="H251" s="301">
        <f>H228</f>
        <v>0</v>
      </c>
      <c r="I251" s="1"/>
      <c r="J251" s="301">
        <f>J228</f>
        <v>0</v>
      </c>
      <c r="K251" s="4"/>
    </row>
    <row r="252" spans="2:11" hidden="1" outlineLevel="1" x14ac:dyDescent="0.3">
      <c r="B252" s="6"/>
      <c r="C252" s="286" t="s">
        <v>397</v>
      </c>
      <c r="D252" s="301">
        <v>0</v>
      </c>
      <c r="E252" s="1"/>
      <c r="F252" s="301">
        <v>0</v>
      </c>
      <c r="G252" s="1"/>
      <c r="H252" s="301">
        <v>0</v>
      </c>
      <c r="I252" s="1"/>
      <c r="J252" s="301">
        <v>0</v>
      </c>
      <c r="K252" s="4"/>
    </row>
    <row r="253" spans="2:11" hidden="1" outlineLevel="1" x14ac:dyDescent="0.3">
      <c r="B253" s="6"/>
      <c r="C253" s="304" t="s">
        <v>153</v>
      </c>
      <c r="D253" s="301">
        <v>0</v>
      </c>
      <c r="E253" s="1"/>
      <c r="F253" s="301">
        <v>0</v>
      </c>
      <c r="G253" s="1"/>
      <c r="H253" s="301">
        <v>0</v>
      </c>
      <c r="I253" s="1"/>
      <c r="J253" s="301">
        <v>0</v>
      </c>
      <c r="K253" s="4"/>
    </row>
    <row r="254" spans="2:11" hidden="1" outlineLevel="1" x14ac:dyDescent="0.3">
      <c r="B254" s="6"/>
      <c r="C254" s="304" t="s">
        <v>153</v>
      </c>
      <c r="D254" s="301">
        <v>0</v>
      </c>
      <c r="E254" s="1"/>
      <c r="F254" s="301">
        <v>0</v>
      </c>
      <c r="G254" s="1"/>
      <c r="H254" s="301">
        <v>0</v>
      </c>
      <c r="I254" s="1"/>
      <c r="J254" s="301">
        <v>0</v>
      </c>
      <c r="K254" s="4"/>
    </row>
    <row r="255" spans="2:11" hidden="1" outlineLevel="1" x14ac:dyDescent="0.3">
      <c r="B255" s="6"/>
      <c r="C255" s="286" t="s">
        <v>388</v>
      </c>
      <c r="D255" s="301">
        <v>0</v>
      </c>
      <c r="E255" s="1"/>
      <c r="F255" s="301">
        <v>0</v>
      </c>
      <c r="G255" s="1"/>
      <c r="H255" s="301">
        <v>0</v>
      </c>
      <c r="I255" s="1"/>
      <c r="J255" s="301">
        <v>0</v>
      </c>
      <c r="K255" s="4"/>
    </row>
    <row r="256" spans="2:11" hidden="1" outlineLevel="1" x14ac:dyDescent="0.3">
      <c r="B256" s="6"/>
      <c r="C256" s="286" t="s">
        <v>389</v>
      </c>
      <c r="D256" s="302">
        <v>0</v>
      </c>
      <c r="E256" s="1"/>
      <c r="F256" s="302">
        <v>0</v>
      </c>
      <c r="G256" s="1"/>
      <c r="H256" s="302">
        <v>0</v>
      </c>
      <c r="I256" s="1"/>
      <c r="J256" s="302">
        <v>0</v>
      </c>
      <c r="K256" s="4"/>
    </row>
    <row r="257" spans="2:11" hidden="1" outlineLevel="1" x14ac:dyDescent="0.3">
      <c r="B257" s="6"/>
      <c r="C257" s="286"/>
      <c r="D257" s="1"/>
      <c r="E257" s="1"/>
      <c r="F257" s="1"/>
      <c r="G257" s="1"/>
      <c r="H257" s="1"/>
      <c r="I257" s="1"/>
      <c r="J257" s="1"/>
      <c r="K257" s="4"/>
    </row>
    <row r="258" spans="2:11" hidden="1" outlineLevel="1" x14ac:dyDescent="0.3">
      <c r="B258" s="6"/>
      <c r="C258" s="286" t="s">
        <v>162</v>
      </c>
      <c r="D258" s="287">
        <f>D246+SUM(D249:D256)</f>
        <v>0</v>
      </c>
      <c r="E258" s="288"/>
      <c r="F258" s="287">
        <f>F246+SUM(F249:F256)</f>
        <v>0</v>
      </c>
      <c r="G258" s="288"/>
      <c r="H258" s="287">
        <f>H246+SUM(H249:H256)</f>
        <v>0</v>
      </c>
      <c r="I258" s="288"/>
      <c r="J258" s="287">
        <f>J246+SUM(J249:J256)</f>
        <v>0</v>
      </c>
      <c r="K258" s="4"/>
    </row>
    <row r="259" spans="2:11" hidden="1" outlineLevel="1" x14ac:dyDescent="0.3">
      <c r="B259" s="6"/>
      <c r="C259" s="286"/>
      <c r="D259" s="1"/>
      <c r="E259" s="1"/>
      <c r="F259" s="1"/>
      <c r="G259" s="1"/>
      <c r="H259" s="1"/>
      <c r="I259" s="1"/>
      <c r="J259" s="1"/>
      <c r="K259" s="4"/>
    </row>
    <row r="260" spans="2:11" hidden="1" outlineLevel="1" x14ac:dyDescent="0.3">
      <c r="B260" s="6"/>
      <c r="C260" s="240" t="s">
        <v>177</v>
      </c>
      <c r="D260" s="305">
        <v>0</v>
      </c>
      <c r="E260" s="1"/>
      <c r="F260" s="305">
        <v>0</v>
      </c>
      <c r="G260" s="1"/>
      <c r="H260" s="305">
        <v>0</v>
      </c>
      <c r="I260" s="1"/>
      <c r="J260" s="305">
        <v>0</v>
      </c>
      <c r="K260" s="4"/>
    </row>
    <row r="261" spans="2:11" hidden="1" outlineLevel="1" x14ac:dyDescent="0.3">
      <c r="B261" s="6"/>
      <c r="C261" s="240" t="s">
        <v>163</v>
      </c>
      <c r="D261" s="289">
        <f>D260*D214</f>
        <v>0</v>
      </c>
      <c r="E261" s="1"/>
      <c r="F261" s="289">
        <f>F260*F214</f>
        <v>0</v>
      </c>
      <c r="G261" s="1"/>
      <c r="H261" s="289">
        <f>H260*H214</f>
        <v>0</v>
      </c>
      <c r="I261" s="1"/>
      <c r="J261" s="289">
        <f>J260*J214</f>
        <v>0</v>
      </c>
      <c r="K261" s="4"/>
    </row>
    <row r="262" spans="2:11" hidden="1" outlineLevel="1" x14ac:dyDescent="0.3">
      <c r="B262" s="6"/>
      <c r="C262" s="240"/>
      <c r="D262" s="1"/>
      <c r="E262" s="1"/>
      <c r="F262" s="1"/>
      <c r="G262" s="1"/>
      <c r="H262" s="1"/>
      <c r="I262" s="1"/>
      <c r="J262" s="1"/>
      <c r="K262" s="4"/>
    </row>
    <row r="263" spans="2:11" hidden="1" outlineLevel="1" x14ac:dyDescent="0.3">
      <c r="B263" s="6"/>
      <c r="C263" s="274" t="s">
        <v>165</v>
      </c>
      <c r="D263" s="290">
        <f>IFERROR(D258/D261,0)</f>
        <v>0</v>
      </c>
      <c r="E263" s="1"/>
      <c r="F263" s="290">
        <f>IFERROR(F258/F261,0)</f>
        <v>0</v>
      </c>
      <c r="G263" s="1"/>
      <c r="H263" s="290">
        <f>IFERROR(H258/H261,0)</f>
        <v>0</v>
      </c>
      <c r="I263" s="1"/>
      <c r="J263" s="290">
        <f>IFERROR(J258/J261,0)</f>
        <v>0</v>
      </c>
      <c r="K263" s="4"/>
    </row>
    <row r="264" spans="2:11" ht="15" hidden="1" outlineLevel="1" thickBot="1" x14ac:dyDescent="0.35">
      <c r="B264" s="1285"/>
      <c r="C264" s="1286"/>
      <c r="D264" s="1286"/>
      <c r="E264" s="33"/>
      <c r="F264" s="33"/>
      <c r="G264" s="33"/>
      <c r="H264" s="33"/>
      <c r="I264" s="33"/>
      <c r="J264" s="33"/>
      <c r="K264" s="7"/>
    </row>
    <row r="265" spans="2:11" ht="15" collapsed="1" thickBot="1" x14ac:dyDescent="0.35">
      <c r="B265" s="291"/>
      <c r="C265" s="291"/>
      <c r="D265" s="291"/>
      <c r="E265" s="292"/>
      <c r="F265" s="292"/>
      <c r="G265" s="292"/>
      <c r="H265" s="292"/>
      <c r="I265" s="292"/>
      <c r="J265" s="292"/>
      <c r="K265" s="292"/>
    </row>
    <row r="266" spans="2:11" ht="16.2" thickBot="1" x14ac:dyDescent="0.35">
      <c r="B266" s="227" t="s">
        <v>110</v>
      </c>
      <c r="C266" s="228"/>
      <c r="D266" s="228"/>
      <c r="E266" s="228"/>
      <c r="F266" s="228"/>
      <c r="G266" s="228"/>
      <c r="H266" s="228"/>
      <c r="I266" s="228"/>
      <c r="J266" s="228"/>
      <c r="K266" s="229"/>
    </row>
    <row r="267" spans="2:11" ht="16.2" thickBot="1" x14ac:dyDescent="0.35">
      <c r="B267" s="1290" t="s">
        <v>181</v>
      </c>
      <c r="C267" s="1291"/>
      <c r="D267" s="1291"/>
      <c r="E267" s="1291"/>
      <c r="F267" s="1291"/>
      <c r="G267" s="1291"/>
      <c r="H267" s="1291"/>
      <c r="I267" s="1292"/>
      <c r="J267" s="255" t="s">
        <v>129</v>
      </c>
      <c r="K267" s="296" t="s">
        <v>43</v>
      </c>
    </row>
    <row r="268" spans="2:11" hidden="1" outlineLevel="1" x14ac:dyDescent="0.3">
      <c r="B268" s="256"/>
      <c r="C268" s="257"/>
      <c r="D268" s="258"/>
      <c r="E268" s="258"/>
      <c r="F268" s="258"/>
      <c r="G268" s="258"/>
      <c r="H268" s="258"/>
      <c r="I268" s="258"/>
      <c r="J268" s="258"/>
      <c r="K268" s="259"/>
    </row>
    <row r="269" spans="2:11" hidden="1" outlineLevel="1" x14ac:dyDescent="0.3">
      <c r="B269" s="260" t="s">
        <v>132</v>
      </c>
      <c r="C269" s="29"/>
      <c r="D269" s="297">
        <f>'BDO Prequal'!$D$99</f>
        <v>45291</v>
      </c>
      <c r="E269" s="261"/>
      <c r="F269" s="297">
        <f>EOMONTH(D269,F270)</f>
        <v>45657</v>
      </c>
      <c r="G269" s="261"/>
      <c r="H269" s="297">
        <f>EOMONTH(F269,H270)</f>
        <v>46022</v>
      </c>
      <c r="I269" s="261"/>
      <c r="J269" s="297">
        <f>EOMONTH(H269,J270)</f>
        <v>46112</v>
      </c>
      <c r="K269" s="4"/>
    </row>
    <row r="270" spans="2:11" hidden="1" outlineLevel="1" x14ac:dyDescent="0.3">
      <c r="B270" s="260" t="s">
        <v>134</v>
      </c>
      <c r="C270" s="29"/>
      <c r="D270" s="298">
        <v>12</v>
      </c>
      <c r="E270" s="262"/>
      <c r="F270" s="298">
        <v>12</v>
      </c>
      <c r="G270" s="262"/>
      <c r="H270" s="298">
        <v>12</v>
      </c>
      <c r="I270" s="262"/>
      <c r="J270" s="298">
        <v>3</v>
      </c>
      <c r="K270" s="263"/>
    </row>
    <row r="271" spans="2:11" hidden="1" outlineLevel="1" x14ac:dyDescent="0.3">
      <c r="B271" s="260" t="s">
        <v>136</v>
      </c>
      <c r="C271" s="29"/>
      <c r="D271" s="299" t="s">
        <v>137</v>
      </c>
      <c r="E271" s="264"/>
      <c r="F271" s="299" t="s">
        <v>137</v>
      </c>
      <c r="G271" s="264"/>
      <c r="H271" s="299"/>
      <c r="I271" s="264"/>
      <c r="J271" s="299" t="s">
        <v>138</v>
      </c>
      <c r="K271" s="263"/>
    </row>
    <row r="272" spans="2:11" hidden="1" outlineLevel="1" x14ac:dyDescent="0.3">
      <c r="B272" s="260" t="s">
        <v>140</v>
      </c>
      <c r="C272" s="29"/>
      <c r="D272" s="299"/>
      <c r="E272" s="264"/>
      <c r="F272" s="299"/>
      <c r="G272" s="264"/>
      <c r="H272" s="299"/>
      <c r="I272" s="264"/>
      <c r="J272" s="299"/>
      <c r="K272" s="263"/>
    </row>
    <row r="273" spans="2:11" hidden="1" outlineLevel="1" x14ac:dyDescent="0.3">
      <c r="B273" s="265"/>
      <c r="C273" s="1"/>
      <c r="D273" s="294"/>
      <c r="E273" s="295"/>
      <c r="F273" s="294"/>
      <c r="G273" s="295"/>
      <c r="H273" s="294"/>
      <c r="I273" s="295"/>
      <c r="J273" s="269">
        <f>(J274/J270)*12</f>
        <v>0</v>
      </c>
      <c r="K273" s="270"/>
    </row>
    <row r="274" spans="2:11" hidden="1" outlineLevel="1" x14ac:dyDescent="0.3">
      <c r="B274" s="19"/>
      <c r="C274" s="240" t="s">
        <v>141</v>
      </c>
      <c r="D274" s="300">
        <v>0</v>
      </c>
      <c r="E274" s="271">
        <f>IF(D$274=0,0,D274/D$274)</f>
        <v>0</v>
      </c>
      <c r="F274" s="300">
        <v>0</v>
      </c>
      <c r="G274" s="271">
        <f>IF(F$274=0,0,F274/F$274)</f>
        <v>0</v>
      </c>
      <c r="H274" s="300">
        <v>0</v>
      </c>
      <c r="I274" s="271">
        <f>IF(H$274=0,0,H274/H$274)</f>
        <v>0</v>
      </c>
      <c r="J274" s="300">
        <v>0</v>
      </c>
      <c r="K274" s="272">
        <f>IF(J$274=0,0,J274/J$274)</f>
        <v>0</v>
      </c>
    </row>
    <row r="275" spans="2:11" hidden="1" outlineLevel="1" x14ac:dyDescent="0.3">
      <c r="B275" s="6"/>
      <c r="C275" s="240" t="s">
        <v>142</v>
      </c>
      <c r="D275" s="301">
        <v>0</v>
      </c>
      <c r="E275" s="271">
        <f>IF(D$274=0,0,D275/D$274)</f>
        <v>0</v>
      </c>
      <c r="F275" s="301">
        <v>0</v>
      </c>
      <c r="G275" s="271">
        <f>IF(F$274=0,0,F275/F$274)</f>
        <v>0</v>
      </c>
      <c r="H275" s="301">
        <v>0</v>
      </c>
      <c r="I275" s="271">
        <f>IF(H$274=0,0,H275/H$274)</f>
        <v>0</v>
      </c>
      <c r="J275" s="301">
        <v>0</v>
      </c>
      <c r="K275" s="272">
        <f>IF(J$274=0,0,J275/J$274)</f>
        <v>0</v>
      </c>
    </row>
    <row r="276" spans="2:11" hidden="1" outlineLevel="1" x14ac:dyDescent="0.3">
      <c r="B276" s="6"/>
      <c r="C276" s="240" t="s">
        <v>143</v>
      </c>
      <c r="D276" s="273">
        <f>D274-D275</f>
        <v>0</v>
      </c>
      <c r="E276" s="271">
        <f>IF(D$274=0,0,D276/D$274)</f>
        <v>0</v>
      </c>
      <c r="F276" s="273">
        <f>F274-F275</f>
        <v>0</v>
      </c>
      <c r="G276" s="271">
        <f>IF(F$274=0,0,F276/F$274)</f>
        <v>0</v>
      </c>
      <c r="H276" s="273">
        <f>H274-H275</f>
        <v>0</v>
      </c>
      <c r="I276" s="271">
        <f>IF(H$274=0,0,H276/H$274)</f>
        <v>0</v>
      </c>
      <c r="J276" s="273">
        <f>J274-J275</f>
        <v>0</v>
      </c>
      <c r="K276" s="272">
        <f>IF(J$274=0,0,J276/J$274)</f>
        <v>0</v>
      </c>
    </row>
    <row r="277" spans="2:11" hidden="1" outlineLevel="1" x14ac:dyDescent="0.3">
      <c r="B277" s="6"/>
      <c r="C277" s="274"/>
      <c r="D277" s="275"/>
      <c r="E277" s="276"/>
      <c r="F277" s="275"/>
      <c r="G277" s="276"/>
      <c r="H277" s="275"/>
      <c r="I277" s="276"/>
      <c r="J277" s="275"/>
      <c r="K277" s="277"/>
    </row>
    <row r="278" spans="2:11" hidden="1" outlineLevel="1" x14ac:dyDescent="0.3">
      <c r="B278" s="6"/>
      <c r="C278" s="240" t="s">
        <v>144</v>
      </c>
      <c r="D278" s="300">
        <v>0</v>
      </c>
      <c r="E278" s="271">
        <f t="shared" ref="E278:E291" si="16">IF(D$274=0,0,D278/D$274)</f>
        <v>0</v>
      </c>
      <c r="F278" s="300">
        <v>0</v>
      </c>
      <c r="G278" s="271">
        <f t="shared" ref="G278:G291" si="17">IF(F$274=0,0,F278/F$274)</f>
        <v>0</v>
      </c>
      <c r="H278" s="300">
        <v>0</v>
      </c>
      <c r="I278" s="271">
        <f t="shared" ref="I278:I291" si="18">IF(H$274=0,0,H278/H$274)</f>
        <v>0</v>
      </c>
      <c r="J278" s="300">
        <v>0</v>
      </c>
      <c r="K278" s="272">
        <f t="shared" ref="K278:K291" si="19">IF(J$274=0,0,J278/J$274)</f>
        <v>0</v>
      </c>
    </row>
    <row r="279" spans="2:11" hidden="1" outlineLevel="1" x14ac:dyDescent="0.3">
      <c r="B279" s="6"/>
      <c r="C279" s="240" t="s">
        <v>145</v>
      </c>
      <c r="D279" s="301">
        <v>0</v>
      </c>
      <c r="E279" s="271">
        <f t="shared" si="16"/>
        <v>0</v>
      </c>
      <c r="F279" s="301">
        <v>0</v>
      </c>
      <c r="G279" s="271">
        <f t="shared" si="17"/>
        <v>0</v>
      </c>
      <c r="H279" s="301">
        <v>0</v>
      </c>
      <c r="I279" s="271">
        <f t="shared" si="18"/>
        <v>0</v>
      </c>
      <c r="J279" s="301">
        <v>0</v>
      </c>
      <c r="K279" s="272">
        <f t="shared" si="19"/>
        <v>0</v>
      </c>
    </row>
    <row r="280" spans="2:11" hidden="1" outlineLevel="1" x14ac:dyDescent="0.3">
      <c r="B280" s="6"/>
      <c r="C280" s="240" t="s">
        <v>146</v>
      </c>
      <c r="D280" s="301">
        <v>0</v>
      </c>
      <c r="E280" s="271">
        <f t="shared" si="16"/>
        <v>0</v>
      </c>
      <c r="F280" s="301">
        <v>0</v>
      </c>
      <c r="G280" s="271">
        <f t="shared" si="17"/>
        <v>0</v>
      </c>
      <c r="H280" s="301">
        <v>0</v>
      </c>
      <c r="I280" s="271">
        <f t="shared" si="18"/>
        <v>0</v>
      </c>
      <c r="J280" s="301">
        <v>0</v>
      </c>
      <c r="K280" s="272">
        <f t="shared" si="19"/>
        <v>0</v>
      </c>
    </row>
    <row r="281" spans="2:11" hidden="1" outlineLevel="1" x14ac:dyDescent="0.3">
      <c r="B281" s="6"/>
      <c r="C281" s="240" t="s">
        <v>147</v>
      </c>
      <c r="D281" s="301">
        <v>0</v>
      </c>
      <c r="E281" s="271">
        <f t="shared" si="16"/>
        <v>0</v>
      </c>
      <c r="F281" s="301">
        <v>0</v>
      </c>
      <c r="G281" s="271">
        <f t="shared" si="17"/>
        <v>0</v>
      </c>
      <c r="H281" s="301">
        <v>0</v>
      </c>
      <c r="I281" s="271">
        <f t="shared" si="18"/>
        <v>0</v>
      </c>
      <c r="J281" s="301">
        <v>0</v>
      </c>
      <c r="K281" s="272">
        <f t="shared" si="19"/>
        <v>0</v>
      </c>
    </row>
    <row r="282" spans="2:11" hidden="1" outlineLevel="1" x14ac:dyDescent="0.3">
      <c r="B282" s="6"/>
      <c r="C282" s="240" t="s">
        <v>148</v>
      </c>
      <c r="D282" s="301">
        <v>0</v>
      </c>
      <c r="E282" s="271">
        <f t="shared" si="16"/>
        <v>0</v>
      </c>
      <c r="F282" s="301">
        <v>0</v>
      </c>
      <c r="G282" s="271">
        <f t="shared" si="17"/>
        <v>0</v>
      </c>
      <c r="H282" s="301">
        <v>0</v>
      </c>
      <c r="I282" s="271">
        <f t="shared" si="18"/>
        <v>0</v>
      </c>
      <c r="J282" s="301">
        <v>0</v>
      </c>
      <c r="K282" s="272">
        <f t="shared" si="19"/>
        <v>0</v>
      </c>
    </row>
    <row r="283" spans="2:11" hidden="1" outlineLevel="1" x14ac:dyDescent="0.3">
      <c r="B283" s="6"/>
      <c r="C283" s="240" t="s">
        <v>149</v>
      </c>
      <c r="D283" s="301">
        <v>0</v>
      </c>
      <c r="E283" s="271">
        <f t="shared" si="16"/>
        <v>0</v>
      </c>
      <c r="F283" s="301">
        <v>0</v>
      </c>
      <c r="G283" s="271">
        <f t="shared" si="17"/>
        <v>0</v>
      </c>
      <c r="H283" s="301">
        <v>0</v>
      </c>
      <c r="I283" s="271">
        <f t="shared" si="18"/>
        <v>0</v>
      </c>
      <c r="J283" s="301">
        <v>0</v>
      </c>
      <c r="K283" s="272">
        <f t="shared" si="19"/>
        <v>0</v>
      </c>
    </row>
    <row r="284" spans="2:11" hidden="1" outlineLevel="1" x14ac:dyDescent="0.3">
      <c r="B284" s="6"/>
      <c r="C284" s="240" t="s">
        <v>150</v>
      </c>
      <c r="D284" s="301">
        <v>0</v>
      </c>
      <c r="E284" s="271">
        <f t="shared" si="16"/>
        <v>0</v>
      </c>
      <c r="F284" s="301">
        <v>0</v>
      </c>
      <c r="G284" s="271">
        <f t="shared" si="17"/>
        <v>0</v>
      </c>
      <c r="H284" s="301">
        <v>0</v>
      </c>
      <c r="I284" s="271">
        <f t="shared" si="18"/>
        <v>0</v>
      </c>
      <c r="J284" s="301">
        <v>0</v>
      </c>
      <c r="K284" s="272">
        <f t="shared" si="19"/>
        <v>0</v>
      </c>
    </row>
    <row r="285" spans="2:11" hidden="1" outlineLevel="1" x14ac:dyDescent="0.3">
      <c r="B285" s="6"/>
      <c r="C285" s="240" t="s">
        <v>151</v>
      </c>
      <c r="D285" s="301">
        <v>0</v>
      </c>
      <c r="E285" s="271">
        <f t="shared" si="16"/>
        <v>0</v>
      </c>
      <c r="F285" s="301">
        <v>0</v>
      </c>
      <c r="G285" s="271">
        <f t="shared" si="17"/>
        <v>0</v>
      </c>
      <c r="H285" s="301">
        <v>0</v>
      </c>
      <c r="I285" s="271">
        <f t="shared" si="18"/>
        <v>0</v>
      </c>
      <c r="J285" s="301">
        <v>0</v>
      </c>
      <c r="K285" s="272">
        <f t="shared" si="19"/>
        <v>0</v>
      </c>
    </row>
    <row r="286" spans="2:11" hidden="1" outlineLevel="1" x14ac:dyDescent="0.3">
      <c r="B286" s="6"/>
      <c r="C286" s="240" t="s">
        <v>152</v>
      </c>
      <c r="D286" s="301">
        <v>0</v>
      </c>
      <c r="E286" s="271">
        <f t="shared" si="16"/>
        <v>0</v>
      </c>
      <c r="F286" s="301">
        <v>0</v>
      </c>
      <c r="G286" s="271">
        <f t="shared" si="17"/>
        <v>0</v>
      </c>
      <c r="H286" s="301">
        <v>0</v>
      </c>
      <c r="I286" s="271">
        <f t="shared" si="18"/>
        <v>0</v>
      </c>
      <c r="J286" s="301">
        <v>0</v>
      </c>
      <c r="K286" s="272">
        <f t="shared" si="19"/>
        <v>0</v>
      </c>
    </row>
    <row r="287" spans="2:11" hidden="1" outlineLevel="1" x14ac:dyDescent="0.3">
      <c r="B287" s="6"/>
      <c r="C287" s="303" t="s">
        <v>153</v>
      </c>
      <c r="D287" s="301">
        <v>0</v>
      </c>
      <c r="E287" s="271">
        <f t="shared" si="16"/>
        <v>0</v>
      </c>
      <c r="F287" s="301">
        <v>0</v>
      </c>
      <c r="G287" s="271">
        <f t="shared" si="17"/>
        <v>0</v>
      </c>
      <c r="H287" s="301">
        <v>0</v>
      </c>
      <c r="I287" s="271">
        <f t="shared" si="18"/>
        <v>0</v>
      </c>
      <c r="J287" s="301">
        <v>0</v>
      </c>
      <c r="K287" s="272">
        <f t="shared" si="19"/>
        <v>0</v>
      </c>
    </row>
    <row r="288" spans="2:11" hidden="1" outlineLevel="1" x14ac:dyDescent="0.3">
      <c r="B288" s="6"/>
      <c r="C288" s="303" t="s">
        <v>153</v>
      </c>
      <c r="D288" s="301">
        <v>0</v>
      </c>
      <c r="E288" s="271">
        <f t="shared" si="16"/>
        <v>0</v>
      </c>
      <c r="F288" s="301">
        <v>0</v>
      </c>
      <c r="G288" s="271">
        <f t="shared" si="17"/>
        <v>0</v>
      </c>
      <c r="H288" s="301">
        <v>0</v>
      </c>
      <c r="I288" s="271">
        <f t="shared" si="18"/>
        <v>0</v>
      </c>
      <c r="J288" s="301">
        <v>0</v>
      </c>
      <c r="K288" s="272">
        <f t="shared" si="19"/>
        <v>0</v>
      </c>
    </row>
    <row r="289" spans="2:11" hidden="1" outlineLevel="1" x14ac:dyDescent="0.3">
      <c r="B289" s="19"/>
      <c r="C289" s="303" t="s">
        <v>153</v>
      </c>
      <c r="D289" s="301">
        <v>0</v>
      </c>
      <c r="E289" s="271">
        <f t="shared" si="16"/>
        <v>0</v>
      </c>
      <c r="F289" s="301">
        <v>0</v>
      </c>
      <c r="G289" s="271">
        <f t="shared" si="17"/>
        <v>0</v>
      </c>
      <c r="H289" s="301">
        <v>0</v>
      </c>
      <c r="I289" s="271">
        <f t="shared" si="18"/>
        <v>0</v>
      </c>
      <c r="J289" s="301">
        <v>0</v>
      </c>
      <c r="K289" s="272">
        <f t="shared" si="19"/>
        <v>0</v>
      </c>
    </row>
    <row r="290" spans="2:11" hidden="1" outlineLevel="1" x14ac:dyDescent="0.3">
      <c r="B290" s="6"/>
      <c r="C290" s="303" t="s">
        <v>153</v>
      </c>
      <c r="D290" s="302">
        <v>0</v>
      </c>
      <c r="E290" s="271">
        <f t="shared" si="16"/>
        <v>0</v>
      </c>
      <c r="F290" s="302">
        <v>0</v>
      </c>
      <c r="G290" s="271">
        <f t="shared" si="17"/>
        <v>0</v>
      </c>
      <c r="H290" s="302">
        <v>0</v>
      </c>
      <c r="I290" s="271">
        <f t="shared" si="18"/>
        <v>0</v>
      </c>
      <c r="J290" s="302">
        <v>0</v>
      </c>
      <c r="K290" s="272">
        <f t="shared" si="19"/>
        <v>0</v>
      </c>
    </row>
    <row r="291" spans="2:11" hidden="1" outlineLevel="1" x14ac:dyDescent="0.3">
      <c r="B291" s="6"/>
      <c r="C291" s="274" t="s">
        <v>154</v>
      </c>
      <c r="D291" s="273">
        <f>SUM(D278:D290)</f>
        <v>0</v>
      </c>
      <c r="E291" s="271">
        <f t="shared" si="16"/>
        <v>0</v>
      </c>
      <c r="F291" s="273">
        <f>SUM(F278:F290)</f>
        <v>0</v>
      </c>
      <c r="G291" s="271">
        <f t="shared" si="17"/>
        <v>0</v>
      </c>
      <c r="H291" s="273">
        <f>SUM(H278:H290)</f>
        <v>0</v>
      </c>
      <c r="I291" s="271">
        <f t="shared" si="18"/>
        <v>0</v>
      </c>
      <c r="J291" s="273">
        <f>SUM(J278:J290)</f>
        <v>0</v>
      </c>
      <c r="K291" s="272">
        <f t="shared" si="19"/>
        <v>0</v>
      </c>
    </row>
    <row r="292" spans="2:11" hidden="1" outlineLevel="1" x14ac:dyDescent="0.3">
      <c r="B292" s="6"/>
      <c r="C292" s="274"/>
      <c r="D292" s="275"/>
      <c r="E292" s="276"/>
      <c r="F292" s="275"/>
      <c r="G292" s="276"/>
      <c r="H292" s="275"/>
      <c r="I292" s="276"/>
      <c r="J292" s="275"/>
      <c r="K292" s="278"/>
    </row>
    <row r="293" spans="2:11" hidden="1" outlineLevel="1" x14ac:dyDescent="0.3">
      <c r="B293" s="6"/>
      <c r="C293" s="274" t="s">
        <v>155</v>
      </c>
      <c r="D293" s="273">
        <f>D276-D291</f>
        <v>0</v>
      </c>
      <c r="E293" s="271">
        <f>IF(D$274=0,0,D293/D$274)</f>
        <v>0</v>
      </c>
      <c r="F293" s="273">
        <f>F276-F291</f>
        <v>0</v>
      </c>
      <c r="G293" s="271">
        <f>IF(F$274=0,0,F293/F$274)</f>
        <v>0</v>
      </c>
      <c r="H293" s="273">
        <f>H276-H291</f>
        <v>0</v>
      </c>
      <c r="I293" s="271">
        <f>IF(H$274=0,0,H293/H$274)</f>
        <v>0</v>
      </c>
      <c r="J293" s="273">
        <f>J276-J291</f>
        <v>0</v>
      </c>
      <c r="K293" s="272">
        <f>IF(J$274=0,0,J293/J$274)</f>
        <v>0</v>
      </c>
    </row>
    <row r="294" spans="2:11" hidden="1" outlineLevel="1" x14ac:dyDescent="0.3">
      <c r="B294" s="6"/>
      <c r="C294" s="274"/>
      <c r="D294" s="275"/>
      <c r="E294" s="276"/>
      <c r="F294" s="275"/>
      <c r="G294" s="276"/>
      <c r="H294" s="275"/>
      <c r="I294" s="276"/>
      <c r="J294" s="275"/>
      <c r="K294" s="277"/>
    </row>
    <row r="295" spans="2:11" hidden="1" outlineLevel="1" x14ac:dyDescent="0.3">
      <c r="B295" s="6"/>
      <c r="C295" s="240" t="s">
        <v>450</v>
      </c>
      <c r="D295" s="300">
        <v>0</v>
      </c>
      <c r="E295" s="271">
        <f>IF(D$274=0,0,D295/D$274)</f>
        <v>0</v>
      </c>
      <c r="F295" s="300">
        <v>0</v>
      </c>
      <c r="G295" s="271">
        <f>IF(F$274=0,0,F295/F$274)</f>
        <v>0</v>
      </c>
      <c r="H295" s="300">
        <v>0</v>
      </c>
      <c r="I295" s="271">
        <f>IF(H$274=0,0,H295/H$274)</f>
        <v>0</v>
      </c>
      <c r="J295" s="300">
        <v>0</v>
      </c>
      <c r="K295" s="272">
        <f>IF(J$274=0,0,J295/J$274)</f>
        <v>0</v>
      </c>
    </row>
    <row r="296" spans="2:11" hidden="1" outlineLevel="1" x14ac:dyDescent="0.3">
      <c r="B296" s="6"/>
      <c r="C296" s="240" t="s">
        <v>450</v>
      </c>
      <c r="D296" s="301">
        <v>0</v>
      </c>
      <c r="E296" s="271">
        <f>IF(D$274=0,0,D296/D$274)</f>
        <v>0</v>
      </c>
      <c r="F296" s="301">
        <v>0</v>
      </c>
      <c r="G296" s="271">
        <f>IF(F$274=0,0,F296/F$274)</f>
        <v>0</v>
      </c>
      <c r="H296" s="301">
        <v>0</v>
      </c>
      <c r="I296" s="271">
        <f>IF(H$274=0,0,H296/H$274)</f>
        <v>0</v>
      </c>
      <c r="J296" s="301">
        <v>0</v>
      </c>
      <c r="K296" s="272">
        <f>IF(J$274=0,0,J296/J$274)</f>
        <v>0</v>
      </c>
    </row>
    <row r="297" spans="2:11" hidden="1" outlineLevel="1" x14ac:dyDescent="0.3">
      <c r="B297" s="6"/>
      <c r="C297" s="274" t="s">
        <v>157</v>
      </c>
      <c r="D297" s="273">
        <f>SUM(D295:D296)</f>
        <v>0</v>
      </c>
      <c r="E297" s="271">
        <f>IF(D$274=0,0,D297/D$274)</f>
        <v>0</v>
      </c>
      <c r="F297" s="273">
        <f>SUM(F295:F296)</f>
        <v>0</v>
      </c>
      <c r="G297" s="271">
        <f>IF(F$274=0,0,F297/F$274)</f>
        <v>0</v>
      </c>
      <c r="H297" s="273">
        <f>SUM(H295:H296)</f>
        <v>0</v>
      </c>
      <c r="I297" s="271">
        <f>IF(H$274=0,0,H297/H$274)</f>
        <v>0</v>
      </c>
      <c r="J297" s="273">
        <f>SUM(J295:J296)</f>
        <v>0</v>
      </c>
      <c r="K297" s="272">
        <f>IF(J$274=0,0,J297/J$274)</f>
        <v>0</v>
      </c>
    </row>
    <row r="298" spans="2:11" hidden="1" outlineLevel="1" x14ac:dyDescent="0.3">
      <c r="B298" s="6"/>
      <c r="C298" s="274"/>
      <c r="D298" s="275"/>
      <c r="E298" s="276"/>
      <c r="F298" s="275"/>
      <c r="G298" s="276"/>
      <c r="H298" s="275"/>
      <c r="I298" s="276"/>
      <c r="J298" s="275"/>
      <c r="K298" s="278"/>
    </row>
    <row r="299" spans="2:11" hidden="1" outlineLevel="1" x14ac:dyDescent="0.3">
      <c r="B299" s="6"/>
      <c r="C299" s="274" t="s">
        <v>158</v>
      </c>
      <c r="D299" s="273">
        <f>D276-D291+D297</f>
        <v>0</v>
      </c>
      <c r="E299" s="271">
        <f>IF(D$274=0,0,D299/D$274)</f>
        <v>0</v>
      </c>
      <c r="F299" s="273">
        <f>F276-F291+F297</f>
        <v>0</v>
      </c>
      <c r="G299" s="271">
        <f>IF(F$274=0,0,F299/F$274)</f>
        <v>0</v>
      </c>
      <c r="H299" s="273">
        <f>H276-H291+H297</f>
        <v>0</v>
      </c>
      <c r="I299" s="271">
        <f>IF(H$274=0,0,H299/H$274)</f>
        <v>0</v>
      </c>
      <c r="J299" s="273">
        <f>J276-J291+J297</f>
        <v>0</v>
      </c>
      <c r="K299" s="272">
        <f>IF(J$274=0,0,J299/J$274)</f>
        <v>0</v>
      </c>
    </row>
    <row r="300" spans="2:11" hidden="1" outlineLevel="1" x14ac:dyDescent="0.3">
      <c r="B300" s="6"/>
      <c r="C300" s="274" t="s">
        <v>159</v>
      </c>
      <c r="D300" s="273">
        <v>0</v>
      </c>
      <c r="E300" s="271">
        <f>IF(D$274=0,0,D300/D$274)</f>
        <v>0</v>
      </c>
      <c r="F300" s="273">
        <v>0</v>
      </c>
      <c r="G300" s="271">
        <f>IF(F$274=0,0,F300/F$274)</f>
        <v>0</v>
      </c>
      <c r="H300" s="273">
        <v>0</v>
      </c>
      <c r="I300" s="271">
        <f>IF(H$274=0,0,H300/H$274)</f>
        <v>0</v>
      </c>
      <c r="J300" s="273">
        <v>0</v>
      </c>
      <c r="K300" s="272">
        <f>IF(J$274=0,0,J300/J$274)</f>
        <v>0</v>
      </c>
    </row>
    <row r="301" spans="2:11" hidden="1" outlineLevel="1" x14ac:dyDescent="0.3">
      <c r="B301" s="6"/>
      <c r="C301" s="279"/>
      <c r="D301" s="275"/>
      <c r="E301" s="276"/>
      <c r="F301" s="275"/>
      <c r="G301" s="276"/>
      <c r="H301" s="275"/>
      <c r="I301" s="276"/>
      <c r="J301" s="275"/>
      <c r="K301" s="280"/>
    </row>
    <row r="302" spans="2:11" hidden="1" outlineLevel="1" x14ac:dyDescent="0.3">
      <c r="B302" s="6"/>
      <c r="C302" s="274" t="s">
        <v>160</v>
      </c>
      <c r="D302" s="273">
        <f>D299-D300</f>
        <v>0</v>
      </c>
      <c r="E302" s="271">
        <f>IF(D$274=0,0,D302/D$274)</f>
        <v>0</v>
      </c>
      <c r="F302" s="273">
        <f>F299-F300</f>
        <v>0</v>
      </c>
      <c r="G302" s="271">
        <f>IF(F$274=0,0,F302/F$274)</f>
        <v>0</v>
      </c>
      <c r="H302" s="273">
        <f>H299-H300</f>
        <v>0</v>
      </c>
      <c r="I302" s="271">
        <f>IF(H$274=0,0,H302/H$274)</f>
        <v>0</v>
      </c>
      <c r="J302" s="273">
        <f>J299-J300</f>
        <v>0</v>
      </c>
      <c r="K302" s="272">
        <f>IF(J$274=0,0,J302/J$274)</f>
        <v>0</v>
      </c>
    </row>
    <row r="303" spans="2:11" hidden="1" outlineLevel="1" x14ac:dyDescent="0.3">
      <c r="B303" s="6"/>
      <c r="C303" s="240"/>
      <c r="D303" s="281"/>
      <c r="E303" s="282"/>
      <c r="F303" s="281"/>
      <c r="G303" s="282"/>
      <c r="H303" s="281"/>
      <c r="I303" s="282"/>
      <c r="J303" s="281"/>
      <c r="K303" s="283"/>
    </row>
    <row r="304" spans="2:11" hidden="1" outlineLevel="1" x14ac:dyDescent="0.3">
      <c r="B304" s="6"/>
      <c r="C304" s="284" t="s">
        <v>396</v>
      </c>
      <c r="D304" s="1"/>
      <c r="E304" s="1"/>
      <c r="F304" s="1"/>
      <c r="G304" s="1"/>
      <c r="H304" s="1"/>
      <c r="I304" s="1"/>
      <c r="J304" s="1"/>
      <c r="K304" s="4"/>
    </row>
    <row r="305" spans="2:11" hidden="1" outlineLevel="1" x14ac:dyDescent="0.3">
      <c r="B305" s="6"/>
      <c r="C305" s="285" t="s">
        <v>385</v>
      </c>
      <c r="D305" s="300">
        <f>D278</f>
        <v>0</v>
      </c>
      <c r="E305" s="1"/>
      <c r="F305" s="300">
        <f>F278</f>
        <v>0</v>
      </c>
      <c r="G305" s="1"/>
      <c r="H305" s="300">
        <f>H278</f>
        <v>0</v>
      </c>
      <c r="I305" s="1"/>
      <c r="J305" s="300">
        <f>J278</f>
        <v>0</v>
      </c>
      <c r="K305" s="4"/>
    </row>
    <row r="306" spans="2:11" hidden="1" outlineLevel="1" x14ac:dyDescent="0.3">
      <c r="B306" s="6"/>
      <c r="C306" s="286" t="s">
        <v>386</v>
      </c>
      <c r="D306" s="301">
        <f>D285</f>
        <v>0</v>
      </c>
      <c r="E306" s="1"/>
      <c r="F306" s="301">
        <f>F285</f>
        <v>0</v>
      </c>
      <c r="G306" s="1"/>
      <c r="H306" s="301">
        <f>H285</f>
        <v>0</v>
      </c>
      <c r="I306" s="1"/>
      <c r="J306" s="301">
        <f>J285</f>
        <v>0</v>
      </c>
      <c r="K306" s="4"/>
    </row>
    <row r="307" spans="2:11" hidden="1" outlineLevel="1" x14ac:dyDescent="0.3">
      <c r="B307" s="6"/>
      <c r="C307" s="286" t="s">
        <v>387</v>
      </c>
      <c r="D307" s="301">
        <f>D284</f>
        <v>0</v>
      </c>
      <c r="E307" s="1"/>
      <c r="F307" s="301">
        <f>F284</f>
        <v>0</v>
      </c>
      <c r="G307" s="1"/>
      <c r="H307" s="301">
        <f>H284</f>
        <v>0</v>
      </c>
      <c r="I307" s="1"/>
      <c r="J307" s="301">
        <f>J284</f>
        <v>0</v>
      </c>
      <c r="K307" s="4"/>
    </row>
    <row r="308" spans="2:11" hidden="1" outlineLevel="1" x14ac:dyDescent="0.3">
      <c r="B308" s="6"/>
      <c r="C308" s="286" t="s">
        <v>397</v>
      </c>
      <c r="D308" s="301">
        <v>0</v>
      </c>
      <c r="E308" s="1"/>
      <c r="F308" s="301">
        <v>0</v>
      </c>
      <c r="G308" s="1"/>
      <c r="H308" s="301">
        <v>0</v>
      </c>
      <c r="I308" s="1"/>
      <c r="J308" s="301">
        <v>0</v>
      </c>
      <c r="K308" s="4"/>
    </row>
    <row r="309" spans="2:11" hidden="1" outlineLevel="1" x14ac:dyDescent="0.3">
      <c r="B309" s="6"/>
      <c r="C309" s="304" t="s">
        <v>153</v>
      </c>
      <c r="D309" s="301">
        <v>0</v>
      </c>
      <c r="E309" s="1"/>
      <c r="F309" s="301">
        <v>0</v>
      </c>
      <c r="G309" s="1"/>
      <c r="H309" s="301">
        <v>0</v>
      </c>
      <c r="I309" s="1"/>
      <c r="J309" s="301">
        <v>0</v>
      </c>
      <c r="K309" s="4"/>
    </row>
    <row r="310" spans="2:11" hidden="1" outlineLevel="1" x14ac:dyDescent="0.3">
      <c r="B310" s="6"/>
      <c r="C310" s="304" t="s">
        <v>153</v>
      </c>
      <c r="D310" s="301">
        <v>0</v>
      </c>
      <c r="E310" s="1"/>
      <c r="F310" s="301">
        <v>0</v>
      </c>
      <c r="G310" s="1"/>
      <c r="H310" s="301">
        <v>0</v>
      </c>
      <c r="I310" s="1"/>
      <c r="J310" s="301">
        <v>0</v>
      </c>
      <c r="K310" s="4"/>
    </row>
    <row r="311" spans="2:11" hidden="1" outlineLevel="1" x14ac:dyDescent="0.3">
      <c r="B311" s="6"/>
      <c r="C311" s="286" t="s">
        <v>388</v>
      </c>
      <c r="D311" s="301">
        <v>0</v>
      </c>
      <c r="E311" s="1"/>
      <c r="F311" s="301">
        <v>0</v>
      </c>
      <c r="G311" s="1"/>
      <c r="H311" s="301">
        <v>0</v>
      </c>
      <c r="I311" s="1"/>
      <c r="J311" s="301">
        <v>0</v>
      </c>
      <c r="K311" s="4"/>
    </row>
    <row r="312" spans="2:11" hidden="1" outlineLevel="1" x14ac:dyDescent="0.3">
      <c r="B312" s="6"/>
      <c r="C312" s="286" t="s">
        <v>389</v>
      </c>
      <c r="D312" s="302">
        <v>0</v>
      </c>
      <c r="E312" s="1"/>
      <c r="F312" s="302">
        <v>0</v>
      </c>
      <c r="G312" s="1"/>
      <c r="H312" s="302">
        <v>0</v>
      </c>
      <c r="I312" s="1"/>
      <c r="J312" s="302">
        <v>0</v>
      </c>
      <c r="K312" s="4"/>
    </row>
    <row r="313" spans="2:11" hidden="1" outlineLevel="1" x14ac:dyDescent="0.3">
      <c r="B313" s="6"/>
      <c r="C313" s="286"/>
      <c r="D313" s="1"/>
      <c r="E313" s="1"/>
      <c r="F313" s="1"/>
      <c r="G313" s="1"/>
      <c r="H313" s="1"/>
      <c r="I313" s="1"/>
      <c r="J313" s="1"/>
      <c r="K313" s="4"/>
    </row>
    <row r="314" spans="2:11" hidden="1" outlineLevel="1" x14ac:dyDescent="0.3">
      <c r="B314" s="6"/>
      <c r="C314" s="286" t="s">
        <v>162</v>
      </c>
      <c r="D314" s="287">
        <f>D302+SUM(D305:D312)</f>
        <v>0</v>
      </c>
      <c r="E314" s="288"/>
      <c r="F314" s="287">
        <f>F302+SUM(F305:F312)</f>
        <v>0</v>
      </c>
      <c r="G314" s="288"/>
      <c r="H314" s="287">
        <f>H302+SUM(H305:H312)</f>
        <v>0</v>
      </c>
      <c r="I314" s="288"/>
      <c r="J314" s="287">
        <f>J302+SUM(J305:J312)</f>
        <v>0</v>
      </c>
      <c r="K314" s="4"/>
    </row>
    <row r="315" spans="2:11" hidden="1" outlineLevel="1" x14ac:dyDescent="0.3">
      <c r="B315" s="6"/>
      <c r="C315" s="286"/>
      <c r="D315" s="1"/>
      <c r="E315" s="1"/>
      <c r="F315" s="1"/>
      <c r="G315" s="1"/>
      <c r="H315" s="1"/>
      <c r="I315" s="1"/>
      <c r="J315" s="1"/>
      <c r="K315" s="4"/>
    </row>
    <row r="316" spans="2:11" hidden="1" outlineLevel="1" x14ac:dyDescent="0.3">
      <c r="B316" s="6"/>
      <c r="C316" s="240" t="s">
        <v>177</v>
      </c>
      <c r="D316" s="305">
        <v>0</v>
      </c>
      <c r="E316" s="1"/>
      <c r="F316" s="305">
        <v>0</v>
      </c>
      <c r="G316" s="1"/>
      <c r="H316" s="305">
        <v>0</v>
      </c>
      <c r="I316" s="1"/>
      <c r="J316" s="305">
        <v>0</v>
      </c>
      <c r="K316" s="4"/>
    </row>
    <row r="317" spans="2:11" hidden="1" outlineLevel="1" x14ac:dyDescent="0.3">
      <c r="B317" s="6"/>
      <c r="C317" s="240" t="s">
        <v>163</v>
      </c>
      <c r="D317" s="289">
        <f>D316*D270</f>
        <v>0</v>
      </c>
      <c r="E317" s="1"/>
      <c r="F317" s="289">
        <f>F316*F270</f>
        <v>0</v>
      </c>
      <c r="G317" s="1"/>
      <c r="H317" s="289">
        <f>H316*H270</f>
        <v>0</v>
      </c>
      <c r="I317" s="1"/>
      <c r="J317" s="289">
        <f>J316*J270</f>
        <v>0</v>
      </c>
      <c r="K317" s="4"/>
    </row>
    <row r="318" spans="2:11" hidden="1" outlineLevel="1" x14ac:dyDescent="0.3">
      <c r="B318" s="6"/>
      <c r="C318" s="240"/>
      <c r="D318" s="1"/>
      <c r="E318" s="1"/>
      <c r="F318" s="1"/>
      <c r="G318" s="1"/>
      <c r="H318" s="1"/>
      <c r="I318" s="1"/>
      <c r="J318" s="1"/>
      <c r="K318" s="4"/>
    </row>
    <row r="319" spans="2:11" hidden="1" outlineLevel="1" x14ac:dyDescent="0.3">
      <c r="B319" s="6"/>
      <c r="C319" s="274" t="s">
        <v>165</v>
      </c>
      <c r="D319" s="290">
        <f>IFERROR(D314/D317,0)</f>
        <v>0</v>
      </c>
      <c r="E319" s="1"/>
      <c r="F319" s="290">
        <f>IFERROR(F314/F317,0)</f>
        <v>0</v>
      </c>
      <c r="G319" s="1"/>
      <c r="H319" s="290">
        <f>IFERROR(H314/H317,0)</f>
        <v>0</v>
      </c>
      <c r="I319" s="1"/>
      <c r="J319" s="290">
        <f>IFERROR(J314/J317,0)</f>
        <v>0</v>
      </c>
      <c r="K319" s="4"/>
    </row>
    <row r="320" spans="2:11" ht="15" hidden="1" outlineLevel="1" thickBot="1" x14ac:dyDescent="0.35">
      <c r="B320" s="1285"/>
      <c r="C320" s="1286"/>
      <c r="D320" s="1286"/>
      <c r="E320" s="33"/>
      <c r="F320" s="33"/>
      <c r="G320" s="33"/>
      <c r="H320" s="33"/>
      <c r="I320" s="33"/>
      <c r="J320" s="33"/>
      <c r="K320" s="7"/>
    </row>
    <row r="321" spans="2:11" ht="15" collapsed="1" thickBot="1" x14ac:dyDescent="0.35"/>
    <row r="322" spans="2:11" ht="16.2" thickBot="1" x14ac:dyDescent="0.35">
      <c r="B322" s="227" t="s">
        <v>398</v>
      </c>
      <c r="C322" s="228"/>
      <c r="D322" s="228"/>
      <c r="E322" s="228"/>
      <c r="F322" s="228"/>
      <c r="G322" s="228"/>
      <c r="H322" s="228"/>
      <c r="I322" s="228"/>
      <c r="J322" s="228"/>
      <c r="K322" s="229"/>
    </row>
    <row r="323" spans="2:11" ht="16.2" thickBot="1" x14ac:dyDescent="0.35">
      <c r="B323" s="1290" t="s">
        <v>399</v>
      </c>
      <c r="C323" s="1291"/>
      <c r="D323" s="1291"/>
      <c r="E323" s="1291"/>
      <c r="F323" s="1291"/>
      <c r="G323" s="1291"/>
      <c r="H323" s="1291"/>
      <c r="I323" s="1292"/>
      <c r="J323" s="255" t="s">
        <v>129</v>
      </c>
      <c r="K323" s="296" t="s">
        <v>43</v>
      </c>
    </row>
    <row r="324" spans="2:11" hidden="1" outlineLevel="1" x14ac:dyDescent="0.3">
      <c r="B324" s="256"/>
      <c r="C324" s="257"/>
      <c r="D324" s="258"/>
      <c r="E324" s="258"/>
      <c r="F324" s="258"/>
      <c r="G324" s="258"/>
      <c r="H324" s="258"/>
      <c r="I324" s="258"/>
      <c r="J324" s="258"/>
      <c r="K324" s="259"/>
    </row>
    <row r="325" spans="2:11" hidden="1" outlineLevel="1" x14ac:dyDescent="0.3">
      <c r="B325" s="260" t="s">
        <v>132</v>
      </c>
      <c r="C325" s="29"/>
      <c r="D325" s="297">
        <f>'BDO Prequal'!$D$99</f>
        <v>45291</v>
      </c>
      <c r="E325" s="261"/>
      <c r="F325" s="297">
        <f>EOMONTH(D325,F326)</f>
        <v>45657</v>
      </c>
      <c r="G325" s="261"/>
      <c r="H325" s="297">
        <f>EOMONTH(F325,H326)</f>
        <v>46022</v>
      </c>
      <c r="I325" s="261"/>
      <c r="J325" s="297">
        <f>EOMONTH(H325,J326)</f>
        <v>46112</v>
      </c>
      <c r="K325" s="4"/>
    </row>
    <row r="326" spans="2:11" hidden="1" outlineLevel="1" x14ac:dyDescent="0.3">
      <c r="B326" s="260" t="s">
        <v>134</v>
      </c>
      <c r="C326" s="29"/>
      <c r="D326" s="298">
        <v>12</v>
      </c>
      <c r="E326" s="262"/>
      <c r="F326" s="298">
        <v>12</v>
      </c>
      <c r="G326" s="262"/>
      <c r="H326" s="298">
        <v>12</v>
      </c>
      <c r="I326" s="262"/>
      <c r="J326" s="298">
        <v>3</v>
      </c>
      <c r="K326" s="263"/>
    </row>
    <row r="327" spans="2:11" hidden="1" outlineLevel="1" x14ac:dyDescent="0.3">
      <c r="B327" s="260" t="s">
        <v>136</v>
      </c>
      <c r="C327" s="29"/>
      <c r="D327" s="299" t="s">
        <v>137</v>
      </c>
      <c r="E327" s="264"/>
      <c r="F327" s="299" t="s">
        <v>137</v>
      </c>
      <c r="G327" s="264"/>
      <c r="H327" s="299"/>
      <c r="I327" s="264"/>
      <c r="J327" s="299" t="s">
        <v>138</v>
      </c>
      <c r="K327" s="263"/>
    </row>
    <row r="328" spans="2:11" hidden="1" outlineLevel="1" x14ac:dyDescent="0.3">
      <c r="B328" s="260" t="s">
        <v>140</v>
      </c>
      <c r="C328" s="29"/>
      <c r="D328" s="299"/>
      <c r="E328" s="264"/>
      <c r="F328" s="299"/>
      <c r="G328" s="264"/>
      <c r="H328" s="299"/>
      <c r="I328" s="264"/>
      <c r="J328" s="299"/>
      <c r="K328" s="263"/>
    </row>
    <row r="329" spans="2:11" hidden="1" outlineLevel="1" x14ac:dyDescent="0.3">
      <c r="B329" s="265"/>
      <c r="C329" s="1"/>
      <c r="D329" s="294"/>
      <c r="E329" s="295"/>
      <c r="F329" s="294"/>
      <c r="G329" s="295"/>
      <c r="H329" s="294"/>
      <c r="I329" s="295"/>
      <c r="J329" s="269">
        <f>(J330/J326)*12</f>
        <v>0</v>
      </c>
      <c r="K329" s="270"/>
    </row>
    <row r="330" spans="2:11" hidden="1" outlineLevel="1" x14ac:dyDescent="0.3">
      <c r="B330" s="19"/>
      <c r="C330" s="240" t="s">
        <v>141</v>
      </c>
      <c r="D330" s="300">
        <v>0</v>
      </c>
      <c r="E330" s="271">
        <f>IF(D$274=0,0,D330/D$274)</f>
        <v>0</v>
      </c>
      <c r="F330" s="300">
        <v>0</v>
      </c>
      <c r="G330" s="271">
        <f>IF(F$274=0,0,F330/F$274)</f>
        <v>0</v>
      </c>
      <c r="H330" s="300">
        <v>0</v>
      </c>
      <c r="I330" s="271">
        <f>IF(H$274=0,0,H330/H$274)</f>
        <v>0</v>
      </c>
      <c r="J330" s="300">
        <v>0</v>
      </c>
      <c r="K330" s="272">
        <f>IF(J$274=0,0,J330/J$274)</f>
        <v>0</v>
      </c>
    </row>
    <row r="331" spans="2:11" hidden="1" outlineLevel="1" x14ac:dyDescent="0.3">
      <c r="B331" s="6"/>
      <c r="C331" s="240" t="s">
        <v>142</v>
      </c>
      <c r="D331" s="301">
        <v>0</v>
      </c>
      <c r="E331" s="271">
        <f>IF(D$274=0,0,D331/D$274)</f>
        <v>0</v>
      </c>
      <c r="F331" s="301">
        <v>0</v>
      </c>
      <c r="G331" s="271">
        <f>IF(F$274=0,0,F331/F$274)</f>
        <v>0</v>
      </c>
      <c r="H331" s="301">
        <v>0</v>
      </c>
      <c r="I331" s="271">
        <f>IF(H$274=0,0,H331/H$274)</f>
        <v>0</v>
      </c>
      <c r="J331" s="301">
        <v>0</v>
      </c>
      <c r="K331" s="272">
        <f>IF(J$274=0,0,J331/J$274)</f>
        <v>0</v>
      </c>
    </row>
    <row r="332" spans="2:11" hidden="1" outlineLevel="1" x14ac:dyDescent="0.3">
      <c r="B332" s="6"/>
      <c r="C332" s="240" t="s">
        <v>143</v>
      </c>
      <c r="D332" s="273">
        <f>D330-D331</f>
        <v>0</v>
      </c>
      <c r="E332" s="271">
        <f>IF(D$274=0,0,D332/D$274)</f>
        <v>0</v>
      </c>
      <c r="F332" s="273">
        <f>F330-F331</f>
        <v>0</v>
      </c>
      <c r="G332" s="271">
        <f>IF(F$274=0,0,F332/F$274)</f>
        <v>0</v>
      </c>
      <c r="H332" s="273">
        <f>H330-H331</f>
        <v>0</v>
      </c>
      <c r="I332" s="271">
        <f>IF(H$274=0,0,H332/H$274)</f>
        <v>0</v>
      </c>
      <c r="J332" s="273">
        <f>J330-J331</f>
        <v>0</v>
      </c>
      <c r="K332" s="272">
        <f>IF(J$274=0,0,J332/J$274)</f>
        <v>0</v>
      </c>
    </row>
    <row r="333" spans="2:11" hidden="1" outlineLevel="1" x14ac:dyDescent="0.3">
      <c r="B333" s="6"/>
      <c r="C333" s="274"/>
      <c r="D333" s="275"/>
      <c r="E333" s="276"/>
      <c r="F333" s="275"/>
      <c r="G333" s="276"/>
      <c r="H333" s="275"/>
      <c r="I333" s="276"/>
      <c r="J333" s="275"/>
      <c r="K333" s="277"/>
    </row>
    <row r="334" spans="2:11" hidden="1" outlineLevel="1" x14ac:dyDescent="0.3">
      <c r="B334" s="6"/>
      <c r="C334" s="240" t="s">
        <v>144</v>
      </c>
      <c r="D334" s="300">
        <v>0</v>
      </c>
      <c r="E334" s="271">
        <f t="shared" ref="E334:E347" si="20">IF(D$274=0,0,D334/D$274)</f>
        <v>0</v>
      </c>
      <c r="F334" s="300">
        <v>0</v>
      </c>
      <c r="G334" s="271">
        <f t="shared" ref="G334:G347" si="21">IF(F$274=0,0,F334/F$274)</f>
        <v>0</v>
      </c>
      <c r="H334" s="300">
        <v>0</v>
      </c>
      <c r="I334" s="271">
        <f t="shared" ref="I334:I347" si="22">IF(H$274=0,0,H334/H$274)</f>
        <v>0</v>
      </c>
      <c r="J334" s="300">
        <v>0</v>
      </c>
      <c r="K334" s="272">
        <f t="shared" ref="K334:K347" si="23">IF(J$274=0,0,J334/J$274)</f>
        <v>0</v>
      </c>
    </row>
    <row r="335" spans="2:11" hidden="1" outlineLevel="1" x14ac:dyDescent="0.3">
      <c r="B335" s="6"/>
      <c r="C335" s="240" t="s">
        <v>145</v>
      </c>
      <c r="D335" s="301">
        <v>0</v>
      </c>
      <c r="E335" s="271">
        <f t="shared" si="20"/>
        <v>0</v>
      </c>
      <c r="F335" s="301">
        <v>0</v>
      </c>
      <c r="G335" s="271">
        <f t="shared" si="21"/>
        <v>0</v>
      </c>
      <c r="H335" s="301">
        <v>0</v>
      </c>
      <c r="I335" s="271">
        <f t="shared" si="22"/>
        <v>0</v>
      </c>
      <c r="J335" s="301">
        <v>0</v>
      </c>
      <c r="K335" s="272">
        <f t="shared" si="23"/>
        <v>0</v>
      </c>
    </row>
    <row r="336" spans="2:11" hidden="1" outlineLevel="1" x14ac:dyDescent="0.3">
      <c r="B336" s="6"/>
      <c r="C336" s="240" t="s">
        <v>146</v>
      </c>
      <c r="D336" s="301">
        <v>0</v>
      </c>
      <c r="E336" s="271">
        <f t="shared" si="20"/>
        <v>0</v>
      </c>
      <c r="F336" s="301">
        <v>0</v>
      </c>
      <c r="G336" s="271">
        <f t="shared" si="21"/>
        <v>0</v>
      </c>
      <c r="H336" s="301">
        <v>0</v>
      </c>
      <c r="I336" s="271">
        <f t="shared" si="22"/>
        <v>0</v>
      </c>
      <c r="J336" s="301">
        <v>0</v>
      </c>
      <c r="K336" s="272">
        <f t="shared" si="23"/>
        <v>0</v>
      </c>
    </row>
    <row r="337" spans="2:11" hidden="1" outlineLevel="1" x14ac:dyDescent="0.3">
      <c r="B337" s="6"/>
      <c r="C337" s="240" t="s">
        <v>147</v>
      </c>
      <c r="D337" s="301">
        <v>0</v>
      </c>
      <c r="E337" s="271">
        <f t="shared" si="20"/>
        <v>0</v>
      </c>
      <c r="F337" s="301">
        <v>0</v>
      </c>
      <c r="G337" s="271">
        <f t="shared" si="21"/>
        <v>0</v>
      </c>
      <c r="H337" s="301">
        <v>0</v>
      </c>
      <c r="I337" s="271">
        <f t="shared" si="22"/>
        <v>0</v>
      </c>
      <c r="J337" s="301">
        <v>0</v>
      </c>
      <c r="K337" s="272">
        <f t="shared" si="23"/>
        <v>0</v>
      </c>
    </row>
    <row r="338" spans="2:11" hidden="1" outlineLevel="1" x14ac:dyDescent="0.3">
      <c r="B338" s="6"/>
      <c r="C338" s="240" t="s">
        <v>148</v>
      </c>
      <c r="D338" s="301">
        <v>0</v>
      </c>
      <c r="E338" s="271">
        <f t="shared" si="20"/>
        <v>0</v>
      </c>
      <c r="F338" s="301">
        <v>0</v>
      </c>
      <c r="G338" s="271">
        <f t="shared" si="21"/>
        <v>0</v>
      </c>
      <c r="H338" s="301">
        <v>0</v>
      </c>
      <c r="I338" s="271">
        <f t="shared" si="22"/>
        <v>0</v>
      </c>
      <c r="J338" s="301">
        <v>0</v>
      </c>
      <c r="K338" s="272">
        <f t="shared" si="23"/>
        <v>0</v>
      </c>
    </row>
    <row r="339" spans="2:11" hidden="1" outlineLevel="1" x14ac:dyDescent="0.3">
      <c r="B339" s="6"/>
      <c r="C339" s="240" t="s">
        <v>149</v>
      </c>
      <c r="D339" s="301">
        <v>0</v>
      </c>
      <c r="E339" s="271">
        <f t="shared" si="20"/>
        <v>0</v>
      </c>
      <c r="F339" s="301">
        <v>0</v>
      </c>
      <c r="G339" s="271">
        <f t="shared" si="21"/>
        <v>0</v>
      </c>
      <c r="H339" s="301">
        <v>0</v>
      </c>
      <c r="I339" s="271">
        <f t="shared" si="22"/>
        <v>0</v>
      </c>
      <c r="J339" s="301">
        <v>0</v>
      </c>
      <c r="K339" s="272">
        <f t="shared" si="23"/>
        <v>0</v>
      </c>
    </row>
    <row r="340" spans="2:11" hidden="1" outlineLevel="1" x14ac:dyDescent="0.3">
      <c r="B340" s="6"/>
      <c r="C340" s="240" t="s">
        <v>150</v>
      </c>
      <c r="D340" s="301">
        <v>0</v>
      </c>
      <c r="E340" s="271">
        <f t="shared" si="20"/>
        <v>0</v>
      </c>
      <c r="F340" s="301">
        <v>0</v>
      </c>
      <c r="G340" s="271">
        <f t="shared" si="21"/>
        <v>0</v>
      </c>
      <c r="H340" s="301">
        <v>0</v>
      </c>
      <c r="I340" s="271">
        <f t="shared" si="22"/>
        <v>0</v>
      </c>
      <c r="J340" s="301">
        <v>0</v>
      </c>
      <c r="K340" s="272">
        <f t="shared" si="23"/>
        <v>0</v>
      </c>
    </row>
    <row r="341" spans="2:11" hidden="1" outlineLevel="1" x14ac:dyDescent="0.3">
      <c r="B341" s="6"/>
      <c r="C341" s="240" t="s">
        <v>151</v>
      </c>
      <c r="D341" s="301">
        <v>0</v>
      </c>
      <c r="E341" s="271">
        <f t="shared" si="20"/>
        <v>0</v>
      </c>
      <c r="F341" s="301">
        <v>0</v>
      </c>
      <c r="G341" s="271">
        <f t="shared" si="21"/>
        <v>0</v>
      </c>
      <c r="H341" s="301">
        <v>0</v>
      </c>
      <c r="I341" s="271">
        <f t="shared" si="22"/>
        <v>0</v>
      </c>
      <c r="J341" s="301">
        <v>0</v>
      </c>
      <c r="K341" s="272">
        <f t="shared" si="23"/>
        <v>0</v>
      </c>
    </row>
    <row r="342" spans="2:11" ht="16.2" hidden="1" customHeight="1" outlineLevel="1" x14ac:dyDescent="0.3">
      <c r="B342" s="6"/>
      <c r="C342" s="240" t="s">
        <v>152</v>
      </c>
      <c r="D342" s="301">
        <v>0</v>
      </c>
      <c r="E342" s="271">
        <f t="shared" si="20"/>
        <v>0</v>
      </c>
      <c r="F342" s="301">
        <v>0</v>
      </c>
      <c r="G342" s="271">
        <f t="shared" si="21"/>
        <v>0</v>
      </c>
      <c r="H342" s="301">
        <v>0</v>
      </c>
      <c r="I342" s="271">
        <f t="shared" si="22"/>
        <v>0</v>
      </c>
      <c r="J342" s="301">
        <v>0</v>
      </c>
      <c r="K342" s="272">
        <f t="shared" si="23"/>
        <v>0</v>
      </c>
    </row>
    <row r="343" spans="2:11" ht="16.2" hidden="1" customHeight="1" outlineLevel="1" x14ac:dyDescent="0.3">
      <c r="B343" s="6"/>
      <c r="C343" s="303" t="s">
        <v>153</v>
      </c>
      <c r="D343" s="301">
        <v>0</v>
      </c>
      <c r="E343" s="271">
        <f t="shared" si="20"/>
        <v>0</v>
      </c>
      <c r="F343" s="301">
        <v>0</v>
      </c>
      <c r="G343" s="271">
        <f t="shared" si="21"/>
        <v>0</v>
      </c>
      <c r="H343" s="301">
        <v>0</v>
      </c>
      <c r="I343" s="271">
        <f t="shared" si="22"/>
        <v>0</v>
      </c>
      <c r="J343" s="301">
        <v>0</v>
      </c>
      <c r="K343" s="272">
        <f t="shared" si="23"/>
        <v>0</v>
      </c>
    </row>
    <row r="344" spans="2:11" ht="15" hidden="1" customHeight="1" outlineLevel="1" x14ac:dyDescent="0.3">
      <c r="B344" s="6"/>
      <c r="C344" s="303" t="s">
        <v>153</v>
      </c>
      <c r="D344" s="301">
        <v>0</v>
      </c>
      <c r="E344" s="271">
        <f t="shared" si="20"/>
        <v>0</v>
      </c>
      <c r="F344" s="301">
        <v>0</v>
      </c>
      <c r="G344" s="271">
        <f t="shared" si="21"/>
        <v>0</v>
      </c>
      <c r="H344" s="301">
        <v>0</v>
      </c>
      <c r="I344" s="271">
        <f t="shared" si="22"/>
        <v>0</v>
      </c>
      <c r="J344" s="301">
        <v>0</v>
      </c>
      <c r="K344" s="272">
        <f t="shared" si="23"/>
        <v>0</v>
      </c>
    </row>
    <row r="345" spans="2:11" ht="15" hidden="1" customHeight="1" outlineLevel="1" x14ac:dyDescent="0.3">
      <c r="B345" s="19"/>
      <c r="C345" s="303" t="s">
        <v>153</v>
      </c>
      <c r="D345" s="301">
        <v>0</v>
      </c>
      <c r="E345" s="271">
        <f t="shared" si="20"/>
        <v>0</v>
      </c>
      <c r="F345" s="301">
        <v>0</v>
      </c>
      <c r="G345" s="271">
        <f t="shared" si="21"/>
        <v>0</v>
      </c>
      <c r="H345" s="301">
        <v>0</v>
      </c>
      <c r="I345" s="271">
        <f t="shared" si="22"/>
        <v>0</v>
      </c>
      <c r="J345" s="301">
        <v>0</v>
      </c>
      <c r="K345" s="272">
        <f t="shared" si="23"/>
        <v>0</v>
      </c>
    </row>
    <row r="346" spans="2:11" ht="15" hidden="1" customHeight="1" outlineLevel="1" x14ac:dyDescent="0.3">
      <c r="B346" s="6"/>
      <c r="C346" s="303" t="s">
        <v>153</v>
      </c>
      <c r="D346" s="302">
        <v>0</v>
      </c>
      <c r="E346" s="271">
        <f t="shared" si="20"/>
        <v>0</v>
      </c>
      <c r="F346" s="302">
        <v>0</v>
      </c>
      <c r="G346" s="271">
        <f t="shared" si="21"/>
        <v>0</v>
      </c>
      <c r="H346" s="302">
        <v>0</v>
      </c>
      <c r="I346" s="271">
        <f t="shared" si="22"/>
        <v>0</v>
      </c>
      <c r="J346" s="302">
        <v>0</v>
      </c>
      <c r="K346" s="272">
        <f t="shared" si="23"/>
        <v>0</v>
      </c>
    </row>
    <row r="347" spans="2:11" ht="15" hidden="1" customHeight="1" outlineLevel="1" x14ac:dyDescent="0.3">
      <c r="B347" s="6"/>
      <c r="C347" s="274" t="s">
        <v>154</v>
      </c>
      <c r="D347" s="273">
        <f>SUM(D334:D346)</f>
        <v>0</v>
      </c>
      <c r="E347" s="271">
        <f t="shared" si="20"/>
        <v>0</v>
      </c>
      <c r="F347" s="273">
        <f>SUM(F334:F346)</f>
        <v>0</v>
      </c>
      <c r="G347" s="271">
        <f t="shared" si="21"/>
        <v>0</v>
      </c>
      <c r="H347" s="273">
        <f>SUM(H334:H346)</f>
        <v>0</v>
      </c>
      <c r="I347" s="271">
        <f t="shared" si="22"/>
        <v>0</v>
      </c>
      <c r="J347" s="273">
        <f>SUM(J334:J346)</f>
        <v>0</v>
      </c>
      <c r="K347" s="272">
        <f t="shared" si="23"/>
        <v>0</v>
      </c>
    </row>
    <row r="348" spans="2:11" ht="15" hidden="1" customHeight="1" outlineLevel="1" x14ac:dyDescent="0.3">
      <c r="B348" s="6"/>
      <c r="C348" s="274"/>
      <c r="D348" s="275"/>
      <c r="E348" s="276"/>
      <c r="F348" s="275"/>
      <c r="G348" s="276"/>
      <c r="H348" s="275"/>
      <c r="I348" s="276"/>
      <c r="J348" s="275"/>
      <c r="K348" s="278"/>
    </row>
    <row r="349" spans="2:11" ht="15" hidden="1" customHeight="1" outlineLevel="1" x14ac:dyDescent="0.3">
      <c r="B349" s="6"/>
      <c r="C349" s="274" t="s">
        <v>155</v>
      </c>
      <c r="D349" s="273">
        <f>D332-D347</f>
        <v>0</v>
      </c>
      <c r="E349" s="271">
        <f>IF(D$274=0,0,D349/D$274)</f>
        <v>0</v>
      </c>
      <c r="F349" s="273">
        <f>F332-F347</f>
        <v>0</v>
      </c>
      <c r="G349" s="271">
        <f>IF(F$274=0,0,F349/F$274)</f>
        <v>0</v>
      </c>
      <c r="H349" s="273">
        <f>H332-H347</f>
        <v>0</v>
      </c>
      <c r="I349" s="271">
        <f>IF(H$274=0,0,H349/H$274)</f>
        <v>0</v>
      </c>
      <c r="J349" s="273">
        <f>J332-J347</f>
        <v>0</v>
      </c>
      <c r="K349" s="272">
        <f>IF(J$274=0,0,J349/J$274)</f>
        <v>0</v>
      </c>
    </row>
    <row r="350" spans="2:11" ht="15" hidden="1" customHeight="1" outlineLevel="1" x14ac:dyDescent="0.3">
      <c r="B350" s="6"/>
      <c r="C350" s="274"/>
      <c r="D350" s="275"/>
      <c r="E350" s="276"/>
      <c r="F350" s="275"/>
      <c r="G350" s="276"/>
      <c r="H350" s="275"/>
      <c r="I350" s="276"/>
      <c r="J350" s="275"/>
      <c r="K350" s="277"/>
    </row>
    <row r="351" spans="2:11" ht="15" hidden="1" customHeight="1" outlineLevel="1" x14ac:dyDescent="0.3">
      <c r="B351" s="6"/>
      <c r="C351" s="240" t="s">
        <v>450</v>
      </c>
      <c r="D351" s="300">
        <v>0</v>
      </c>
      <c r="E351" s="271">
        <f>IF(D$274=0,0,D351/D$274)</f>
        <v>0</v>
      </c>
      <c r="F351" s="300">
        <v>0</v>
      </c>
      <c r="G351" s="271">
        <f>IF(F$274=0,0,F351/F$274)</f>
        <v>0</v>
      </c>
      <c r="H351" s="300">
        <v>0</v>
      </c>
      <c r="I351" s="271">
        <f>IF(H$274=0,0,H351/H$274)</f>
        <v>0</v>
      </c>
      <c r="J351" s="300">
        <v>0</v>
      </c>
      <c r="K351" s="272">
        <f>IF(J$274=0,0,J351/J$274)</f>
        <v>0</v>
      </c>
    </row>
    <row r="352" spans="2:11" ht="15" hidden="1" customHeight="1" outlineLevel="1" x14ac:dyDescent="0.3">
      <c r="B352" s="6"/>
      <c r="C352" s="240" t="s">
        <v>450</v>
      </c>
      <c r="D352" s="301">
        <v>0</v>
      </c>
      <c r="E352" s="271">
        <f>IF(D$274=0,0,D352/D$274)</f>
        <v>0</v>
      </c>
      <c r="F352" s="301">
        <v>0</v>
      </c>
      <c r="G352" s="271">
        <f>IF(F$274=0,0,F352/F$274)</f>
        <v>0</v>
      </c>
      <c r="H352" s="301">
        <v>0</v>
      </c>
      <c r="I352" s="271">
        <f>IF(H$274=0,0,H352/H$274)</f>
        <v>0</v>
      </c>
      <c r="J352" s="301">
        <v>0</v>
      </c>
      <c r="K352" s="272">
        <f>IF(J$274=0,0,J352/J$274)</f>
        <v>0</v>
      </c>
    </row>
    <row r="353" spans="2:11" ht="15" hidden="1" customHeight="1" outlineLevel="1" x14ac:dyDescent="0.3">
      <c r="B353" s="6"/>
      <c r="C353" s="274" t="s">
        <v>157</v>
      </c>
      <c r="D353" s="273">
        <f>SUM(D351:D352)</f>
        <v>0</v>
      </c>
      <c r="E353" s="271">
        <f>IF(D$274=0,0,D353/D$274)</f>
        <v>0</v>
      </c>
      <c r="F353" s="273">
        <f>SUM(F351:F352)</f>
        <v>0</v>
      </c>
      <c r="G353" s="271">
        <f>IF(F$274=0,0,F353/F$274)</f>
        <v>0</v>
      </c>
      <c r="H353" s="273">
        <f>SUM(H351:H352)</f>
        <v>0</v>
      </c>
      <c r="I353" s="271">
        <f>IF(H$274=0,0,H353/H$274)</f>
        <v>0</v>
      </c>
      <c r="J353" s="273">
        <f>SUM(J351:J352)</f>
        <v>0</v>
      </c>
      <c r="K353" s="272">
        <f>IF(J$274=0,0,J353/J$274)</f>
        <v>0</v>
      </c>
    </row>
    <row r="354" spans="2:11" ht="15" hidden="1" customHeight="1" outlineLevel="1" x14ac:dyDescent="0.3">
      <c r="B354" s="6"/>
      <c r="C354" s="274"/>
      <c r="D354" s="275"/>
      <c r="E354" s="276"/>
      <c r="F354" s="275"/>
      <c r="G354" s="276"/>
      <c r="H354" s="275"/>
      <c r="I354" s="276"/>
      <c r="J354" s="275"/>
      <c r="K354" s="278"/>
    </row>
    <row r="355" spans="2:11" ht="15" hidden="1" customHeight="1" outlineLevel="1" x14ac:dyDescent="0.3">
      <c r="B355" s="6"/>
      <c r="C355" s="274" t="s">
        <v>158</v>
      </c>
      <c r="D355" s="273">
        <f>D332-D347+D353</f>
        <v>0</v>
      </c>
      <c r="E355" s="271">
        <f>IF(D$274=0,0,D355/D$274)</f>
        <v>0</v>
      </c>
      <c r="F355" s="273">
        <f>F332-F347+F353</f>
        <v>0</v>
      </c>
      <c r="G355" s="271">
        <f>IF(F$274=0,0,F355/F$274)</f>
        <v>0</v>
      </c>
      <c r="H355" s="273">
        <f>H332-H347+H353</f>
        <v>0</v>
      </c>
      <c r="I355" s="271">
        <f>IF(H$274=0,0,H355/H$274)</f>
        <v>0</v>
      </c>
      <c r="J355" s="273">
        <f>J332-J347+J353</f>
        <v>0</v>
      </c>
      <c r="K355" s="272">
        <f>IF(J$274=0,0,J355/J$274)</f>
        <v>0</v>
      </c>
    </row>
    <row r="356" spans="2:11" ht="15" hidden="1" customHeight="1" outlineLevel="1" x14ac:dyDescent="0.3">
      <c r="B356" s="6"/>
      <c r="C356" s="274" t="s">
        <v>159</v>
      </c>
      <c r="D356" s="273">
        <v>0</v>
      </c>
      <c r="E356" s="271">
        <f>IF(D$274=0,0,D356/D$274)</f>
        <v>0</v>
      </c>
      <c r="F356" s="273">
        <v>0</v>
      </c>
      <c r="G356" s="271">
        <f>IF(F$274=0,0,F356/F$274)</f>
        <v>0</v>
      </c>
      <c r="H356" s="273">
        <v>0</v>
      </c>
      <c r="I356" s="271">
        <f>IF(H$274=0,0,H356/H$274)</f>
        <v>0</v>
      </c>
      <c r="J356" s="273">
        <v>0</v>
      </c>
      <c r="K356" s="272">
        <f>IF(J$274=0,0,J356/J$274)</f>
        <v>0</v>
      </c>
    </row>
    <row r="357" spans="2:11" ht="15" hidden="1" customHeight="1" outlineLevel="1" x14ac:dyDescent="0.3">
      <c r="B357" s="6"/>
      <c r="C357" s="279"/>
      <c r="D357" s="275"/>
      <c r="E357" s="276"/>
      <c r="F357" s="275"/>
      <c r="G357" s="276"/>
      <c r="H357" s="275"/>
      <c r="I357" s="276"/>
      <c r="J357" s="275"/>
      <c r="K357" s="280"/>
    </row>
    <row r="358" spans="2:11" ht="15" hidden="1" customHeight="1" outlineLevel="1" x14ac:dyDescent="0.3">
      <c r="B358" s="6"/>
      <c r="C358" s="274" t="s">
        <v>160</v>
      </c>
      <c r="D358" s="273">
        <f>D355-D356</f>
        <v>0</v>
      </c>
      <c r="E358" s="271">
        <f>IF(D$274=0,0,D358/D$274)</f>
        <v>0</v>
      </c>
      <c r="F358" s="273">
        <f>F355-F356</f>
        <v>0</v>
      </c>
      <c r="G358" s="271">
        <f>IF(F$274=0,0,F358/F$274)</f>
        <v>0</v>
      </c>
      <c r="H358" s="273">
        <f>H355-H356</f>
        <v>0</v>
      </c>
      <c r="I358" s="271">
        <f>IF(H$274=0,0,H358/H$274)</f>
        <v>0</v>
      </c>
      <c r="J358" s="273">
        <f>J355-J356</f>
        <v>0</v>
      </c>
      <c r="K358" s="272">
        <f>IF(J$274=0,0,J358/J$274)</f>
        <v>0</v>
      </c>
    </row>
    <row r="359" spans="2:11" hidden="1" outlineLevel="1" x14ac:dyDescent="0.3">
      <c r="B359" s="6"/>
      <c r="C359" s="240"/>
      <c r="D359" s="281"/>
      <c r="E359" s="282"/>
      <c r="F359" s="281"/>
      <c r="G359" s="282"/>
      <c r="H359" s="281"/>
      <c r="I359" s="282"/>
      <c r="J359" s="281"/>
      <c r="K359" s="283"/>
    </row>
    <row r="360" spans="2:11" hidden="1" outlineLevel="1" x14ac:dyDescent="0.3">
      <c r="B360" s="6"/>
      <c r="C360" s="284" t="s">
        <v>396</v>
      </c>
      <c r="D360" s="1"/>
      <c r="E360" s="1"/>
      <c r="F360" s="1"/>
      <c r="G360" s="1"/>
      <c r="H360" s="1"/>
      <c r="I360" s="1"/>
      <c r="J360" s="1"/>
      <c r="K360" s="4"/>
    </row>
    <row r="361" spans="2:11" hidden="1" outlineLevel="1" x14ac:dyDescent="0.3">
      <c r="B361" s="6"/>
      <c r="C361" s="285" t="s">
        <v>385</v>
      </c>
      <c r="D361" s="300">
        <f>D334</f>
        <v>0</v>
      </c>
      <c r="E361" s="1"/>
      <c r="F361" s="300">
        <f>F334</f>
        <v>0</v>
      </c>
      <c r="G361" s="1"/>
      <c r="H361" s="300">
        <f>H334</f>
        <v>0</v>
      </c>
      <c r="I361" s="1"/>
      <c r="J361" s="300">
        <f>J334</f>
        <v>0</v>
      </c>
      <c r="K361" s="4"/>
    </row>
    <row r="362" spans="2:11" hidden="1" outlineLevel="1" x14ac:dyDescent="0.3">
      <c r="B362" s="6"/>
      <c r="C362" s="286" t="s">
        <v>386</v>
      </c>
      <c r="D362" s="301">
        <f>D341</f>
        <v>0</v>
      </c>
      <c r="E362" s="1"/>
      <c r="F362" s="301">
        <f>F341</f>
        <v>0</v>
      </c>
      <c r="G362" s="1"/>
      <c r="H362" s="301">
        <f>H341</f>
        <v>0</v>
      </c>
      <c r="I362" s="1"/>
      <c r="J362" s="301">
        <f>J341</f>
        <v>0</v>
      </c>
      <c r="K362" s="4"/>
    </row>
    <row r="363" spans="2:11" hidden="1" outlineLevel="1" x14ac:dyDescent="0.3">
      <c r="B363" s="6"/>
      <c r="C363" s="286" t="s">
        <v>387</v>
      </c>
      <c r="D363" s="301">
        <f>D340</f>
        <v>0</v>
      </c>
      <c r="E363" s="1"/>
      <c r="F363" s="301">
        <f>F340</f>
        <v>0</v>
      </c>
      <c r="G363" s="1"/>
      <c r="H363" s="301">
        <f>H340</f>
        <v>0</v>
      </c>
      <c r="I363" s="1"/>
      <c r="J363" s="301">
        <f>J340</f>
        <v>0</v>
      </c>
      <c r="K363" s="4"/>
    </row>
    <row r="364" spans="2:11" hidden="1" outlineLevel="1" x14ac:dyDescent="0.3">
      <c r="B364" s="6"/>
      <c r="C364" s="286" t="s">
        <v>397</v>
      </c>
      <c r="D364" s="301">
        <v>0</v>
      </c>
      <c r="E364" s="1"/>
      <c r="F364" s="301">
        <v>0</v>
      </c>
      <c r="G364" s="1"/>
      <c r="H364" s="301">
        <v>0</v>
      </c>
      <c r="I364" s="1"/>
      <c r="J364" s="301">
        <v>0</v>
      </c>
      <c r="K364" s="4"/>
    </row>
    <row r="365" spans="2:11" hidden="1" outlineLevel="1" x14ac:dyDescent="0.3">
      <c r="B365" s="6"/>
      <c r="C365" s="304" t="s">
        <v>153</v>
      </c>
      <c r="D365" s="301">
        <v>0</v>
      </c>
      <c r="E365" s="1"/>
      <c r="F365" s="301">
        <v>0</v>
      </c>
      <c r="G365" s="1"/>
      <c r="H365" s="301">
        <v>0</v>
      </c>
      <c r="I365" s="1"/>
      <c r="J365" s="301">
        <v>0</v>
      </c>
      <c r="K365" s="4"/>
    </row>
    <row r="366" spans="2:11" hidden="1" outlineLevel="1" x14ac:dyDescent="0.3">
      <c r="B366" s="6"/>
      <c r="C366" s="304" t="s">
        <v>153</v>
      </c>
      <c r="D366" s="301">
        <v>0</v>
      </c>
      <c r="E366" s="1"/>
      <c r="F366" s="301">
        <v>0</v>
      </c>
      <c r="G366" s="1"/>
      <c r="H366" s="301">
        <v>0</v>
      </c>
      <c r="I366" s="1"/>
      <c r="J366" s="301">
        <v>0</v>
      </c>
      <c r="K366" s="4"/>
    </row>
    <row r="367" spans="2:11" hidden="1" outlineLevel="1" x14ac:dyDescent="0.3">
      <c r="B367" s="6"/>
      <c r="C367" s="286" t="s">
        <v>388</v>
      </c>
      <c r="D367" s="301">
        <v>0</v>
      </c>
      <c r="E367" s="1"/>
      <c r="F367" s="301">
        <v>0</v>
      </c>
      <c r="G367" s="1"/>
      <c r="H367" s="301">
        <v>0</v>
      </c>
      <c r="I367" s="1"/>
      <c r="J367" s="301">
        <v>0</v>
      </c>
      <c r="K367" s="4"/>
    </row>
    <row r="368" spans="2:11" hidden="1" outlineLevel="1" x14ac:dyDescent="0.3">
      <c r="B368" s="6"/>
      <c r="C368" s="286" t="s">
        <v>389</v>
      </c>
      <c r="D368" s="302">
        <v>0</v>
      </c>
      <c r="E368" s="1"/>
      <c r="F368" s="302">
        <v>0</v>
      </c>
      <c r="G368" s="1"/>
      <c r="H368" s="302">
        <v>0</v>
      </c>
      <c r="I368" s="1"/>
      <c r="J368" s="302">
        <v>0</v>
      </c>
      <c r="K368" s="4"/>
    </row>
    <row r="369" spans="2:11" hidden="1" outlineLevel="1" x14ac:dyDescent="0.3">
      <c r="B369" s="6"/>
      <c r="C369" s="286"/>
      <c r="D369" s="1"/>
      <c r="E369" s="1"/>
      <c r="F369" s="1"/>
      <c r="G369" s="1"/>
      <c r="H369" s="1"/>
      <c r="I369" s="1"/>
      <c r="J369" s="1"/>
      <c r="K369" s="4"/>
    </row>
    <row r="370" spans="2:11" hidden="1" outlineLevel="1" x14ac:dyDescent="0.3">
      <c r="B370" s="6"/>
      <c r="C370" s="286" t="s">
        <v>162</v>
      </c>
      <c r="D370" s="287">
        <f>D358+SUM(D361:D368)</f>
        <v>0</v>
      </c>
      <c r="E370" s="288"/>
      <c r="F370" s="287">
        <f>F358+SUM(F361:F368)</f>
        <v>0</v>
      </c>
      <c r="G370" s="288"/>
      <c r="H370" s="287">
        <f>H358+SUM(H361:H368)</f>
        <v>0</v>
      </c>
      <c r="I370" s="288"/>
      <c r="J370" s="287">
        <f>J358+SUM(J361:J368)</f>
        <v>0</v>
      </c>
      <c r="K370" s="4"/>
    </row>
    <row r="371" spans="2:11" hidden="1" outlineLevel="1" x14ac:dyDescent="0.3">
      <c r="B371" s="6"/>
      <c r="C371" s="286"/>
      <c r="D371" s="1"/>
      <c r="E371" s="1"/>
      <c r="F371" s="1"/>
      <c r="G371" s="1"/>
      <c r="H371" s="1"/>
      <c r="I371" s="1"/>
      <c r="J371" s="1"/>
      <c r="K371" s="4"/>
    </row>
    <row r="372" spans="2:11" hidden="1" outlineLevel="1" x14ac:dyDescent="0.3">
      <c r="B372" s="6"/>
      <c r="C372" s="240" t="s">
        <v>177</v>
      </c>
      <c r="D372" s="305">
        <v>0</v>
      </c>
      <c r="E372" s="1"/>
      <c r="F372" s="305">
        <v>0</v>
      </c>
      <c r="G372" s="1"/>
      <c r="H372" s="305">
        <v>0</v>
      </c>
      <c r="I372" s="1"/>
      <c r="J372" s="305">
        <v>0</v>
      </c>
      <c r="K372" s="4"/>
    </row>
    <row r="373" spans="2:11" hidden="1" outlineLevel="1" x14ac:dyDescent="0.3">
      <c r="B373" s="6"/>
      <c r="C373" s="240" t="s">
        <v>163</v>
      </c>
      <c r="D373" s="289">
        <f>D372*D326</f>
        <v>0</v>
      </c>
      <c r="E373" s="1"/>
      <c r="F373" s="289">
        <f>F372*F326</f>
        <v>0</v>
      </c>
      <c r="G373" s="1"/>
      <c r="H373" s="289">
        <f>H372*H326</f>
        <v>0</v>
      </c>
      <c r="I373" s="1"/>
      <c r="J373" s="289">
        <f>J372*J326</f>
        <v>0</v>
      </c>
      <c r="K373" s="4"/>
    </row>
    <row r="374" spans="2:11" hidden="1" outlineLevel="1" x14ac:dyDescent="0.3">
      <c r="B374" s="6"/>
      <c r="C374" s="240"/>
      <c r="D374" s="1"/>
      <c r="E374" s="1"/>
      <c r="F374" s="1"/>
      <c r="G374" s="1"/>
      <c r="H374" s="1"/>
      <c r="I374" s="1"/>
      <c r="J374" s="1"/>
      <c r="K374" s="4"/>
    </row>
    <row r="375" spans="2:11" hidden="1" outlineLevel="1" x14ac:dyDescent="0.3">
      <c r="B375" s="6"/>
      <c r="C375" s="274" t="s">
        <v>165</v>
      </c>
      <c r="D375" s="290">
        <f>IFERROR(D370/D373,0)</f>
        <v>0</v>
      </c>
      <c r="E375" s="1"/>
      <c r="F375" s="290">
        <f>IFERROR(F370/F373,0)</f>
        <v>0</v>
      </c>
      <c r="G375" s="1"/>
      <c r="H375" s="290">
        <f>IFERROR(H370/H373,0)</f>
        <v>0</v>
      </c>
      <c r="I375" s="1"/>
      <c r="J375" s="290">
        <f>IFERROR(J370/J373,0)</f>
        <v>0</v>
      </c>
      <c r="K375" s="4"/>
    </row>
    <row r="376" spans="2:11" ht="15" hidden="1" outlineLevel="1" thickBot="1" x14ac:dyDescent="0.35">
      <c r="B376" s="1285"/>
      <c r="C376" s="1286"/>
      <c r="D376" s="1286"/>
      <c r="E376" s="33"/>
      <c r="F376" s="33"/>
      <c r="G376" s="33"/>
      <c r="H376" s="33"/>
      <c r="I376" s="33"/>
      <c r="J376" s="33"/>
      <c r="K376" s="7"/>
    </row>
    <row r="377" spans="2:11" ht="15" collapsed="1" thickBot="1" x14ac:dyDescent="0.35"/>
    <row r="378" spans="2:11" ht="16.2" thickBot="1" x14ac:dyDescent="0.35">
      <c r="B378" s="227" t="s">
        <v>400</v>
      </c>
      <c r="C378" s="228"/>
      <c r="D378" s="228"/>
      <c r="E378" s="228"/>
      <c r="F378" s="228"/>
      <c r="G378" s="228"/>
      <c r="H378" s="228"/>
      <c r="I378" s="228"/>
      <c r="J378" s="228"/>
      <c r="K378" s="229"/>
    </row>
    <row r="379" spans="2:11" ht="16.2" thickBot="1" x14ac:dyDescent="0.35">
      <c r="B379" s="1290" t="s">
        <v>401</v>
      </c>
      <c r="C379" s="1291"/>
      <c r="D379" s="1291"/>
      <c r="E379" s="1291"/>
      <c r="F379" s="1291"/>
      <c r="G379" s="1291"/>
      <c r="H379" s="1291"/>
      <c r="I379" s="1292"/>
      <c r="J379" s="255" t="s">
        <v>129</v>
      </c>
      <c r="K379" s="296" t="s">
        <v>43</v>
      </c>
    </row>
    <row r="380" spans="2:11" hidden="1" outlineLevel="1" x14ac:dyDescent="0.3">
      <c r="B380" s="256"/>
      <c r="C380" s="257"/>
      <c r="D380" s="258"/>
      <c r="E380" s="258"/>
      <c r="F380" s="258"/>
      <c r="G380" s="258"/>
      <c r="H380" s="258"/>
      <c r="I380" s="258"/>
      <c r="J380" s="258"/>
      <c r="K380" s="259"/>
    </row>
    <row r="381" spans="2:11" hidden="1" outlineLevel="1" x14ac:dyDescent="0.3">
      <c r="B381" s="260" t="s">
        <v>132</v>
      </c>
      <c r="C381" s="29"/>
      <c r="D381" s="297">
        <f>'BDO Prequal'!$D$99</f>
        <v>45291</v>
      </c>
      <c r="E381" s="261"/>
      <c r="F381" s="297">
        <f>EOMONTH(D381,F382)</f>
        <v>45657</v>
      </c>
      <c r="G381" s="261"/>
      <c r="H381" s="297">
        <f>EOMONTH(F381,H382)</f>
        <v>46022</v>
      </c>
      <c r="I381" s="261"/>
      <c r="J381" s="297">
        <f>EOMONTH(H381,J382)</f>
        <v>46112</v>
      </c>
      <c r="K381" s="4"/>
    </row>
    <row r="382" spans="2:11" hidden="1" outlineLevel="1" x14ac:dyDescent="0.3">
      <c r="B382" s="260" t="s">
        <v>134</v>
      </c>
      <c r="C382" s="29"/>
      <c r="D382" s="298">
        <v>12</v>
      </c>
      <c r="E382" s="262"/>
      <c r="F382" s="298">
        <v>12</v>
      </c>
      <c r="G382" s="262"/>
      <c r="H382" s="298">
        <v>12</v>
      </c>
      <c r="I382" s="262"/>
      <c r="J382" s="298">
        <v>3</v>
      </c>
      <c r="K382" s="263"/>
    </row>
    <row r="383" spans="2:11" hidden="1" outlineLevel="1" x14ac:dyDescent="0.3">
      <c r="B383" s="260" t="s">
        <v>136</v>
      </c>
      <c r="C383" s="29"/>
      <c r="D383" s="299" t="s">
        <v>137</v>
      </c>
      <c r="E383" s="264"/>
      <c r="F383" s="299" t="s">
        <v>137</v>
      </c>
      <c r="G383" s="264"/>
      <c r="H383" s="299"/>
      <c r="I383" s="264"/>
      <c r="J383" s="299" t="s">
        <v>138</v>
      </c>
      <c r="K383" s="263"/>
    </row>
    <row r="384" spans="2:11" hidden="1" outlineLevel="1" x14ac:dyDescent="0.3">
      <c r="B384" s="260" t="s">
        <v>140</v>
      </c>
      <c r="C384" s="29"/>
      <c r="D384" s="299"/>
      <c r="E384" s="264"/>
      <c r="F384" s="299"/>
      <c r="G384" s="264"/>
      <c r="H384" s="299"/>
      <c r="I384" s="264"/>
      <c r="J384" s="299"/>
      <c r="K384" s="263"/>
    </row>
    <row r="385" spans="2:11" hidden="1" outlineLevel="1" x14ac:dyDescent="0.3">
      <c r="B385" s="265"/>
      <c r="C385" s="1"/>
      <c r="D385" s="294"/>
      <c r="E385" s="295"/>
      <c r="F385" s="294"/>
      <c r="G385" s="295"/>
      <c r="H385" s="294"/>
      <c r="I385" s="295"/>
      <c r="J385" s="269">
        <f>(J386/J382)*12</f>
        <v>0</v>
      </c>
      <c r="K385" s="270"/>
    </row>
    <row r="386" spans="2:11" hidden="1" outlineLevel="1" x14ac:dyDescent="0.3">
      <c r="B386" s="19"/>
      <c r="C386" s="240" t="s">
        <v>141</v>
      </c>
      <c r="D386" s="300">
        <v>0</v>
      </c>
      <c r="E386" s="271">
        <f>IF(D$274=0,0,D386/D$274)</f>
        <v>0</v>
      </c>
      <c r="F386" s="300">
        <v>0</v>
      </c>
      <c r="G386" s="271">
        <f>IF(F$274=0,0,F386/F$274)</f>
        <v>0</v>
      </c>
      <c r="H386" s="300">
        <v>0</v>
      </c>
      <c r="I386" s="271">
        <f>IF(H$274=0,0,H386/H$274)</f>
        <v>0</v>
      </c>
      <c r="J386" s="300">
        <v>0</v>
      </c>
      <c r="K386" s="272">
        <f>IF(J$274=0,0,J386/J$274)</f>
        <v>0</v>
      </c>
    </row>
    <row r="387" spans="2:11" hidden="1" outlineLevel="1" x14ac:dyDescent="0.3">
      <c r="B387" s="6"/>
      <c r="C387" s="240" t="s">
        <v>142</v>
      </c>
      <c r="D387" s="301">
        <v>0</v>
      </c>
      <c r="E387" s="271">
        <f>IF(D$274=0,0,D387/D$274)</f>
        <v>0</v>
      </c>
      <c r="F387" s="301">
        <v>0</v>
      </c>
      <c r="G387" s="271">
        <f>IF(F$274=0,0,F387/F$274)</f>
        <v>0</v>
      </c>
      <c r="H387" s="301">
        <v>0</v>
      </c>
      <c r="I387" s="271">
        <f>IF(H$274=0,0,H387/H$274)</f>
        <v>0</v>
      </c>
      <c r="J387" s="301">
        <v>0</v>
      </c>
      <c r="K387" s="272">
        <f>IF(J$274=0,0,J387/J$274)</f>
        <v>0</v>
      </c>
    </row>
    <row r="388" spans="2:11" hidden="1" outlineLevel="1" x14ac:dyDescent="0.3">
      <c r="B388" s="6"/>
      <c r="C388" s="240" t="s">
        <v>143</v>
      </c>
      <c r="D388" s="273">
        <f>D386-D387</f>
        <v>0</v>
      </c>
      <c r="E388" s="271">
        <f>IF(D$274=0,0,D388/D$274)</f>
        <v>0</v>
      </c>
      <c r="F388" s="273">
        <f>F386-F387</f>
        <v>0</v>
      </c>
      <c r="G388" s="271">
        <f>IF(F$274=0,0,F388/F$274)</f>
        <v>0</v>
      </c>
      <c r="H388" s="273">
        <f>H386-H387</f>
        <v>0</v>
      </c>
      <c r="I388" s="271">
        <f>IF(H$274=0,0,H388/H$274)</f>
        <v>0</v>
      </c>
      <c r="J388" s="273">
        <f>J386-J387</f>
        <v>0</v>
      </c>
      <c r="K388" s="272">
        <f>IF(J$274=0,0,J388/J$274)</f>
        <v>0</v>
      </c>
    </row>
    <row r="389" spans="2:11" hidden="1" outlineLevel="1" x14ac:dyDescent="0.3">
      <c r="B389" s="6"/>
      <c r="C389" s="274"/>
      <c r="D389" s="275"/>
      <c r="E389" s="276"/>
      <c r="F389" s="275"/>
      <c r="G389" s="276"/>
      <c r="H389" s="275"/>
      <c r="I389" s="276"/>
      <c r="J389" s="275"/>
      <c r="K389" s="277"/>
    </row>
    <row r="390" spans="2:11" hidden="1" outlineLevel="1" x14ac:dyDescent="0.3">
      <c r="B390" s="6"/>
      <c r="C390" s="240" t="s">
        <v>144</v>
      </c>
      <c r="D390" s="300">
        <v>0</v>
      </c>
      <c r="E390" s="271">
        <f t="shared" ref="E390:E403" si="24">IF(D$274=0,0,D390/D$274)</f>
        <v>0</v>
      </c>
      <c r="F390" s="300">
        <v>0</v>
      </c>
      <c r="G390" s="271">
        <f t="shared" ref="G390:G403" si="25">IF(F$274=0,0,F390/F$274)</f>
        <v>0</v>
      </c>
      <c r="H390" s="300">
        <v>0</v>
      </c>
      <c r="I390" s="271">
        <f t="shared" ref="I390:I403" si="26">IF(H$274=0,0,H390/H$274)</f>
        <v>0</v>
      </c>
      <c r="J390" s="300">
        <v>0</v>
      </c>
      <c r="K390" s="272">
        <f t="shared" ref="K390:K403" si="27">IF(J$274=0,0,J390/J$274)</f>
        <v>0</v>
      </c>
    </row>
    <row r="391" spans="2:11" hidden="1" outlineLevel="1" x14ac:dyDescent="0.3">
      <c r="B391" s="6"/>
      <c r="C391" s="240" t="s">
        <v>145</v>
      </c>
      <c r="D391" s="301">
        <v>0</v>
      </c>
      <c r="E391" s="271">
        <f t="shared" si="24"/>
        <v>0</v>
      </c>
      <c r="F391" s="301">
        <v>0</v>
      </c>
      <c r="G391" s="271">
        <f t="shared" si="25"/>
        <v>0</v>
      </c>
      <c r="H391" s="301">
        <v>0</v>
      </c>
      <c r="I391" s="271">
        <f t="shared" si="26"/>
        <v>0</v>
      </c>
      <c r="J391" s="301">
        <v>0</v>
      </c>
      <c r="K391" s="272">
        <f t="shared" si="27"/>
        <v>0</v>
      </c>
    </row>
    <row r="392" spans="2:11" hidden="1" outlineLevel="1" x14ac:dyDescent="0.3">
      <c r="B392" s="6"/>
      <c r="C392" s="240" t="s">
        <v>146</v>
      </c>
      <c r="D392" s="301">
        <v>0</v>
      </c>
      <c r="E392" s="271">
        <f t="shared" si="24"/>
        <v>0</v>
      </c>
      <c r="F392" s="301">
        <v>0</v>
      </c>
      <c r="G392" s="271">
        <f t="shared" si="25"/>
        <v>0</v>
      </c>
      <c r="H392" s="301">
        <v>0</v>
      </c>
      <c r="I392" s="271">
        <f t="shared" si="26"/>
        <v>0</v>
      </c>
      <c r="J392" s="301">
        <v>0</v>
      </c>
      <c r="K392" s="272">
        <f t="shared" si="27"/>
        <v>0</v>
      </c>
    </row>
    <row r="393" spans="2:11" hidden="1" outlineLevel="1" x14ac:dyDescent="0.3">
      <c r="B393" s="6"/>
      <c r="C393" s="240" t="s">
        <v>147</v>
      </c>
      <c r="D393" s="301">
        <v>0</v>
      </c>
      <c r="E393" s="271">
        <f t="shared" si="24"/>
        <v>0</v>
      </c>
      <c r="F393" s="301">
        <v>0</v>
      </c>
      <c r="G393" s="271">
        <f t="shared" si="25"/>
        <v>0</v>
      </c>
      <c r="H393" s="301">
        <v>0</v>
      </c>
      <c r="I393" s="271">
        <f t="shared" si="26"/>
        <v>0</v>
      </c>
      <c r="J393" s="301">
        <v>0</v>
      </c>
      <c r="K393" s="272">
        <f t="shared" si="27"/>
        <v>0</v>
      </c>
    </row>
    <row r="394" spans="2:11" hidden="1" outlineLevel="1" x14ac:dyDescent="0.3">
      <c r="B394" s="6"/>
      <c r="C394" s="240" t="s">
        <v>148</v>
      </c>
      <c r="D394" s="301">
        <v>0</v>
      </c>
      <c r="E394" s="271">
        <f t="shared" si="24"/>
        <v>0</v>
      </c>
      <c r="F394" s="301">
        <v>0</v>
      </c>
      <c r="G394" s="271">
        <f t="shared" si="25"/>
        <v>0</v>
      </c>
      <c r="H394" s="301">
        <v>0</v>
      </c>
      <c r="I394" s="271">
        <f t="shared" si="26"/>
        <v>0</v>
      </c>
      <c r="J394" s="301">
        <v>0</v>
      </c>
      <c r="K394" s="272">
        <f t="shared" si="27"/>
        <v>0</v>
      </c>
    </row>
    <row r="395" spans="2:11" hidden="1" outlineLevel="1" x14ac:dyDescent="0.3">
      <c r="B395" s="6"/>
      <c r="C395" s="240" t="s">
        <v>149</v>
      </c>
      <c r="D395" s="301">
        <v>0</v>
      </c>
      <c r="E395" s="271">
        <f t="shared" si="24"/>
        <v>0</v>
      </c>
      <c r="F395" s="301">
        <v>0</v>
      </c>
      <c r="G395" s="271">
        <f t="shared" si="25"/>
        <v>0</v>
      </c>
      <c r="H395" s="301">
        <v>0</v>
      </c>
      <c r="I395" s="271">
        <f t="shared" si="26"/>
        <v>0</v>
      </c>
      <c r="J395" s="301">
        <v>0</v>
      </c>
      <c r="K395" s="272">
        <f t="shared" si="27"/>
        <v>0</v>
      </c>
    </row>
    <row r="396" spans="2:11" hidden="1" outlineLevel="1" x14ac:dyDescent="0.3">
      <c r="B396" s="6"/>
      <c r="C396" s="240" t="s">
        <v>150</v>
      </c>
      <c r="D396" s="301">
        <v>0</v>
      </c>
      <c r="E396" s="271">
        <f t="shared" si="24"/>
        <v>0</v>
      </c>
      <c r="F396" s="301">
        <v>0</v>
      </c>
      <c r="G396" s="271">
        <f t="shared" si="25"/>
        <v>0</v>
      </c>
      <c r="H396" s="301">
        <v>0</v>
      </c>
      <c r="I396" s="271">
        <f t="shared" si="26"/>
        <v>0</v>
      </c>
      <c r="J396" s="301">
        <v>0</v>
      </c>
      <c r="K396" s="272">
        <f t="shared" si="27"/>
        <v>0</v>
      </c>
    </row>
    <row r="397" spans="2:11" hidden="1" outlineLevel="1" x14ac:dyDescent="0.3">
      <c r="B397" s="6"/>
      <c r="C397" s="240" t="s">
        <v>151</v>
      </c>
      <c r="D397" s="301">
        <v>0</v>
      </c>
      <c r="E397" s="271">
        <f t="shared" si="24"/>
        <v>0</v>
      </c>
      <c r="F397" s="301">
        <v>0</v>
      </c>
      <c r="G397" s="271">
        <f t="shared" si="25"/>
        <v>0</v>
      </c>
      <c r="H397" s="301">
        <v>0</v>
      </c>
      <c r="I397" s="271">
        <f t="shared" si="26"/>
        <v>0</v>
      </c>
      <c r="J397" s="301">
        <v>0</v>
      </c>
      <c r="K397" s="272">
        <f t="shared" si="27"/>
        <v>0</v>
      </c>
    </row>
    <row r="398" spans="2:11" hidden="1" outlineLevel="1" x14ac:dyDescent="0.3">
      <c r="B398" s="6"/>
      <c r="C398" s="240" t="s">
        <v>152</v>
      </c>
      <c r="D398" s="301">
        <v>0</v>
      </c>
      <c r="E398" s="271">
        <f t="shared" si="24"/>
        <v>0</v>
      </c>
      <c r="F398" s="301">
        <v>0</v>
      </c>
      <c r="G398" s="271">
        <f t="shared" si="25"/>
        <v>0</v>
      </c>
      <c r="H398" s="301">
        <v>0</v>
      </c>
      <c r="I398" s="271">
        <f t="shared" si="26"/>
        <v>0</v>
      </c>
      <c r="J398" s="301">
        <v>0</v>
      </c>
      <c r="K398" s="272">
        <f t="shared" si="27"/>
        <v>0</v>
      </c>
    </row>
    <row r="399" spans="2:11" hidden="1" outlineLevel="1" x14ac:dyDescent="0.3">
      <c r="B399" s="6"/>
      <c r="C399" s="303" t="s">
        <v>153</v>
      </c>
      <c r="D399" s="301">
        <v>0</v>
      </c>
      <c r="E399" s="271">
        <f t="shared" si="24"/>
        <v>0</v>
      </c>
      <c r="F399" s="301">
        <v>0</v>
      </c>
      <c r="G399" s="271">
        <f t="shared" si="25"/>
        <v>0</v>
      </c>
      <c r="H399" s="301">
        <v>0</v>
      </c>
      <c r="I399" s="271">
        <f t="shared" si="26"/>
        <v>0</v>
      </c>
      <c r="J399" s="301">
        <v>0</v>
      </c>
      <c r="K399" s="272">
        <f t="shared" si="27"/>
        <v>0</v>
      </c>
    </row>
    <row r="400" spans="2:11" hidden="1" outlineLevel="1" x14ac:dyDescent="0.3">
      <c r="B400" s="6"/>
      <c r="C400" s="303" t="s">
        <v>153</v>
      </c>
      <c r="D400" s="301">
        <v>0</v>
      </c>
      <c r="E400" s="271">
        <f t="shared" si="24"/>
        <v>0</v>
      </c>
      <c r="F400" s="301">
        <v>0</v>
      </c>
      <c r="G400" s="271">
        <f t="shared" si="25"/>
        <v>0</v>
      </c>
      <c r="H400" s="301">
        <v>0</v>
      </c>
      <c r="I400" s="271">
        <f t="shared" si="26"/>
        <v>0</v>
      </c>
      <c r="J400" s="301">
        <v>0</v>
      </c>
      <c r="K400" s="272">
        <f t="shared" si="27"/>
        <v>0</v>
      </c>
    </row>
    <row r="401" spans="2:11" hidden="1" outlineLevel="1" x14ac:dyDescent="0.3">
      <c r="B401" s="19"/>
      <c r="C401" s="303" t="s">
        <v>153</v>
      </c>
      <c r="D401" s="301">
        <v>0</v>
      </c>
      <c r="E401" s="271">
        <f t="shared" si="24"/>
        <v>0</v>
      </c>
      <c r="F401" s="301">
        <v>0</v>
      </c>
      <c r="G401" s="271">
        <f t="shared" si="25"/>
        <v>0</v>
      </c>
      <c r="H401" s="301">
        <v>0</v>
      </c>
      <c r="I401" s="271">
        <f t="shared" si="26"/>
        <v>0</v>
      </c>
      <c r="J401" s="301">
        <v>0</v>
      </c>
      <c r="K401" s="272">
        <f t="shared" si="27"/>
        <v>0</v>
      </c>
    </row>
    <row r="402" spans="2:11" hidden="1" outlineLevel="1" x14ac:dyDescent="0.3">
      <c r="B402" s="6"/>
      <c r="C402" s="303" t="s">
        <v>153</v>
      </c>
      <c r="D402" s="302">
        <v>0</v>
      </c>
      <c r="E402" s="271">
        <f t="shared" si="24"/>
        <v>0</v>
      </c>
      <c r="F402" s="302">
        <v>0</v>
      </c>
      <c r="G402" s="271">
        <f t="shared" si="25"/>
        <v>0</v>
      </c>
      <c r="H402" s="302">
        <v>0</v>
      </c>
      <c r="I402" s="271">
        <f t="shared" si="26"/>
        <v>0</v>
      </c>
      <c r="J402" s="302">
        <v>0</v>
      </c>
      <c r="K402" s="272">
        <f t="shared" si="27"/>
        <v>0</v>
      </c>
    </row>
    <row r="403" spans="2:11" hidden="1" outlineLevel="1" x14ac:dyDescent="0.3">
      <c r="B403" s="6"/>
      <c r="C403" s="274" t="s">
        <v>154</v>
      </c>
      <c r="D403" s="273">
        <f>SUM(D390:D402)</f>
        <v>0</v>
      </c>
      <c r="E403" s="271">
        <f t="shared" si="24"/>
        <v>0</v>
      </c>
      <c r="F403" s="273">
        <f>SUM(F390:F402)</f>
        <v>0</v>
      </c>
      <c r="G403" s="271">
        <f t="shared" si="25"/>
        <v>0</v>
      </c>
      <c r="H403" s="273">
        <f>SUM(H390:H402)</f>
        <v>0</v>
      </c>
      <c r="I403" s="271">
        <f t="shared" si="26"/>
        <v>0</v>
      </c>
      <c r="J403" s="273">
        <f>SUM(J390:J402)</f>
        <v>0</v>
      </c>
      <c r="K403" s="272">
        <f t="shared" si="27"/>
        <v>0</v>
      </c>
    </row>
    <row r="404" spans="2:11" hidden="1" outlineLevel="1" x14ac:dyDescent="0.3">
      <c r="B404" s="6"/>
      <c r="C404" s="274"/>
      <c r="D404" s="275"/>
      <c r="E404" s="276"/>
      <c r="F404" s="275"/>
      <c r="G404" s="276"/>
      <c r="H404" s="275"/>
      <c r="I404" s="276"/>
      <c r="J404" s="275"/>
      <c r="K404" s="278"/>
    </row>
    <row r="405" spans="2:11" hidden="1" outlineLevel="1" x14ac:dyDescent="0.3">
      <c r="B405" s="6"/>
      <c r="C405" s="274" t="s">
        <v>155</v>
      </c>
      <c r="D405" s="273">
        <f>D388-D403</f>
        <v>0</v>
      </c>
      <c r="E405" s="271">
        <f>IF(D$274=0,0,D405/D$274)</f>
        <v>0</v>
      </c>
      <c r="F405" s="273">
        <f>F388-F403</f>
        <v>0</v>
      </c>
      <c r="G405" s="271">
        <f>IF(F$274=0,0,F405/F$274)</f>
        <v>0</v>
      </c>
      <c r="H405" s="273">
        <f>H388-H403</f>
        <v>0</v>
      </c>
      <c r="I405" s="271">
        <f>IF(H$274=0,0,H405/H$274)</f>
        <v>0</v>
      </c>
      <c r="J405" s="273">
        <f>J388-J403</f>
        <v>0</v>
      </c>
      <c r="K405" s="272">
        <f>IF(J$274=0,0,J405/J$274)</f>
        <v>0</v>
      </c>
    </row>
    <row r="406" spans="2:11" hidden="1" outlineLevel="1" x14ac:dyDescent="0.3">
      <c r="B406" s="6"/>
      <c r="C406" s="274"/>
      <c r="D406" s="275"/>
      <c r="E406" s="276"/>
      <c r="F406" s="275"/>
      <c r="G406" s="276"/>
      <c r="H406" s="275"/>
      <c r="I406" s="276"/>
      <c r="J406" s="275"/>
      <c r="K406" s="277"/>
    </row>
    <row r="407" spans="2:11" hidden="1" outlineLevel="1" x14ac:dyDescent="0.3">
      <c r="B407" s="6"/>
      <c r="C407" s="240" t="s">
        <v>450</v>
      </c>
      <c r="D407" s="300">
        <v>0</v>
      </c>
      <c r="E407" s="271">
        <f>IF(D$274=0,0,D407/D$274)</f>
        <v>0</v>
      </c>
      <c r="F407" s="300">
        <v>0</v>
      </c>
      <c r="G407" s="271">
        <f>IF(F$274=0,0,F407/F$274)</f>
        <v>0</v>
      </c>
      <c r="H407" s="300">
        <v>0</v>
      </c>
      <c r="I407" s="271">
        <f>IF(H$274=0,0,H407/H$274)</f>
        <v>0</v>
      </c>
      <c r="J407" s="300">
        <v>0</v>
      </c>
      <c r="K407" s="272">
        <f>IF(J$274=0,0,J407/J$274)</f>
        <v>0</v>
      </c>
    </row>
    <row r="408" spans="2:11" hidden="1" outlineLevel="1" x14ac:dyDescent="0.3">
      <c r="B408" s="6"/>
      <c r="C408" s="240" t="s">
        <v>450</v>
      </c>
      <c r="D408" s="301">
        <v>0</v>
      </c>
      <c r="E408" s="271">
        <f>IF(D$274=0,0,D408/D$274)</f>
        <v>0</v>
      </c>
      <c r="F408" s="301">
        <v>0</v>
      </c>
      <c r="G408" s="271">
        <f>IF(F$274=0,0,F408/F$274)</f>
        <v>0</v>
      </c>
      <c r="H408" s="301">
        <v>0</v>
      </c>
      <c r="I408" s="271">
        <f>IF(H$274=0,0,H408/H$274)</f>
        <v>0</v>
      </c>
      <c r="J408" s="301">
        <v>0</v>
      </c>
      <c r="K408" s="272">
        <f>IF(J$274=0,0,J408/J$274)</f>
        <v>0</v>
      </c>
    </row>
    <row r="409" spans="2:11" hidden="1" outlineLevel="1" x14ac:dyDescent="0.3">
      <c r="B409" s="6"/>
      <c r="C409" s="274" t="s">
        <v>157</v>
      </c>
      <c r="D409" s="273">
        <f>SUM(D407:D408)</f>
        <v>0</v>
      </c>
      <c r="E409" s="271">
        <f>IF(D$274=0,0,D409/D$274)</f>
        <v>0</v>
      </c>
      <c r="F409" s="273">
        <f>SUM(F407:F408)</f>
        <v>0</v>
      </c>
      <c r="G409" s="271">
        <f>IF(F$274=0,0,F409/F$274)</f>
        <v>0</v>
      </c>
      <c r="H409" s="273">
        <f>SUM(H407:H408)</f>
        <v>0</v>
      </c>
      <c r="I409" s="271">
        <f>IF(H$274=0,0,H409/H$274)</f>
        <v>0</v>
      </c>
      <c r="J409" s="273">
        <f>SUM(J407:J408)</f>
        <v>0</v>
      </c>
      <c r="K409" s="272">
        <f>IF(J$274=0,0,J409/J$274)</f>
        <v>0</v>
      </c>
    </row>
    <row r="410" spans="2:11" hidden="1" outlineLevel="1" x14ac:dyDescent="0.3">
      <c r="B410" s="6"/>
      <c r="C410" s="274"/>
      <c r="D410" s="275"/>
      <c r="E410" s="276"/>
      <c r="F410" s="275"/>
      <c r="G410" s="276"/>
      <c r="H410" s="275"/>
      <c r="I410" s="276"/>
      <c r="J410" s="275"/>
      <c r="K410" s="278"/>
    </row>
    <row r="411" spans="2:11" hidden="1" outlineLevel="1" x14ac:dyDescent="0.3">
      <c r="B411" s="6"/>
      <c r="C411" s="274" t="s">
        <v>158</v>
      </c>
      <c r="D411" s="273">
        <f>D388-D403+D409</f>
        <v>0</v>
      </c>
      <c r="E411" s="271">
        <f>IF(D$274=0,0,D411/D$274)</f>
        <v>0</v>
      </c>
      <c r="F411" s="273">
        <f>F388-F403+F409</f>
        <v>0</v>
      </c>
      <c r="G411" s="271">
        <f>IF(F$274=0,0,F411/F$274)</f>
        <v>0</v>
      </c>
      <c r="H411" s="273">
        <f>H388-H403+H409</f>
        <v>0</v>
      </c>
      <c r="I411" s="271">
        <f>IF(H$274=0,0,H411/H$274)</f>
        <v>0</v>
      </c>
      <c r="J411" s="273">
        <f>J388-J403+J409</f>
        <v>0</v>
      </c>
      <c r="K411" s="272">
        <f>IF(J$274=0,0,J411/J$274)</f>
        <v>0</v>
      </c>
    </row>
    <row r="412" spans="2:11" hidden="1" outlineLevel="1" x14ac:dyDescent="0.3">
      <c r="B412" s="6"/>
      <c r="C412" s="274" t="s">
        <v>159</v>
      </c>
      <c r="D412" s="273">
        <v>0</v>
      </c>
      <c r="E412" s="271">
        <f>IF(D$274=0,0,D412/D$274)</f>
        <v>0</v>
      </c>
      <c r="F412" s="273">
        <v>0</v>
      </c>
      <c r="G412" s="271">
        <f>IF(F$274=0,0,F412/F$274)</f>
        <v>0</v>
      </c>
      <c r="H412" s="273">
        <v>0</v>
      </c>
      <c r="I412" s="271">
        <f>IF(H$274=0,0,H412/H$274)</f>
        <v>0</v>
      </c>
      <c r="J412" s="273">
        <v>0</v>
      </c>
      <c r="K412" s="272">
        <f>IF(J$274=0,0,J412/J$274)</f>
        <v>0</v>
      </c>
    </row>
    <row r="413" spans="2:11" hidden="1" outlineLevel="1" x14ac:dyDescent="0.3">
      <c r="B413" s="6"/>
      <c r="C413" s="279"/>
      <c r="D413" s="275"/>
      <c r="E413" s="276"/>
      <c r="F413" s="275"/>
      <c r="G413" s="276"/>
      <c r="H413" s="275"/>
      <c r="I413" s="276"/>
      <c r="J413" s="275"/>
      <c r="K413" s="280"/>
    </row>
    <row r="414" spans="2:11" hidden="1" outlineLevel="1" x14ac:dyDescent="0.3">
      <c r="B414" s="6"/>
      <c r="C414" s="274" t="s">
        <v>160</v>
      </c>
      <c r="D414" s="273">
        <f>D411-D412</f>
        <v>0</v>
      </c>
      <c r="E414" s="271">
        <f>IF(D$274=0,0,D414/D$274)</f>
        <v>0</v>
      </c>
      <c r="F414" s="273">
        <f>F411-F412</f>
        <v>0</v>
      </c>
      <c r="G414" s="271">
        <f>IF(F$274=0,0,F414/F$274)</f>
        <v>0</v>
      </c>
      <c r="H414" s="273">
        <f>H411-H412</f>
        <v>0</v>
      </c>
      <c r="I414" s="271">
        <f>IF(H$274=0,0,H414/H$274)</f>
        <v>0</v>
      </c>
      <c r="J414" s="273">
        <f>J411-J412</f>
        <v>0</v>
      </c>
      <c r="K414" s="272">
        <f>IF(J$274=0,0,J414/J$274)</f>
        <v>0</v>
      </c>
    </row>
    <row r="415" spans="2:11" hidden="1" outlineLevel="1" x14ac:dyDescent="0.3">
      <c r="B415" s="6"/>
      <c r="C415" s="240"/>
      <c r="D415" s="281"/>
      <c r="E415" s="282"/>
      <c r="F415" s="281"/>
      <c r="G415" s="282"/>
      <c r="H415" s="281"/>
      <c r="I415" s="282"/>
      <c r="J415" s="281"/>
      <c r="K415" s="283"/>
    </row>
    <row r="416" spans="2:11" hidden="1" outlineLevel="1" x14ac:dyDescent="0.3">
      <c r="B416" s="6"/>
      <c r="C416" s="284" t="s">
        <v>396</v>
      </c>
      <c r="D416" s="1"/>
      <c r="E416" s="1"/>
      <c r="F416" s="1"/>
      <c r="G416" s="1"/>
      <c r="H416" s="1"/>
      <c r="I416" s="1"/>
      <c r="J416" s="1"/>
      <c r="K416" s="4"/>
    </row>
    <row r="417" spans="2:11" hidden="1" outlineLevel="1" x14ac:dyDescent="0.3">
      <c r="B417" s="6"/>
      <c r="C417" s="285" t="s">
        <v>385</v>
      </c>
      <c r="D417" s="300">
        <f>D390</f>
        <v>0</v>
      </c>
      <c r="E417" s="1"/>
      <c r="F417" s="300">
        <f>F390</f>
        <v>0</v>
      </c>
      <c r="G417" s="1"/>
      <c r="H417" s="300">
        <f>H390</f>
        <v>0</v>
      </c>
      <c r="I417" s="1"/>
      <c r="J417" s="300">
        <f>J390</f>
        <v>0</v>
      </c>
      <c r="K417" s="4"/>
    </row>
    <row r="418" spans="2:11" hidden="1" outlineLevel="1" x14ac:dyDescent="0.3">
      <c r="B418" s="6"/>
      <c r="C418" s="286" t="s">
        <v>386</v>
      </c>
      <c r="D418" s="301">
        <f>D397</f>
        <v>0</v>
      </c>
      <c r="E418" s="1"/>
      <c r="F418" s="301">
        <f>F397</f>
        <v>0</v>
      </c>
      <c r="G418" s="1"/>
      <c r="H418" s="301">
        <f>H397</f>
        <v>0</v>
      </c>
      <c r="I418" s="1"/>
      <c r="J418" s="301">
        <f>J397</f>
        <v>0</v>
      </c>
      <c r="K418" s="4"/>
    </row>
    <row r="419" spans="2:11" hidden="1" outlineLevel="1" x14ac:dyDescent="0.3">
      <c r="B419" s="6"/>
      <c r="C419" s="286" t="s">
        <v>387</v>
      </c>
      <c r="D419" s="301">
        <f>D396</f>
        <v>0</v>
      </c>
      <c r="E419" s="1"/>
      <c r="F419" s="301">
        <f>F396</f>
        <v>0</v>
      </c>
      <c r="G419" s="1"/>
      <c r="H419" s="301">
        <f>H396</f>
        <v>0</v>
      </c>
      <c r="I419" s="1"/>
      <c r="J419" s="301">
        <f>J396</f>
        <v>0</v>
      </c>
      <c r="K419" s="4"/>
    </row>
    <row r="420" spans="2:11" hidden="1" outlineLevel="1" x14ac:dyDescent="0.3">
      <c r="B420" s="6"/>
      <c r="C420" s="286" t="s">
        <v>397</v>
      </c>
      <c r="D420" s="301">
        <v>0</v>
      </c>
      <c r="E420" s="1"/>
      <c r="F420" s="301">
        <v>0</v>
      </c>
      <c r="G420" s="1"/>
      <c r="H420" s="301">
        <v>0</v>
      </c>
      <c r="I420" s="1"/>
      <c r="J420" s="301">
        <v>0</v>
      </c>
      <c r="K420" s="4"/>
    </row>
    <row r="421" spans="2:11" hidden="1" outlineLevel="1" x14ac:dyDescent="0.3">
      <c r="B421" s="6"/>
      <c r="C421" s="304" t="s">
        <v>153</v>
      </c>
      <c r="D421" s="301">
        <v>0</v>
      </c>
      <c r="E421" s="1"/>
      <c r="F421" s="301">
        <v>0</v>
      </c>
      <c r="G421" s="1"/>
      <c r="H421" s="301">
        <v>0</v>
      </c>
      <c r="I421" s="1"/>
      <c r="J421" s="301">
        <v>0</v>
      </c>
      <c r="K421" s="4"/>
    </row>
    <row r="422" spans="2:11" hidden="1" outlineLevel="1" x14ac:dyDescent="0.3">
      <c r="B422" s="6"/>
      <c r="C422" s="304" t="s">
        <v>153</v>
      </c>
      <c r="D422" s="301">
        <v>0</v>
      </c>
      <c r="E422" s="1"/>
      <c r="F422" s="301">
        <v>0</v>
      </c>
      <c r="G422" s="1"/>
      <c r="H422" s="301">
        <v>0</v>
      </c>
      <c r="I422" s="1"/>
      <c r="J422" s="301">
        <v>0</v>
      </c>
      <c r="K422" s="4"/>
    </row>
    <row r="423" spans="2:11" hidden="1" outlineLevel="1" x14ac:dyDescent="0.3">
      <c r="B423" s="6"/>
      <c r="C423" s="286" t="s">
        <v>388</v>
      </c>
      <c r="D423" s="301">
        <v>0</v>
      </c>
      <c r="E423" s="1"/>
      <c r="F423" s="301">
        <v>0</v>
      </c>
      <c r="G423" s="1"/>
      <c r="H423" s="301">
        <v>0</v>
      </c>
      <c r="I423" s="1"/>
      <c r="J423" s="301">
        <v>0</v>
      </c>
      <c r="K423" s="4"/>
    </row>
    <row r="424" spans="2:11" hidden="1" outlineLevel="1" x14ac:dyDescent="0.3">
      <c r="B424" s="6"/>
      <c r="C424" s="286" t="s">
        <v>389</v>
      </c>
      <c r="D424" s="302">
        <v>0</v>
      </c>
      <c r="E424" s="1"/>
      <c r="F424" s="302">
        <v>0</v>
      </c>
      <c r="G424" s="1"/>
      <c r="H424" s="302">
        <v>0</v>
      </c>
      <c r="I424" s="1"/>
      <c r="J424" s="302">
        <v>0</v>
      </c>
      <c r="K424" s="4"/>
    </row>
    <row r="425" spans="2:11" hidden="1" outlineLevel="1" x14ac:dyDescent="0.3">
      <c r="B425" s="6"/>
      <c r="C425" s="286"/>
      <c r="D425" s="1"/>
      <c r="E425" s="1"/>
      <c r="F425" s="1"/>
      <c r="G425" s="1"/>
      <c r="H425" s="1"/>
      <c r="I425" s="1"/>
      <c r="J425" s="1"/>
      <c r="K425" s="4"/>
    </row>
    <row r="426" spans="2:11" hidden="1" outlineLevel="1" x14ac:dyDescent="0.3">
      <c r="B426" s="6"/>
      <c r="C426" s="286" t="s">
        <v>162</v>
      </c>
      <c r="D426" s="287">
        <f>D414+SUM(D417:D424)</f>
        <v>0</v>
      </c>
      <c r="E426" s="288"/>
      <c r="F426" s="287">
        <f>F414+SUM(F417:F424)</f>
        <v>0</v>
      </c>
      <c r="G426" s="288"/>
      <c r="H426" s="287">
        <f>H414+SUM(H417:H424)</f>
        <v>0</v>
      </c>
      <c r="I426" s="288"/>
      <c r="J426" s="287">
        <f>J414+SUM(J417:J424)</f>
        <v>0</v>
      </c>
      <c r="K426" s="4"/>
    </row>
    <row r="427" spans="2:11" hidden="1" outlineLevel="1" x14ac:dyDescent="0.3">
      <c r="B427" s="6"/>
      <c r="C427" s="286"/>
      <c r="D427" s="1"/>
      <c r="E427" s="1"/>
      <c r="F427" s="1"/>
      <c r="G427" s="1"/>
      <c r="H427" s="1"/>
      <c r="I427" s="1"/>
      <c r="J427" s="1"/>
      <c r="K427" s="4"/>
    </row>
    <row r="428" spans="2:11" hidden="1" outlineLevel="1" x14ac:dyDescent="0.3">
      <c r="B428" s="6"/>
      <c r="C428" s="240" t="s">
        <v>177</v>
      </c>
      <c r="D428" s="305">
        <v>0</v>
      </c>
      <c r="E428" s="1"/>
      <c r="F428" s="305">
        <v>0</v>
      </c>
      <c r="G428" s="1"/>
      <c r="H428" s="305">
        <v>0</v>
      </c>
      <c r="I428" s="1"/>
      <c r="J428" s="305">
        <v>0</v>
      </c>
      <c r="K428" s="4"/>
    </row>
    <row r="429" spans="2:11" hidden="1" outlineLevel="1" x14ac:dyDescent="0.3">
      <c r="B429" s="6"/>
      <c r="C429" s="240" t="s">
        <v>163</v>
      </c>
      <c r="D429" s="289">
        <f>D428*D382</f>
        <v>0</v>
      </c>
      <c r="E429" s="1"/>
      <c r="F429" s="289">
        <f>F428*F382</f>
        <v>0</v>
      </c>
      <c r="G429" s="1"/>
      <c r="H429" s="289">
        <f>H428*H382</f>
        <v>0</v>
      </c>
      <c r="I429" s="1"/>
      <c r="J429" s="289">
        <f>J428*J382</f>
        <v>0</v>
      </c>
      <c r="K429" s="4"/>
    </row>
    <row r="430" spans="2:11" hidden="1" outlineLevel="1" x14ac:dyDescent="0.3">
      <c r="B430" s="6"/>
      <c r="C430" s="240"/>
      <c r="D430" s="1"/>
      <c r="E430" s="1"/>
      <c r="F430" s="1"/>
      <c r="G430" s="1"/>
      <c r="H430" s="1"/>
      <c r="I430" s="1"/>
      <c r="J430" s="1"/>
      <c r="K430" s="4"/>
    </row>
    <row r="431" spans="2:11" hidden="1" outlineLevel="1" x14ac:dyDescent="0.3">
      <c r="B431" s="6"/>
      <c r="C431" s="274" t="s">
        <v>165</v>
      </c>
      <c r="D431" s="290">
        <f>IFERROR(D426/D429,0)</f>
        <v>0</v>
      </c>
      <c r="E431" s="1"/>
      <c r="F431" s="290">
        <f>IFERROR(F426/F429,0)</f>
        <v>0</v>
      </c>
      <c r="G431" s="1"/>
      <c r="H431" s="290">
        <f>IFERROR(H426/H429,0)</f>
        <v>0</v>
      </c>
      <c r="I431" s="1"/>
      <c r="J431" s="290">
        <f>IFERROR(J426/J429,0)</f>
        <v>0</v>
      </c>
      <c r="K431" s="4"/>
    </row>
    <row r="432" spans="2:11" ht="15" hidden="1" outlineLevel="1" thickBot="1" x14ac:dyDescent="0.35">
      <c r="B432" s="1285"/>
      <c r="C432" s="1286"/>
      <c r="D432" s="1286"/>
      <c r="E432" s="33"/>
      <c r="F432" s="33"/>
      <c r="G432" s="33"/>
      <c r="H432" s="33"/>
      <c r="I432" s="33"/>
      <c r="J432" s="33"/>
      <c r="K432" s="7"/>
    </row>
    <row r="433" spans="2:11" ht="15" collapsed="1" thickBot="1" x14ac:dyDescent="0.35"/>
    <row r="434" spans="2:11" ht="16.2" thickBot="1" x14ac:dyDescent="0.35">
      <c r="B434" s="227" t="s">
        <v>402</v>
      </c>
      <c r="C434" s="228"/>
      <c r="D434" s="228"/>
      <c r="E434" s="228"/>
      <c r="F434" s="228"/>
      <c r="G434" s="228"/>
      <c r="H434" s="228"/>
      <c r="I434" s="228"/>
      <c r="J434" s="228"/>
      <c r="K434" s="229"/>
    </row>
    <row r="435" spans="2:11" ht="16.2" thickBot="1" x14ac:dyDescent="0.35">
      <c r="B435" s="1290" t="s">
        <v>403</v>
      </c>
      <c r="C435" s="1291"/>
      <c r="D435" s="1291"/>
      <c r="E435" s="1291"/>
      <c r="F435" s="1291"/>
      <c r="G435" s="1291"/>
      <c r="H435" s="1291"/>
      <c r="I435" s="1292"/>
      <c r="J435" s="255" t="s">
        <v>129</v>
      </c>
      <c r="K435" s="296" t="s">
        <v>43</v>
      </c>
    </row>
    <row r="436" spans="2:11" hidden="1" outlineLevel="1" x14ac:dyDescent="0.3">
      <c r="B436" s="256"/>
      <c r="C436" s="257"/>
      <c r="D436" s="258"/>
      <c r="E436" s="258"/>
      <c r="F436" s="258"/>
      <c r="G436" s="258"/>
      <c r="H436" s="258"/>
      <c r="I436" s="258"/>
      <c r="J436" s="258"/>
      <c r="K436" s="259"/>
    </row>
    <row r="437" spans="2:11" hidden="1" outlineLevel="1" x14ac:dyDescent="0.3">
      <c r="B437" s="260" t="s">
        <v>132</v>
      </c>
      <c r="C437" s="29"/>
      <c r="D437" s="297">
        <f>'BDO Prequal'!$D$99</f>
        <v>45291</v>
      </c>
      <c r="E437" s="261"/>
      <c r="F437" s="297">
        <f>EOMONTH(D437,F438)</f>
        <v>45657</v>
      </c>
      <c r="G437" s="261"/>
      <c r="H437" s="297">
        <f>EOMONTH(F437,H438)</f>
        <v>46022</v>
      </c>
      <c r="I437" s="261"/>
      <c r="J437" s="297">
        <f>EOMONTH(H437,J438)</f>
        <v>46112</v>
      </c>
      <c r="K437" s="4"/>
    </row>
    <row r="438" spans="2:11" hidden="1" outlineLevel="1" x14ac:dyDescent="0.3">
      <c r="B438" s="260" t="s">
        <v>134</v>
      </c>
      <c r="C438" s="29"/>
      <c r="D438" s="298">
        <v>12</v>
      </c>
      <c r="E438" s="262"/>
      <c r="F438" s="298">
        <v>12</v>
      </c>
      <c r="G438" s="262"/>
      <c r="H438" s="298">
        <v>12</v>
      </c>
      <c r="I438" s="262"/>
      <c r="J438" s="298">
        <v>3</v>
      </c>
      <c r="K438" s="263"/>
    </row>
    <row r="439" spans="2:11" hidden="1" outlineLevel="1" x14ac:dyDescent="0.3">
      <c r="B439" s="260" t="s">
        <v>136</v>
      </c>
      <c r="C439" s="29"/>
      <c r="D439" s="299" t="s">
        <v>137</v>
      </c>
      <c r="E439" s="264"/>
      <c r="F439" s="299" t="s">
        <v>137</v>
      </c>
      <c r="G439" s="264"/>
      <c r="H439" s="299"/>
      <c r="I439" s="264"/>
      <c r="J439" s="299" t="s">
        <v>138</v>
      </c>
      <c r="K439" s="263"/>
    </row>
    <row r="440" spans="2:11" hidden="1" outlineLevel="1" x14ac:dyDescent="0.3">
      <c r="B440" s="260" t="s">
        <v>140</v>
      </c>
      <c r="C440" s="29"/>
      <c r="D440" s="299"/>
      <c r="E440" s="264"/>
      <c r="F440" s="299"/>
      <c r="G440" s="264"/>
      <c r="H440" s="299"/>
      <c r="I440" s="264"/>
      <c r="J440" s="299"/>
      <c r="K440" s="263"/>
    </row>
    <row r="441" spans="2:11" hidden="1" outlineLevel="1" x14ac:dyDescent="0.3">
      <c r="B441" s="265"/>
      <c r="C441" s="1"/>
      <c r="D441" s="294"/>
      <c r="E441" s="295"/>
      <c r="F441" s="294"/>
      <c r="G441" s="295"/>
      <c r="H441" s="294"/>
      <c r="I441" s="295"/>
      <c r="J441" s="269">
        <f>(J442/J438)*12</f>
        <v>0</v>
      </c>
      <c r="K441" s="270"/>
    </row>
    <row r="442" spans="2:11" hidden="1" outlineLevel="1" x14ac:dyDescent="0.3">
      <c r="B442" s="19"/>
      <c r="C442" s="240" t="s">
        <v>141</v>
      </c>
      <c r="D442" s="300">
        <v>0</v>
      </c>
      <c r="E442" s="271">
        <f>IF(D$274=0,0,D442/D$274)</f>
        <v>0</v>
      </c>
      <c r="F442" s="300">
        <v>0</v>
      </c>
      <c r="G442" s="271">
        <f>IF(F$274=0,0,F442/F$274)</f>
        <v>0</v>
      </c>
      <c r="H442" s="300">
        <v>0</v>
      </c>
      <c r="I442" s="271">
        <f>IF(H$274=0,0,H442/H$274)</f>
        <v>0</v>
      </c>
      <c r="J442" s="300">
        <v>0</v>
      </c>
      <c r="K442" s="272">
        <f>IF(J$274=0,0,J442/J$274)</f>
        <v>0</v>
      </c>
    </row>
    <row r="443" spans="2:11" hidden="1" outlineLevel="1" x14ac:dyDescent="0.3">
      <c r="B443" s="6"/>
      <c r="C443" s="240" t="s">
        <v>142</v>
      </c>
      <c r="D443" s="301">
        <v>0</v>
      </c>
      <c r="E443" s="271">
        <f>IF(D$274=0,0,D443/D$274)</f>
        <v>0</v>
      </c>
      <c r="F443" s="301">
        <v>0</v>
      </c>
      <c r="G443" s="271">
        <f>IF(F$274=0,0,F443/F$274)</f>
        <v>0</v>
      </c>
      <c r="H443" s="301">
        <v>0</v>
      </c>
      <c r="I443" s="271">
        <f>IF(H$274=0,0,H443/H$274)</f>
        <v>0</v>
      </c>
      <c r="J443" s="301">
        <v>0</v>
      </c>
      <c r="K443" s="272">
        <f>IF(J$274=0,0,J443/J$274)</f>
        <v>0</v>
      </c>
    </row>
    <row r="444" spans="2:11" hidden="1" outlineLevel="1" x14ac:dyDescent="0.3">
      <c r="B444" s="6"/>
      <c r="C444" s="240" t="s">
        <v>143</v>
      </c>
      <c r="D444" s="273">
        <f>D442-D443</f>
        <v>0</v>
      </c>
      <c r="E444" s="271">
        <f>IF(D$274=0,0,D444/D$274)</f>
        <v>0</v>
      </c>
      <c r="F444" s="273">
        <f>F442-F443</f>
        <v>0</v>
      </c>
      <c r="G444" s="271">
        <f>IF(F$274=0,0,F444/F$274)</f>
        <v>0</v>
      </c>
      <c r="H444" s="273">
        <f>H442-H443</f>
        <v>0</v>
      </c>
      <c r="I444" s="271">
        <f>IF(H$274=0,0,H444/H$274)</f>
        <v>0</v>
      </c>
      <c r="J444" s="273">
        <f>J442-J443</f>
        <v>0</v>
      </c>
      <c r="K444" s="272">
        <f>IF(J$274=0,0,J444/J$274)</f>
        <v>0</v>
      </c>
    </row>
    <row r="445" spans="2:11" hidden="1" outlineLevel="1" x14ac:dyDescent="0.3">
      <c r="B445" s="6"/>
      <c r="C445" s="274"/>
      <c r="D445" s="275"/>
      <c r="E445" s="276"/>
      <c r="F445" s="275"/>
      <c r="G445" s="276"/>
      <c r="H445" s="275"/>
      <c r="I445" s="276"/>
      <c r="J445" s="275"/>
      <c r="K445" s="277"/>
    </row>
    <row r="446" spans="2:11" hidden="1" outlineLevel="1" x14ac:dyDescent="0.3">
      <c r="B446" s="6"/>
      <c r="C446" s="240" t="s">
        <v>144</v>
      </c>
      <c r="D446" s="300">
        <v>0</v>
      </c>
      <c r="E446" s="271">
        <f t="shared" ref="E446:E459" si="28">IF(D$274=0,0,D446/D$274)</f>
        <v>0</v>
      </c>
      <c r="F446" s="300">
        <v>0</v>
      </c>
      <c r="G446" s="271">
        <f t="shared" ref="G446:G459" si="29">IF(F$274=0,0,F446/F$274)</f>
        <v>0</v>
      </c>
      <c r="H446" s="300">
        <v>0</v>
      </c>
      <c r="I446" s="271">
        <f t="shared" ref="I446:I459" si="30">IF(H$274=0,0,H446/H$274)</f>
        <v>0</v>
      </c>
      <c r="J446" s="300">
        <v>0</v>
      </c>
      <c r="K446" s="272">
        <f t="shared" ref="K446:K459" si="31">IF(J$274=0,0,J446/J$274)</f>
        <v>0</v>
      </c>
    </row>
    <row r="447" spans="2:11" hidden="1" outlineLevel="1" x14ac:dyDescent="0.3">
      <c r="B447" s="6"/>
      <c r="C447" s="240" t="s">
        <v>145</v>
      </c>
      <c r="D447" s="301">
        <v>0</v>
      </c>
      <c r="E447" s="271">
        <f t="shared" si="28"/>
        <v>0</v>
      </c>
      <c r="F447" s="301">
        <v>0</v>
      </c>
      <c r="G447" s="271">
        <f t="shared" si="29"/>
        <v>0</v>
      </c>
      <c r="H447" s="301">
        <v>0</v>
      </c>
      <c r="I447" s="271">
        <f t="shared" si="30"/>
        <v>0</v>
      </c>
      <c r="J447" s="301">
        <v>0</v>
      </c>
      <c r="K447" s="272">
        <f t="shared" si="31"/>
        <v>0</v>
      </c>
    </row>
    <row r="448" spans="2:11" hidden="1" outlineLevel="1" x14ac:dyDescent="0.3">
      <c r="B448" s="6"/>
      <c r="C448" s="240" t="s">
        <v>146</v>
      </c>
      <c r="D448" s="301">
        <v>0</v>
      </c>
      <c r="E448" s="271">
        <f t="shared" si="28"/>
        <v>0</v>
      </c>
      <c r="F448" s="301">
        <v>0</v>
      </c>
      <c r="G448" s="271">
        <f t="shared" si="29"/>
        <v>0</v>
      </c>
      <c r="H448" s="301">
        <v>0</v>
      </c>
      <c r="I448" s="271">
        <f t="shared" si="30"/>
        <v>0</v>
      </c>
      <c r="J448" s="301">
        <v>0</v>
      </c>
      <c r="K448" s="272">
        <f t="shared" si="31"/>
        <v>0</v>
      </c>
    </row>
    <row r="449" spans="2:11" hidden="1" outlineLevel="1" x14ac:dyDescent="0.3">
      <c r="B449" s="6"/>
      <c r="C449" s="240" t="s">
        <v>147</v>
      </c>
      <c r="D449" s="301">
        <v>0</v>
      </c>
      <c r="E449" s="271">
        <f t="shared" si="28"/>
        <v>0</v>
      </c>
      <c r="F449" s="301">
        <v>0</v>
      </c>
      <c r="G449" s="271">
        <f t="shared" si="29"/>
        <v>0</v>
      </c>
      <c r="H449" s="301">
        <v>0</v>
      </c>
      <c r="I449" s="271">
        <f t="shared" si="30"/>
        <v>0</v>
      </c>
      <c r="J449" s="301">
        <v>0</v>
      </c>
      <c r="K449" s="272">
        <f t="shared" si="31"/>
        <v>0</v>
      </c>
    </row>
    <row r="450" spans="2:11" hidden="1" outlineLevel="1" x14ac:dyDescent="0.3">
      <c r="B450" s="6"/>
      <c r="C450" s="240" t="s">
        <v>148</v>
      </c>
      <c r="D450" s="301">
        <v>0</v>
      </c>
      <c r="E450" s="271">
        <f t="shared" si="28"/>
        <v>0</v>
      </c>
      <c r="F450" s="301">
        <v>0</v>
      </c>
      <c r="G450" s="271">
        <f t="shared" si="29"/>
        <v>0</v>
      </c>
      <c r="H450" s="301">
        <v>0</v>
      </c>
      <c r="I450" s="271">
        <f t="shared" si="30"/>
        <v>0</v>
      </c>
      <c r="J450" s="301">
        <v>0</v>
      </c>
      <c r="K450" s="272">
        <f t="shared" si="31"/>
        <v>0</v>
      </c>
    </row>
    <row r="451" spans="2:11" hidden="1" outlineLevel="1" x14ac:dyDescent="0.3">
      <c r="B451" s="6"/>
      <c r="C451" s="240" t="s">
        <v>149</v>
      </c>
      <c r="D451" s="301">
        <v>0</v>
      </c>
      <c r="E451" s="271">
        <f t="shared" si="28"/>
        <v>0</v>
      </c>
      <c r="F451" s="301">
        <v>0</v>
      </c>
      <c r="G451" s="271">
        <f t="shared" si="29"/>
        <v>0</v>
      </c>
      <c r="H451" s="301">
        <v>0</v>
      </c>
      <c r="I451" s="271">
        <f t="shared" si="30"/>
        <v>0</v>
      </c>
      <c r="J451" s="301">
        <v>0</v>
      </c>
      <c r="K451" s="272">
        <f t="shared" si="31"/>
        <v>0</v>
      </c>
    </row>
    <row r="452" spans="2:11" hidden="1" outlineLevel="1" x14ac:dyDescent="0.3">
      <c r="B452" s="6"/>
      <c r="C452" s="240" t="s">
        <v>150</v>
      </c>
      <c r="D452" s="301">
        <v>0</v>
      </c>
      <c r="E452" s="271">
        <f t="shared" si="28"/>
        <v>0</v>
      </c>
      <c r="F452" s="301">
        <v>0</v>
      </c>
      <c r="G452" s="271">
        <f t="shared" si="29"/>
        <v>0</v>
      </c>
      <c r="H452" s="301">
        <v>0</v>
      </c>
      <c r="I452" s="271">
        <f t="shared" si="30"/>
        <v>0</v>
      </c>
      <c r="J452" s="301">
        <v>0</v>
      </c>
      <c r="K452" s="272">
        <f t="shared" si="31"/>
        <v>0</v>
      </c>
    </row>
    <row r="453" spans="2:11" hidden="1" outlineLevel="1" x14ac:dyDescent="0.3">
      <c r="B453" s="6"/>
      <c r="C453" s="240" t="s">
        <v>151</v>
      </c>
      <c r="D453" s="301">
        <v>0</v>
      </c>
      <c r="E453" s="271">
        <f t="shared" si="28"/>
        <v>0</v>
      </c>
      <c r="F453" s="301">
        <v>0</v>
      </c>
      <c r="G453" s="271">
        <f t="shared" si="29"/>
        <v>0</v>
      </c>
      <c r="H453" s="301">
        <v>0</v>
      </c>
      <c r="I453" s="271">
        <f t="shared" si="30"/>
        <v>0</v>
      </c>
      <c r="J453" s="301">
        <v>0</v>
      </c>
      <c r="K453" s="272">
        <f t="shared" si="31"/>
        <v>0</v>
      </c>
    </row>
    <row r="454" spans="2:11" hidden="1" outlineLevel="1" x14ac:dyDescent="0.3">
      <c r="B454" s="6"/>
      <c r="C454" s="240" t="s">
        <v>152</v>
      </c>
      <c r="D454" s="301">
        <v>0</v>
      </c>
      <c r="E454" s="271">
        <f t="shared" si="28"/>
        <v>0</v>
      </c>
      <c r="F454" s="301">
        <v>0</v>
      </c>
      <c r="G454" s="271">
        <f t="shared" si="29"/>
        <v>0</v>
      </c>
      <c r="H454" s="301">
        <v>0</v>
      </c>
      <c r="I454" s="271">
        <f t="shared" si="30"/>
        <v>0</v>
      </c>
      <c r="J454" s="301">
        <v>0</v>
      </c>
      <c r="K454" s="272">
        <f t="shared" si="31"/>
        <v>0</v>
      </c>
    </row>
    <row r="455" spans="2:11" hidden="1" outlineLevel="1" x14ac:dyDescent="0.3">
      <c r="B455" s="6"/>
      <c r="C455" s="303" t="s">
        <v>153</v>
      </c>
      <c r="D455" s="301">
        <v>0</v>
      </c>
      <c r="E455" s="271">
        <f t="shared" si="28"/>
        <v>0</v>
      </c>
      <c r="F455" s="301">
        <v>0</v>
      </c>
      <c r="G455" s="271">
        <f t="shared" si="29"/>
        <v>0</v>
      </c>
      <c r="H455" s="301">
        <v>0</v>
      </c>
      <c r="I455" s="271">
        <f t="shared" si="30"/>
        <v>0</v>
      </c>
      <c r="J455" s="301">
        <v>0</v>
      </c>
      <c r="K455" s="272">
        <f t="shared" si="31"/>
        <v>0</v>
      </c>
    </row>
    <row r="456" spans="2:11" hidden="1" outlineLevel="1" x14ac:dyDescent="0.3">
      <c r="B456" s="6"/>
      <c r="C456" s="303" t="s">
        <v>153</v>
      </c>
      <c r="D456" s="301">
        <v>0</v>
      </c>
      <c r="E456" s="271">
        <f t="shared" si="28"/>
        <v>0</v>
      </c>
      <c r="F456" s="301">
        <v>0</v>
      </c>
      <c r="G456" s="271">
        <f t="shared" si="29"/>
        <v>0</v>
      </c>
      <c r="H456" s="301">
        <v>0</v>
      </c>
      <c r="I456" s="271">
        <f t="shared" si="30"/>
        <v>0</v>
      </c>
      <c r="J456" s="301">
        <v>0</v>
      </c>
      <c r="K456" s="272">
        <f t="shared" si="31"/>
        <v>0</v>
      </c>
    </row>
    <row r="457" spans="2:11" hidden="1" outlineLevel="1" x14ac:dyDescent="0.3">
      <c r="B457" s="19"/>
      <c r="C457" s="303" t="s">
        <v>153</v>
      </c>
      <c r="D457" s="301">
        <v>0</v>
      </c>
      <c r="E457" s="271">
        <f t="shared" si="28"/>
        <v>0</v>
      </c>
      <c r="F457" s="301">
        <v>0</v>
      </c>
      <c r="G457" s="271">
        <f t="shared" si="29"/>
        <v>0</v>
      </c>
      <c r="H457" s="301">
        <v>0</v>
      </c>
      <c r="I457" s="271">
        <f t="shared" si="30"/>
        <v>0</v>
      </c>
      <c r="J457" s="301">
        <v>0</v>
      </c>
      <c r="K457" s="272">
        <f t="shared" si="31"/>
        <v>0</v>
      </c>
    </row>
    <row r="458" spans="2:11" hidden="1" outlineLevel="1" x14ac:dyDescent="0.3">
      <c r="B458" s="6"/>
      <c r="C458" s="303" t="s">
        <v>153</v>
      </c>
      <c r="D458" s="302">
        <v>0</v>
      </c>
      <c r="E458" s="271">
        <f t="shared" si="28"/>
        <v>0</v>
      </c>
      <c r="F458" s="302">
        <v>0</v>
      </c>
      <c r="G458" s="271">
        <f t="shared" si="29"/>
        <v>0</v>
      </c>
      <c r="H458" s="302">
        <v>0</v>
      </c>
      <c r="I458" s="271">
        <f t="shared" si="30"/>
        <v>0</v>
      </c>
      <c r="J458" s="302">
        <v>0</v>
      </c>
      <c r="K458" s="272">
        <f t="shared" si="31"/>
        <v>0</v>
      </c>
    </row>
    <row r="459" spans="2:11" hidden="1" outlineLevel="1" x14ac:dyDescent="0.3">
      <c r="B459" s="6"/>
      <c r="C459" s="274" t="s">
        <v>154</v>
      </c>
      <c r="D459" s="273">
        <f>SUM(D446:D458)</f>
        <v>0</v>
      </c>
      <c r="E459" s="271">
        <f t="shared" si="28"/>
        <v>0</v>
      </c>
      <c r="F459" s="273">
        <f>SUM(F446:F458)</f>
        <v>0</v>
      </c>
      <c r="G459" s="271">
        <f t="shared" si="29"/>
        <v>0</v>
      </c>
      <c r="H459" s="273">
        <f>SUM(H446:H458)</f>
        <v>0</v>
      </c>
      <c r="I459" s="271">
        <f t="shared" si="30"/>
        <v>0</v>
      </c>
      <c r="J459" s="273">
        <f>SUM(J446:J458)</f>
        <v>0</v>
      </c>
      <c r="K459" s="272">
        <f t="shared" si="31"/>
        <v>0</v>
      </c>
    </row>
    <row r="460" spans="2:11" hidden="1" outlineLevel="1" x14ac:dyDescent="0.3">
      <c r="B460" s="6"/>
      <c r="C460" s="274"/>
      <c r="D460" s="275"/>
      <c r="E460" s="276"/>
      <c r="F460" s="275"/>
      <c r="G460" s="276"/>
      <c r="H460" s="275"/>
      <c r="I460" s="276"/>
      <c r="J460" s="275"/>
      <c r="K460" s="278"/>
    </row>
    <row r="461" spans="2:11" hidden="1" outlineLevel="1" x14ac:dyDescent="0.3">
      <c r="B461" s="6"/>
      <c r="C461" s="274" t="s">
        <v>155</v>
      </c>
      <c r="D461" s="273">
        <f>D444-D459</f>
        <v>0</v>
      </c>
      <c r="E461" s="271">
        <f>IF(D$274=0,0,D461/D$274)</f>
        <v>0</v>
      </c>
      <c r="F461" s="273">
        <f>F444-F459</f>
        <v>0</v>
      </c>
      <c r="G461" s="271">
        <f>IF(F$274=0,0,F461/F$274)</f>
        <v>0</v>
      </c>
      <c r="H461" s="273">
        <f>H444-H459</f>
        <v>0</v>
      </c>
      <c r="I461" s="271">
        <f>IF(H$274=0,0,H461/H$274)</f>
        <v>0</v>
      </c>
      <c r="J461" s="273">
        <f>J444-J459</f>
        <v>0</v>
      </c>
      <c r="K461" s="272">
        <f>IF(J$274=0,0,J461/J$274)</f>
        <v>0</v>
      </c>
    </row>
    <row r="462" spans="2:11" hidden="1" outlineLevel="1" x14ac:dyDescent="0.3">
      <c r="B462" s="6"/>
      <c r="C462" s="274"/>
      <c r="D462" s="275"/>
      <c r="E462" s="276"/>
      <c r="F462" s="275"/>
      <c r="G462" s="276"/>
      <c r="H462" s="275"/>
      <c r="I462" s="276"/>
      <c r="J462" s="275"/>
      <c r="K462" s="277"/>
    </row>
    <row r="463" spans="2:11" hidden="1" outlineLevel="1" x14ac:dyDescent="0.3">
      <c r="B463" s="6"/>
      <c r="C463" s="240" t="s">
        <v>450</v>
      </c>
      <c r="D463" s="300">
        <v>0</v>
      </c>
      <c r="E463" s="271">
        <f>IF(D$274=0,0,D463/D$274)</f>
        <v>0</v>
      </c>
      <c r="F463" s="300">
        <v>0</v>
      </c>
      <c r="G463" s="271">
        <f>IF(F$274=0,0,F463/F$274)</f>
        <v>0</v>
      </c>
      <c r="H463" s="300">
        <v>0</v>
      </c>
      <c r="I463" s="271">
        <f>IF(H$274=0,0,H463/H$274)</f>
        <v>0</v>
      </c>
      <c r="J463" s="300">
        <v>0</v>
      </c>
      <c r="K463" s="272">
        <f>IF(J$274=0,0,J463/J$274)</f>
        <v>0</v>
      </c>
    </row>
    <row r="464" spans="2:11" hidden="1" outlineLevel="1" x14ac:dyDescent="0.3">
      <c r="B464" s="6"/>
      <c r="C464" s="240" t="s">
        <v>450</v>
      </c>
      <c r="D464" s="301">
        <v>0</v>
      </c>
      <c r="E464" s="271">
        <f>IF(D$274=0,0,D464/D$274)</f>
        <v>0</v>
      </c>
      <c r="F464" s="301">
        <v>0</v>
      </c>
      <c r="G464" s="271">
        <f>IF(F$274=0,0,F464/F$274)</f>
        <v>0</v>
      </c>
      <c r="H464" s="301">
        <v>0</v>
      </c>
      <c r="I464" s="271">
        <f>IF(H$274=0,0,H464/H$274)</f>
        <v>0</v>
      </c>
      <c r="J464" s="301">
        <v>0</v>
      </c>
      <c r="K464" s="272">
        <f>IF(J$274=0,0,J464/J$274)</f>
        <v>0</v>
      </c>
    </row>
    <row r="465" spans="2:11" hidden="1" outlineLevel="1" x14ac:dyDescent="0.3">
      <c r="B465" s="6"/>
      <c r="C465" s="274" t="s">
        <v>157</v>
      </c>
      <c r="D465" s="273">
        <f>SUM(D463:D464)</f>
        <v>0</v>
      </c>
      <c r="E465" s="271">
        <f>IF(D$274=0,0,D465/D$274)</f>
        <v>0</v>
      </c>
      <c r="F465" s="273">
        <f>SUM(F463:F464)</f>
        <v>0</v>
      </c>
      <c r="G465" s="271">
        <f>IF(F$274=0,0,F465/F$274)</f>
        <v>0</v>
      </c>
      <c r="H465" s="273">
        <f>SUM(H463:H464)</f>
        <v>0</v>
      </c>
      <c r="I465" s="271">
        <f>IF(H$274=0,0,H465/H$274)</f>
        <v>0</v>
      </c>
      <c r="J465" s="273">
        <f>SUM(J463:J464)</f>
        <v>0</v>
      </c>
      <c r="K465" s="272">
        <f>IF(J$274=0,0,J465/J$274)</f>
        <v>0</v>
      </c>
    </row>
    <row r="466" spans="2:11" hidden="1" outlineLevel="1" x14ac:dyDescent="0.3">
      <c r="B466" s="6"/>
      <c r="C466" s="274"/>
      <c r="D466" s="275"/>
      <c r="E466" s="276"/>
      <c r="F466" s="275"/>
      <c r="G466" s="276"/>
      <c r="H466" s="275"/>
      <c r="I466" s="276"/>
      <c r="J466" s="275"/>
      <c r="K466" s="278"/>
    </row>
    <row r="467" spans="2:11" hidden="1" outlineLevel="1" x14ac:dyDescent="0.3">
      <c r="B467" s="6"/>
      <c r="C467" s="274" t="s">
        <v>158</v>
      </c>
      <c r="D467" s="273">
        <f>D444-D459+D465</f>
        <v>0</v>
      </c>
      <c r="E467" s="271">
        <f>IF(D$274=0,0,D467/D$274)</f>
        <v>0</v>
      </c>
      <c r="F467" s="273">
        <f>F444-F459+F465</f>
        <v>0</v>
      </c>
      <c r="G467" s="271">
        <f>IF(F$274=0,0,F467/F$274)</f>
        <v>0</v>
      </c>
      <c r="H467" s="273">
        <f>H444-H459+H465</f>
        <v>0</v>
      </c>
      <c r="I467" s="271">
        <f>IF(H$274=0,0,H467/H$274)</f>
        <v>0</v>
      </c>
      <c r="J467" s="273">
        <f>J444-J459+J465</f>
        <v>0</v>
      </c>
      <c r="K467" s="272">
        <f>IF(J$274=0,0,J467/J$274)</f>
        <v>0</v>
      </c>
    </row>
    <row r="468" spans="2:11" hidden="1" outlineLevel="1" x14ac:dyDescent="0.3">
      <c r="B468" s="6"/>
      <c r="C468" s="274" t="s">
        <v>159</v>
      </c>
      <c r="D468" s="273">
        <v>0</v>
      </c>
      <c r="E468" s="271">
        <f>IF(D$274=0,0,D468/D$274)</f>
        <v>0</v>
      </c>
      <c r="F468" s="273">
        <v>0</v>
      </c>
      <c r="G468" s="271">
        <f>IF(F$274=0,0,F468/F$274)</f>
        <v>0</v>
      </c>
      <c r="H468" s="273">
        <v>0</v>
      </c>
      <c r="I468" s="271">
        <f>IF(H$274=0,0,H468/H$274)</f>
        <v>0</v>
      </c>
      <c r="J468" s="273">
        <v>0</v>
      </c>
      <c r="K468" s="272">
        <f>IF(J$274=0,0,J468/J$274)</f>
        <v>0</v>
      </c>
    </row>
    <row r="469" spans="2:11" hidden="1" outlineLevel="1" x14ac:dyDescent="0.3">
      <c r="B469" s="6"/>
      <c r="C469" s="279"/>
      <c r="D469" s="275"/>
      <c r="E469" s="276"/>
      <c r="F469" s="275"/>
      <c r="G469" s="276"/>
      <c r="H469" s="275"/>
      <c r="I469" s="276"/>
      <c r="J469" s="275"/>
      <c r="K469" s="280"/>
    </row>
    <row r="470" spans="2:11" hidden="1" outlineLevel="1" x14ac:dyDescent="0.3">
      <c r="B470" s="6"/>
      <c r="C470" s="274" t="s">
        <v>160</v>
      </c>
      <c r="D470" s="273">
        <f>D467-D468</f>
        <v>0</v>
      </c>
      <c r="E470" s="271">
        <f>IF(D$274=0,0,D470/D$274)</f>
        <v>0</v>
      </c>
      <c r="F470" s="273">
        <f>F467-F468</f>
        <v>0</v>
      </c>
      <c r="G470" s="271">
        <f>IF(F$274=0,0,F470/F$274)</f>
        <v>0</v>
      </c>
      <c r="H470" s="273">
        <f>H467-H468</f>
        <v>0</v>
      </c>
      <c r="I470" s="271">
        <f>IF(H$274=0,0,H470/H$274)</f>
        <v>0</v>
      </c>
      <c r="J470" s="273">
        <f>J467-J468</f>
        <v>0</v>
      </c>
      <c r="K470" s="272">
        <f>IF(J$274=0,0,J470/J$274)</f>
        <v>0</v>
      </c>
    </row>
    <row r="471" spans="2:11" hidden="1" outlineLevel="1" x14ac:dyDescent="0.3">
      <c r="B471" s="6"/>
      <c r="C471" s="240"/>
      <c r="D471" s="281"/>
      <c r="E471" s="282"/>
      <c r="F471" s="281"/>
      <c r="G471" s="282"/>
      <c r="H471" s="281"/>
      <c r="I471" s="282"/>
      <c r="J471" s="281"/>
      <c r="K471" s="283"/>
    </row>
    <row r="472" spans="2:11" hidden="1" outlineLevel="1" x14ac:dyDescent="0.3">
      <c r="B472" s="6"/>
      <c r="C472" s="284" t="s">
        <v>396</v>
      </c>
      <c r="D472" s="1"/>
      <c r="E472" s="1"/>
      <c r="F472" s="1"/>
      <c r="G472" s="1"/>
      <c r="H472" s="1"/>
      <c r="I472" s="1"/>
      <c r="J472" s="1"/>
      <c r="K472" s="4"/>
    </row>
    <row r="473" spans="2:11" hidden="1" outlineLevel="1" x14ac:dyDescent="0.3">
      <c r="B473" s="6"/>
      <c r="C473" s="285" t="s">
        <v>385</v>
      </c>
      <c r="D473" s="300">
        <f>D446</f>
        <v>0</v>
      </c>
      <c r="E473" s="1"/>
      <c r="F473" s="300">
        <f>F446</f>
        <v>0</v>
      </c>
      <c r="G473" s="1"/>
      <c r="H473" s="300">
        <f>H446</f>
        <v>0</v>
      </c>
      <c r="I473" s="1"/>
      <c r="J473" s="300">
        <f>J446</f>
        <v>0</v>
      </c>
      <c r="K473" s="4"/>
    </row>
    <row r="474" spans="2:11" hidden="1" outlineLevel="1" x14ac:dyDescent="0.3">
      <c r="B474" s="6"/>
      <c r="C474" s="286" t="s">
        <v>386</v>
      </c>
      <c r="D474" s="301">
        <f>D453</f>
        <v>0</v>
      </c>
      <c r="E474" s="1"/>
      <c r="F474" s="301">
        <f>F453</f>
        <v>0</v>
      </c>
      <c r="G474" s="1"/>
      <c r="H474" s="301">
        <f>H453</f>
        <v>0</v>
      </c>
      <c r="I474" s="1"/>
      <c r="J474" s="301">
        <f>J453</f>
        <v>0</v>
      </c>
      <c r="K474" s="4"/>
    </row>
    <row r="475" spans="2:11" hidden="1" outlineLevel="1" x14ac:dyDescent="0.3">
      <c r="B475" s="6"/>
      <c r="C475" s="286" t="s">
        <v>387</v>
      </c>
      <c r="D475" s="301">
        <f>D452</f>
        <v>0</v>
      </c>
      <c r="E475" s="1"/>
      <c r="F475" s="301">
        <f>F452</f>
        <v>0</v>
      </c>
      <c r="G475" s="1"/>
      <c r="H475" s="301">
        <f>H452</f>
        <v>0</v>
      </c>
      <c r="I475" s="1"/>
      <c r="J475" s="301">
        <f>J452</f>
        <v>0</v>
      </c>
      <c r="K475" s="4"/>
    </row>
    <row r="476" spans="2:11" hidden="1" outlineLevel="1" x14ac:dyDescent="0.3">
      <c r="B476" s="6"/>
      <c r="C476" s="286" t="s">
        <v>397</v>
      </c>
      <c r="D476" s="301">
        <v>0</v>
      </c>
      <c r="E476" s="1"/>
      <c r="F476" s="301">
        <v>0</v>
      </c>
      <c r="G476" s="1"/>
      <c r="H476" s="301">
        <v>0</v>
      </c>
      <c r="I476" s="1"/>
      <c r="J476" s="301">
        <v>0</v>
      </c>
      <c r="K476" s="4"/>
    </row>
    <row r="477" spans="2:11" hidden="1" outlineLevel="1" x14ac:dyDescent="0.3">
      <c r="B477" s="6"/>
      <c r="C477" s="304" t="s">
        <v>153</v>
      </c>
      <c r="D477" s="301">
        <v>0</v>
      </c>
      <c r="E477" s="1"/>
      <c r="F477" s="301">
        <v>0</v>
      </c>
      <c r="G477" s="1"/>
      <c r="H477" s="301">
        <v>0</v>
      </c>
      <c r="I477" s="1"/>
      <c r="J477" s="301">
        <v>0</v>
      </c>
      <c r="K477" s="4"/>
    </row>
    <row r="478" spans="2:11" hidden="1" outlineLevel="1" x14ac:dyDescent="0.3">
      <c r="B478" s="6"/>
      <c r="C478" s="304" t="s">
        <v>153</v>
      </c>
      <c r="D478" s="301">
        <v>0</v>
      </c>
      <c r="E478" s="1"/>
      <c r="F478" s="301">
        <v>0</v>
      </c>
      <c r="G478" s="1"/>
      <c r="H478" s="301">
        <v>0</v>
      </c>
      <c r="I478" s="1"/>
      <c r="J478" s="301">
        <v>0</v>
      </c>
      <c r="K478" s="4"/>
    </row>
    <row r="479" spans="2:11" hidden="1" outlineLevel="1" x14ac:dyDescent="0.3">
      <c r="B479" s="6"/>
      <c r="C479" s="286" t="s">
        <v>388</v>
      </c>
      <c r="D479" s="301">
        <v>0</v>
      </c>
      <c r="E479" s="1"/>
      <c r="F479" s="301">
        <v>0</v>
      </c>
      <c r="G479" s="1"/>
      <c r="H479" s="301">
        <v>0</v>
      </c>
      <c r="I479" s="1"/>
      <c r="J479" s="301">
        <v>0</v>
      </c>
      <c r="K479" s="4"/>
    </row>
    <row r="480" spans="2:11" hidden="1" outlineLevel="1" x14ac:dyDescent="0.3">
      <c r="B480" s="6"/>
      <c r="C480" s="286" t="s">
        <v>389</v>
      </c>
      <c r="D480" s="302">
        <v>0</v>
      </c>
      <c r="E480" s="1"/>
      <c r="F480" s="302">
        <v>0</v>
      </c>
      <c r="G480" s="1"/>
      <c r="H480" s="302">
        <v>0</v>
      </c>
      <c r="I480" s="1"/>
      <c r="J480" s="302">
        <v>0</v>
      </c>
      <c r="K480" s="4"/>
    </row>
    <row r="481" spans="2:11" hidden="1" outlineLevel="1" x14ac:dyDescent="0.3">
      <c r="B481" s="6"/>
      <c r="C481" s="286"/>
      <c r="D481" s="1"/>
      <c r="E481" s="1"/>
      <c r="F481" s="1"/>
      <c r="G481" s="1"/>
      <c r="H481" s="1"/>
      <c r="I481" s="1"/>
      <c r="J481" s="1"/>
      <c r="K481" s="4"/>
    </row>
    <row r="482" spans="2:11" hidden="1" outlineLevel="1" x14ac:dyDescent="0.3">
      <c r="B482" s="6"/>
      <c r="C482" s="286" t="s">
        <v>162</v>
      </c>
      <c r="D482" s="287">
        <f>D470+SUM(D473:D480)</f>
        <v>0</v>
      </c>
      <c r="E482" s="288"/>
      <c r="F482" s="287">
        <f>F470+SUM(F473:F480)</f>
        <v>0</v>
      </c>
      <c r="G482" s="288"/>
      <c r="H482" s="287">
        <f>H470+SUM(H473:H480)</f>
        <v>0</v>
      </c>
      <c r="I482" s="288"/>
      <c r="J482" s="287">
        <f>J470+SUM(J473:J480)</f>
        <v>0</v>
      </c>
      <c r="K482" s="4"/>
    </row>
    <row r="483" spans="2:11" hidden="1" outlineLevel="1" x14ac:dyDescent="0.3">
      <c r="B483" s="6"/>
      <c r="C483" s="286"/>
      <c r="D483" s="1"/>
      <c r="E483" s="1"/>
      <c r="F483" s="1"/>
      <c r="G483" s="1"/>
      <c r="H483" s="1"/>
      <c r="I483" s="1"/>
      <c r="J483" s="1"/>
      <c r="K483" s="4"/>
    </row>
    <row r="484" spans="2:11" hidden="1" outlineLevel="1" x14ac:dyDescent="0.3">
      <c r="B484" s="6"/>
      <c r="C484" s="240" t="s">
        <v>177</v>
      </c>
      <c r="D484" s="305">
        <v>0</v>
      </c>
      <c r="E484" s="1"/>
      <c r="F484" s="305">
        <v>0</v>
      </c>
      <c r="G484" s="1"/>
      <c r="H484" s="305">
        <v>0</v>
      </c>
      <c r="I484" s="1"/>
      <c r="J484" s="305">
        <v>0</v>
      </c>
      <c r="K484" s="4"/>
    </row>
    <row r="485" spans="2:11" hidden="1" outlineLevel="1" x14ac:dyDescent="0.3">
      <c r="B485" s="6"/>
      <c r="C485" s="240" t="s">
        <v>163</v>
      </c>
      <c r="D485" s="289">
        <f>D484*D438</f>
        <v>0</v>
      </c>
      <c r="E485" s="1"/>
      <c r="F485" s="289">
        <f>F484*F438</f>
        <v>0</v>
      </c>
      <c r="G485" s="1"/>
      <c r="H485" s="289">
        <f>H484*H438</f>
        <v>0</v>
      </c>
      <c r="I485" s="1"/>
      <c r="J485" s="289">
        <f>J484*J438</f>
        <v>0</v>
      </c>
      <c r="K485" s="4"/>
    </row>
    <row r="486" spans="2:11" hidden="1" outlineLevel="1" x14ac:dyDescent="0.3">
      <c r="B486" s="6"/>
      <c r="C486" s="240"/>
      <c r="D486" s="1"/>
      <c r="E486" s="1"/>
      <c r="F486" s="1"/>
      <c r="G486" s="1"/>
      <c r="H486" s="1"/>
      <c r="I486" s="1"/>
      <c r="J486" s="1"/>
      <c r="K486" s="4"/>
    </row>
    <row r="487" spans="2:11" hidden="1" outlineLevel="1" x14ac:dyDescent="0.3">
      <c r="B487" s="6"/>
      <c r="C487" s="274" t="s">
        <v>165</v>
      </c>
      <c r="D487" s="290">
        <f>IFERROR(D482/D485,0)</f>
        <v>0</v>
      </c>
      <c r="E487" s="1"/>
      <c r="F487" s="290">
        <f>IFERROR(F482/F485,0)</f>
        <v>0</v>
      </c>
      <c r="G487" s="1"/>
      <c r="H487" s="290">
        <f>IFERROR(H482/H485,0)</f>
        <v>0</v>
      </c>
      <c r="I487" s="1"/>
      <c r="J487" s="290">
        <f>IFERROR(J482/J485,0)</f>
        <v>0</v>
      </c>
      <c r="K487" s="4"/>
    </row>
    <row r="488" spans="2:11" ht="15" hidden="1" outlineLevel="1" thickBot="1" x14ac:dyDescent="0.35">
      <c r="B488" s="1285"/>
      <c r="C488" s="1286"/>
      <c r="D488" s="1286"/>
      <c r="E488" s="33"/>
      <c r="F488" s="33"/>
      <c r="G488" s="33"/>
      <c r="H488" s="33"/>
      <c r="I488" s="33"/>
      <c r="J488" s="33"/>
      <c r="K488" s="7"/>
    </row>
    <row r="489" spans="2:11" ht="15" collapsed="1" thickBot="1" x14ac:dyDescent="0.35"/>
    <row r="490" spans="2:11" ht="16.2" thickBot="1" x14ac:dyDescent="0.35">
      <c r="B490" s="227" t="s">
        <v>404</v>
      </c>
      <c r="C490" s="228"/>
      <c r="D490" s="228"/>
      <c r="E490" s="228"/>
      <c r="F490" s="228"/>
      <c r="G490" s="228"/>
      <c r="H490" s="228"/>
      <c r="I490" s="228"/>
      <c r="J490" s="228"/>
      <c r="K490" s="229"/>
    </row>
    <row r="491" spans="2:11" ht="16.2" thickBot="1" x14ac:dyDescent="0.35">
      <c r="B491" s="1290" t="s">
        <v>405</v>
      </c>
      <c r="C491" s="1291"/>
      <c r="D491" s="1291"/>
      <c r="E491" s="1291"/>
      <c r="F491" s="1291"/>
      <c r="G491" s="1291"/>
      <c r="H491" s="1291"/>
      <c r="I491" s="1292"/>
      <c r="J491" s="255" t="s">
        <v>129</v>
      </c>
      <c r="K491" s="296" t="s">
        <v>43</v>
      </c>
    </row>
    <row r="492" spans="2:11" hidden="1" outlineLevel="1" x14ac:dyDescent="0.3">
      <c r="B492" s="256"/>
      <c r="C492" s="257"/>
      <c r="D492" s="258"/>
      <c r="E492" s="258"/>
      <c r="F492" s="258"/>
      <c r="G492" s="258"/>
      <c r="H492" s="258"/>
      <c r="I492" s="258"/>
      <c r="J492" s="258"/>
      <c r="K492" s="259"/>
    </row>
    <row r="493" spans="2:11" hidden="1" outlineLevel="1" x14ac:dyDescent="0.3">
      <c r="B493" s="260" t="s">
        <v>132</v>
      </c>
      <c r="C493" s="29"/>
      <c r="D493" s="297">
        <f>'BDO Prequal'!$D$99</f>
        <v>45291</v>
      </c>
      <c r="E493" s="261"/>
      <c r="F493" s="297">
        <f>EOMONTH(D493,F494)</f>
        <v>45657</v>
      </c>
      <c r="G493" s="261"/>
      <c r="H493" s="297">
        <f>EOMONTH(F493,H494)</f>
        <v>46022</v>
      </c>
      <c r="I493" s="261"/>
      <c r="J493" s="297">
        <f>EOMONTH(H493,J494)</f>
        <v>46112</v>
      </c>
      <c r="K493" s="4"/>
    </row>
    <row r="494" spans="2:11" hidden="1" outlineLevel="1" x14ac:dyDescent="0.3">
      <c r="B494" s="260" t="s">
        <v>134</v>
      </c>
      <c r="C494" s="29"/>
      <c r="D494" s="298">
        <v>12</v>
      </c>
      <c r="E494" s="262"/>
      <c r="F494" s="298">
        <v>12</v>
      </c>
      <c r="G494" s="262"/>
      <c r="H494" s="298">
        <v>12</v>
      </c>
      <c r="I494" s="262"/>
      <c r="J494" s="298">
        <v>3</v>
      </c>
      <c r="K494" s="263"/>
    </row>
    <row r="495" spans="2:11" hidden="1" outlineLevel="1" x14ac:dyDescent="0.3">
      <c r="B495" s="260" t="s">
        <v>136</v>
      </c>
      <c r="C495" s="29"/>
      <c r="D495" s="299" t="s">
        <v>137</v>
      </c>
      <c r="E495" s="264"/>
      <c r="F495" s="299" t="s">
        <v>137</v>
      </c>
      <c r="G495" s="264"/>
      <c r="H495" s="299"/>
      <c r="I495" s="264"/>
      <c r="J495" s="299" t="s">
        <v>138</v>
      </c>
      <c r="K495" s="263"/>
    </row>
    <row r="496" spans="2:11" hidden="1" outlineLevel="1" x14ac:dyDescent="0.3">
      <c r="B496" s="260" t="s">
        <v>140</v>
      </c>
      <c r="C496" s="29"/>
      <c r="D496" s="299"/>
      <c r="E496" s="264"/>
      <c r="F496" s="299"/>
      <c r="G496" s="264"/>
      <c r="H496" s="299"/>
      <c r="I496" s="264"/>
      <c r="J496" s="299"/>
      <c r="K496" s="263"/>
    </row>
    <row r="497" spans="2:11" hidden="1" outlineLevel="1" x14ac:dyDescent="0.3">
      <c r="B497" s="265"/>
      <c r="C497" s="1"/>
      <c r="D497" s="294"/>
      <c r="E497" s="295"/>
      <c r="F497" s="294"/>
      <c r="G497" s="295"/>
      <c r="H497" s="294"/>
      <c r="I497" s="295"/>
      <c r="J497" s="269">
        <f>(J498/J494)*12</f>
        <v>0</v>
      </c>
      <c r="K497" s="270"/>
    </row>
    <row r="498" spans="2:11" hidden="1" outlineLevel="1" x14ac:dyDescent="0.3">
      <c r="B498" s="19"/>
      <c r="C498" s="240" t="s">
        <v>141</v>
      </c>
      <c r="D498" s="300">
        <v>0</v>
      </c>
      <c r="E498" s="271">
        <f>IF(D$274=0,0,D498/D$274)</f>
        <v>0</v>
      </c>
      <c r="F498" s="300">
        <v>0</v>
      </c>
      <c r="G498" s="271">
        <f>IF(F$274=0,0,F498/F$274)</f>
        <v>0</v>
      </c>
      <c r="H498" s="300">
        <v>0</v>
      </c>
      <c r="I498" s="271">
        <f>IF(H$274=0,0,H498/H$274)</f>
        <v>0</v>
      </c>
      <c r="J498" s="300">
        <v>0</v>
      </c>
      <c r="K498" s="272">
        <f>IF(J$274=0,0,J498/J$274)</f>
        <v>0</v>
      </c>
    </row>
    <row r="499" spans="2:11" hidden="1" outlineLevel="1" x14ac:dyDescent="0.3">
      <c r="B499" s="6"/>
      <c r="C499" s="240" t="s">
        <v>142</v>
      </c>
      <c r="D499" s="301">
        <v>0</v>
      </c>
      <c r="E499" s="271">
        <f>IF(D$274=0,0,D499/D$274)</f>
        <v>0</v>
      </c>
      <c r="F499" s="301">
        <v>0</v>
      </c>
      <c r="G499" s="271">
        <f>IF(F$274=0,0,F499/F$274)</f>
        <v>0</v>
      </c>
      <c r="H499" s="301">
        <v>0</v>
      </c>
      <c r="I499" s="271">
        <f>IF(H$274=0,0,H499/H$274)</f>
        <v>0</v>
      </c>
      <c r="J499" s="301">
        <v>0</v>
      </c>
      <c r="K499" s="272">
        <f>IF(J$274=0,0,J499/J$274)</f>
        <v>0</v>
      </c>
    </row>
    <row r="500" spans="2:11" hidden="1" outlineLevel="1" x14ac:dyDescent="0.3">
      <c r="B500" s="6"/>
      <c r="C500" s="240" t="s">
        <v>143</v>
      </c>
      <c r="D500" s="273">
        <f>D498-D499</f>
        <v>0</v>
      </c>
      <c r="E500" s="271">
        <f>IF(D$274=0,0,D500/D$274)</f>
        <v>0</v>
      </c>
      <c r="F500" s="273">
        <f>F498-F499</f>
        <v>0</v>
      </c>
      <c r="G500" s="271">
        <f>IF(F$274=0,0,F500/F$274)</f>
        <v>0</v>
      </c>
      <c r="H500" s="273">
        <f>H498-H499</f>
        <v>0</v>
      </c>
      <c r="I500" s="271">
        <f>IF(H$274=0,0,H500/H$274)</f>
        <v>0</v>
      </c>
      <c r="J500" s="273">
        <f>J498-J499</f>
        <v>0</v>
      </c>
      <c r="K500" s="272">
        <f>IF(J$274=0,0,J500/J$274)</f>
        <v>0</v>
      </c>
    </row>
    <row r="501" spans="2:11" hidden="1" outlineLevel="1" x14ac:dyDescent="0.3">
      <c r="B501" s="6"/>
      <c r="C501" s="274"/>
      <c r="D501" s="275"/>
      <c r="E501" s="276"/>
      <c r="F501" s="275"/>
      <c r="G501" s="276"/>
      <c r="H501" s="275"/>
      <c r="I501" s="276"/>
      <c r="J501" s="275"/>
      <c r="K501" s="277"/>
    </row>
    <row r="502" spans="2:11" hidden="1" outlineLevel="1" x14ac:dyDescent="0.3">
      <c r="B502" s="6"/>
      <c r="C502" s="240" t="s">
        <v>144</v>
      </c>
      <c r="D502" s="300">
        <v>0</v>
      </c>
      <c r="E502" s="271">
        <f t="shared" ref="E502:E515" si="32">IF(D$274=0,0,D502/D$274)</f>
        <v>0</v>
      </c>
      <c r="F502" s="300">
        <v>0</v>
      </c>
      <c r="G502" s="271">
        <f t="shared" ref="G502:G515" si="33">IF(F$274=0,0,F502/F$274)</f>
        <v>0</v>
      </c>
      <c r="H502" s="300">
        <v>0</v>
      </c>
      <c r="I502" s="271">
        <f t="shared" ref="I502:I515" si="34">IF(H$274=0,0,H502/H$274)</f>
        <v>0</v>
      </c>
      <c r="J502" s="300">
        <v>0</v>
      </c>
      <c r="K502" s="272">
        <f t="shared" ref="K502:K515" si="35">IF(J$274=0,0,J502/J$274)</f>
        <v>0</v>
      </c>
    </row>
    <row r="503" spans="2:11" hidden="1" outlineLevel="1" x14ac:dyDescent="0.3">
      <c r="B503" s="6"/>
      <c r="C503" s="240" t="s">
        <v>145</v>
      </c>
      <c r="D503" s="301">
        <v>0</v>
      </c>
      <c r="E503" s="271">
        <f t="shared" si="32"/>
        <v>0</v>
      </c>
      <c r="F503" s="301">
        <v>0</v>
      </c>
      <c r="G503" s="271">
        <f t="shared" si="33"/>
        <v>0</v>
      </c>
      <c r="H503" s="301">
        <v>0</v>
      </c>
      <c r="I503" s="271">
        <f t="shared" si="34"/>
        <v>0</v>
      </c>
      <c r="J503" s="301">
        <v>0</v>
      </c>
      <c r="K503" s="272">
        <f t="shared" si="35"/>
        <v>0</v>
      </c>
    </row>
    <row r="504" spans="2:11" hidden="1" outlineLevel="1" x14ac:dyDescent="0.3">
      <c r="B504" s="6"/>
      <c r="C504" s="240" t="s">
        <v>146</v>
      </c>
      <c r="D504" s="301">
        <v>0</v>
      </c>
      <c r="E504" s="271">
        <f t="shared" si="32"/>
        <v>0</v>
      </c>
      <c r="F504" s="301">
        <v>0</v>
      </c>
      <c r="G504" s="271">
        <f t="shared" si="33"/>
        <v>0</v>
      </c>
      <c r="H504" s="301">
        <v>0</v>
      </c>
      <c r="I504" s="271">
        <f t="shared" si="34"/>
        <v>0</v>
      </c>
      <c r="J504" s="301">
        <v>0</v>
      </c>
      <c r="K504" s="272">
        <f t="shared" si="35"/>
        <v>0</v>
      </c>
    </row>
    <row r="505" spans="2:11" hidden="1" outlineLevel="1" x14ac:dyDescent="0.3">
      <c r="B505" s="6"/>
      <c r="C505" s="240" t="s">
        <v>147</v>
      </c>
      <c r="D505" s="301">
        <v>0</v>
      </c>
      <c r="E505" s="271">
        <f t="shared" si="32"/>
        <v>0</v>
      </c>
      <c r="F505" s="301">
        <v>0</v>
      </c>
      <c r="G505" s="271">
        <f t="shared" si="33"/>
        <v>0</v>
      </c>
      <c r="H505" s="301">
        <v>0</v>
      </c>
      <c r="I505" s="271">
        <f t="shared" si="34"/>
        <v>0</v>
      </c>
      <c r="J505" s="301">
        <v>0</v>
      </c>
      <c r="K505" s="272">
        <f t="shared" si="35"/>
        <v>0</v>
      </c>
    </row>
    <row r="506" spans="2:11" hidden="1" outlineLevel="1" x14ac:dyDescent="0.3">
      <c r="B506" s="6"/>
      <c r="C506" s="240" t="s">
        <v>148</v>
      </c>
      <c r="D506" s="301">
        <v>0</v>
      </c>
      <c r="E506" s="271">
        <f t="shared" si="32"/>
        <v>0</v>
      </c>
      <c r="F506" s="301">
        <v>0</v>
      </c>
      <c r="G506" s="271">
        <f t="shared" si="33"/>
        <v>0</v>
      </c>
      <c r="H506" s="301">
        <v>0</v>
      </c>
      <c r="I506" s="271">
        <f t="shared" si="34"/>
        <v>0</v>
      </c>
      <c r="J506" s="301">
        <v>0</v>
      </c>
      <c r="K506" s="272">
        <f t="shared" si="35"/>
        <v>0</v>
      </c>
    </row>
    <row r="507" spans="2:11" hidden="1" outlineLevel="1" x14ac:dyDescent="0.3">
      <c r="B507" s="6"/>
      <c r="C507" s="240" t="s">
        <v>149</v>
      </c>
      <c r="D507" s="301">
        <v>0</v>
      </c>
      <c r="E507" s="271">
        <f t="shared" si="32"/>
        <v>0</v>
      </c>
      <c r="F507" s="301">
        <v>0</v>
      </c>
      <c r="G507" s="271">
        <f t="shared" si="33"/>
        <v>0</v>
      </c>
      <c r="H507" s="301">
        <v>0</v>
      </c>
      <c r="I507" s="271">
        <f t="shared" si="34"/>
        <v>0</v>
      </c>
      <c r="J507" s="301">
        <v>0</v>
      </c>
      <c r="K507" s="272">
        <f t="shared" si="35"/>
        <v>0</v>
      </c>
    </row>
    <row r="508" spans="2:11" hidden="1" outlineLevel="1" x14ac:dyDescent="0.3">
      <c r="B508" s="6"/>
      <c r="C508" s="240" t="s">
        <v>150</v>
      </c>
      <c r="D508" s="301">
        <v>0</v>
      </c>
      <c r="E508" s="271">
        <f t="shared" si="32"/>
        <v>0</v>
      </c>
      <c r="F508" s="301">
        <v>0</v>
      </c>
      <c r="G508" s="271">
        <f t="shared" si="33"/>
        <v>0</v>
      </c>
      <c r="H508" s="301">
        <v>0</v>
      </c>
      <c r="I508" s="271">
        <f t="shared" si="34"/>
        <v>0</v>
      </c>
      <c r="J508" s="301">
        <v>0</v>
      </c>
      <c r="K508" s="272">
        <f t="shared" si="35"/>
        <v>0</v>
      </c>
    </row>
    <row r="509" spans="2:11" hidden="1" outlineLevel="1" x14ac:dyDescent="0.3">
      <c r="B509" s="6"/>
      <c r="C509" s="240" t="s">
        <v>151</v>
      </c>
      <c r="D509" s="301">
        <v>0</v>
      </c>
      <c r="E509" s="271">
        <f t="shared" si="32"/>
        <v>0</v>
      </c>
      <c r="F509" s="301">
        <v>0</v>
      </c>
      <c r="G509" s="271">
        <f t="shared" si="33"/>
        <v>0</v>
      </c>
      <c r="H509" s="301">
        <v>0</v>
      </c>
      <c r="I509" s="271">
        <f t="shared" si="34"/>
        <v>0</v>
      </c>
      <c r="J509" s="301">
        <v>0</v>
      </c>
      <c r="K509" s="272">
        <f t="shared" si="35"/>
        <v>0</v>
      </c>
    </row>
    <row r="510" spans="2:11" hidden="1" outlineLevel="1" x14ac:dyDescent="0.3">
      <c r="B510" s="6"/>
      <c r="C510" s="240" t="s">
        <v>152</v>
      </c>
      <c r="D510" s="301">
        <v>0</v>
      </c>
      <c r="E510" s="271">
        <f t="shared" si="32"/>
        <v>0</v>
      </c>
      <c r="F510" s="301">
        <v>0</v>
      </c>
      <c r="G510" s="271">
        <f t="shared" si="33"/>
        <v>0</v>
      </c>
      <c r="H510" s="301">
        <v>0</v>
      </c>
      <c r="I510" s="271">
        <f t="shared" si="34"/>
        <v>0</v>
      </c>
      <c r="J510" s="301">
        <v>0</v>
      </c>
      <c r="K510" s="272">
        <f t="shared" si="35"/>
        <v>0</v>
      </c>
    </row>
    <row r="511" spans="2:11" hidden="1" outlineLevel="1" x14ac:dyDescent="0.3">
      <c r="B511" s="6"/>
      <c r="C511" s="303" t="s">
        <v>153</v>
      </c>
      <c r="D511" s="301">
        <v>0</v>
      </c>
      <c r="E511" s="271">
        <f t="shared" si="32"/>
        <v>0</v>
      </c>
      <c r="F511" s="301">
        <v>0</v>
      </c>
      <c r="G511" s="271">
        <f t="shared" si="33"/>
        <v>0</v>
      </c>
      <c r="H511" s="301">
        <v>0</v>
      </c>
      <c r="I511" s="271">
        <f t="shared" si="34"/>
        <v>0</v>
      </c>
      <c r="J511" s="301">
        <v>0</v>
      </c>
      <c r="K511" s="272">
        <f t="shared" si="35"/>
        <v>0</v>
      </c>
    </row>
    <row r="512" spans="2:11" hidden="1" outlineLevel="1" x14ac:dyDescent="0.3">
      <c r="B512" s="6"/>
      <c r="C512" s="303" t="s">
        <v>153</v>
      </c>
      <c r="D512" s="301">
        <v>0</v>
      </c>
      <c r="E512" s="271">
        <f t="shared" si="32"/>
        <v>0</v>
      </c>
      <c r="F512" s="301">
        <v>0</v>
      </c>
      <c r="G512" s="271">
        <f t="shared" si="33"/>
        <v>0</v>
      </c>
      <c r="H512" s="301">
        <v>0</v>
      </c>
      <c r="I512" s="271">
        <f t="shared" si="34"/>
        <v>0</v>
      </c>
      <c r="J512" s="301">
        <v>0</v>
      </c>
      <c r="K512" s="272">
        <f t="shared" si="35"/>
        <v>0</v>
      </c>
    </row>
    <row r="513" spans="2:11" hidden="1" outlineLevel="1" x14ac:dyDescent="0.3">
      <c r="B513" s="19"/>
      <c r="C513" s="303" t="s">
        <v>153</v>
      </c>
      <c r="D513" s="301">
        <v>0</v>
      </c>
      <c r="E513" s="271">
        <f t="shared" si="32"/>
        <v>0</v>
      </c>
      <c r="F513" s="301">
        <v>0</v>
      </c>
      <c r="G513" s="271">
        <f t="shared" si="33"/>
        <v>0</v>
      </c>
      <c r="H513" s="301">
        <v>0</v>
      </c>
      <c r="I513" s="271">
        <f t="shared" si="34"/>
        <v>0</v>
      </c>
      <c r="J513" s="301">
        <v>0</v>
      </c>
      <c r="K513" s="272">
        <f t="shared" si="35"/>
        <v>0</v>
      </c>
    </row>
    <row r="514" spans="2:11" hidden="1" outlineLevel="1" x14ac:dyDescent="0.3">
      <c r="B514" s="6"/>
      <c r="C514" s="303" t="s">
        <v>153</v>
      </c>
      <c r="D514" s="302">
        <v>0</v>
      </c>
      <c r="E514" s="271">
        <f t="shared" si="32"/>
        <v>0</v>
      </c>
      <c r="F514" s="302">
        <v>0</v>
      </c>
      <c r="G514" s="271">
        <f t="shared" si="33"/>
        <v>0</v>
      </c>
      <c r="H514" s="302">
        <v>0</v>
      </c>
      <c r="I514" s="271">
        <f t="shared" si="34"/>
        <v>0</v>
      </c>
      <c r="J514" s="302">
        <v>0</v>
      </c>
      <c r="K514" s="272">
        <f t="shared" si="35"/>
        <v>0</v>
      </c>
    </row>
    <row r="515" spans="2:11" hidden="1" outlineLevel="1" x14ac:dyDescent="0.3">
      <c r="B515" s="6"/>
      <c r="C515" s="274" t="s">
        <v>154</v>
      </c>
      <c r="D515" s="273">
        <f>SUM(D502:D514)</f>
        <v>0</v>
      </c>
      <c r="E515" s="271">
        <f t="shared" si="32"/>
        <v>0</v>
      </c>
      <c r="F515" s="273">
        <f>SUM(F502:F514)</f>
        <v>0</v>
      </c>
      <c r="G515" s="271">
        <f t="shared" si="33"/>
        <v>0</v>
      </c>
      <c r="H515" s="273">
        <f>SUM(H502:H514)</f>
        <v>0</v>
      </c>
      <c r="I515" s="271">
        <f t="shared" si="34"/>
        <v>0</v>
      </c>
      <c r="J515" s="273">
        <f>SUM(J502:J514)</f>
        <v>0</v>
      </c>
      <c r="K515" s="272">
        <f t="shared" si="35"/>
        <v>0</v>
      </c>
    </row>
    <row r="516" spans="2:11" hidden="1" outlineLevel="1" x14ac:dyDescent="0.3">
      <c r="B516" s="6"/>
      <c r="C516" s="274"/>
      <c r="D516" s="275"/>
      <c r="E516" s="276"/>
      <c r="F516" s="275"/>
      <c r="G516" s="276"/>
      <c r="H516" s="275"/>
      <c r="I516" s="276"/>
      <c r="J516" s="275"/>
      <c r="K516" s="278"/>
    </row>
    <row r="517" spans="2:11" hidden="1" outlineLevel="1" x14ac:dyDescent="0.3">
      <c r="B517" s="6"/>
      <c r="C517" s="274" t="s">
        <v>155</v>
      </c>
      <c r="D517" s="273">
        <f>D500-D515</f>
        <v>0</v>
      </c>
      <c r="E517" s="271">
        <f>IF(D$274=0,0,D517/D$274)</f>
        <v>0</v>
      </c>
      <c r="F517" s="273">
        <f>F500-F515</f>
        <v>0</v>
      </c>
      <c r="G517" s="271">
        <f>IF(F$274=0,0,F517/F$274)</f>
        <v>0</v>
      </c>
      <c r="H517" s="273">
        <f>H500-H515</f>
        <v>0</v>
      </c>
      <c r="I517" s="271">
        <f>IF(H$274=0,0,H517/H$274)</f>
        <v>0</v>
      </c>
      <c r="J517" s="273">
        <f>J500-J515</f>
        <v>0</v>
      </c>
      <c r="K517" s="272">
        <f>IF(J$274=0,0,J517/J$274)</f>
        <v>0</v>
      </c>
    </row>
    <row r="518" spans="2:11" hidden="1" outlineLevel="1" x14ac:dyDescent="0.3">
      <c r="B518" s="6"/>
      <c r="C518" s="274"/>
      <c r="D518" s="275"/>
      <c r="E518" s="276"/>
      <c r="F518" s="275"/>
      <c r="G518" s="276"/>
      <c r="H518" s="275"/>
      <c r="I518" s="276"/>
      <c r="J518" s="275"/>
      <c r="K518" s="277"/>
    </row>
    <row r="519" spans="2:11" hidden="1" outlineLevel="1" x14ac:dyDescent="0.3">
      <c r="B519" s="6"/>
      <c r="C519" s="240" t="s">
        <v>450</v>
      </c>
      <c r="D519" s="300">
        <v>0</v>
      </c>
      <c r="E519" s="271">
        <f>IF(D$274=0,0,D519/D$274)</f>
        <v>0</v>
      </c>
      <c r="F519" s="300">
        <v>0</v>
      </c>
      <c r="G519" s="271">
        <f>IF(F$274=0,0,F519/F$274)</f>
        <v>0</v>
      </c>
      <c r="H519" s="300">
        <v>0</v>
      </c>
      <c r="I519" s="271">
        <f>IF(H$274=0,0,H519/H$274)</f>
        <v>0</v>
      </c>
      <c r="J519" s="300">
        <v>0</v>
      </c>
      <c r="K519" s="272">
        <f>IF(J$274=0,0,J519/J$274)</f>
        <v>0</v>
      </c>
    </row>
    <row r="520" spans="2:11" hidden="1" outlineLevel="1" x14ac:dyDescent="0.3">
      <c r="B520" s="6"/>
      <c r="C520" s="240" t="s">
        <v>450</v>
      </c>
      <c r="D520" s="301">
        <v>0</v>
      </c>
      <c r="E520" s="271">
        <f>IF(D$274=0,0,D520/D$274)</f>
        <v>0</v>
      </c>
      <c r="F520" s="301">
        <v>0</v>
      </c>
      <c r="G520" s="271">
        <f>IF(F$274=0,0,F520/F$274)</f>
        <v>0</v>
      </c>
      <c r="H520" s="301">
        <v>0</v>
      </c>
      <c r="I520" s="271">
        <f>IF(H$274=0,0,H520/H$274)</f>
        <v>0</v>
      </c>
      <c r="J520" s="301">
        <v>0</v>
      </c>
      <c r="K520" s="272">
        <f>IF(J$274=0,0,J520/J$274)</f>
        <v>0</v>
      </c>
    </row>
    <row r="521" spans="2:11" hidden="1" outlineLevel="1" x14ac:dyDescent="0.3">
      <c r="B521" s="6"/>
      <c r="C521" s="274" t="s">
        <v>157</v>
      </c>
      <c r="D521" s="273">
        <f>SUM(D519:D520)</f>
        <v>0</v>
      </c>
      <c r="E521" s="271">
        <f>IF(D$274=0,0,D521/D$274)</f>
        <v>0</v>
      </c>
      <c r="F521" s="273">
        <f>SUM(F519:F520)</f>
        <v>0</v>
      </c>
      <c r="G521" s="271">
        <f>IF(F$274=0,0,F521/F$274)</f>
        <v>0</v>
      </c>
      <c r="H521" s="273">
        <f>SUM(H519:H520)</f>
        <v>0</v>
      </c>
      <c r="I521" s="271">
        <f>IF(H$274=0,0,H521/H$274)</f>
        <v>0</v>
      </c>
      <c r="J521" s="273">
        <f>SUM(J519:J520)</f>
        <v>0</v>
      </c>
      <c r="K521" s="272">
        <f>IF(J$274=0,0,J521/J$274)</f>
        <v>0</v>
      </c>
    </row>
    <row r="522" spans="2:11" hidden="1" outlineLevel="1" x14ac:dyDescent="0.3">
      <c r="B522" s="6"/>
      <c r="C522" s="274"/>
      <c r="D522" s="275"/>
      <c r="E522" s="276"/>
      <c r="F522" s="275"/>
      <c r="G522" s="276"/>
      <c r="H522" s="275"/>
      <c r="I522" s="276"/>
      <c r="J522" s="275"/>
      <c r="K522" s="278"/>
    </row>
    <row r="523" spans="2:11" hidden="1" outlineLevel="1" x14ac:dyDescent="0.3">
      <c r="B523" s="6"/>
      <c r="C523" s="274" t="s">
        <v>158</v>
      </c>
      <c r="D523" s="273">
        <f>D500-D515+D521</f>
        <v>0</v>
      </c>
      <c r="E523" s="271">
        <f>IF(D$274=0,0,D523/D$274)</f>
        <v>0</v>
      </c>
      <c r="F523" s="273">
        <f>F500-F515+F521</f>
        <v>0</v>
      </c>
      <c r="G523" s="271">
        <f>IF(F$274=0,0,F523/F$274)</f>
        <v>0</v>
      </c>
      <c r="H523" s="273">
        <f>H500-H515+H521</f>
        <v>0</v>
      </c>
      <c r="I523" s="271">
        <f>IF(H$274=0,0,H523/H$274)</f>
        <v>0</v>
      </c>
      <c r="J523" s="273">
        <f>J500-J515+J521</f>
        <v>0</v>
      </c>
      <c r="K523" s="272">
        <f>IF(J$274=0,0,J523/J$274)</f>
        <v>0</v>
      </c>
    </row>
    <row r="524" spans="2:11" hidden="1" outlineLevel="1" x14ac:dyDescent="0.3">
      <c r="B524" s="6"/>
      <c r="C524" s="274" t="s">
        <v>159</v>
      </c>
      <c r="D524" s="273">
        <v>0</v>
      </c>
      <c r="E524" s="271">
        <f>IF(D$274=0,0,D524/D$274)</f>
        <v>0</v>
      </c>
      <c r="F524" s="273">
        <v>0</v>
      </c>
      <c r="G524" s="271">
        <f>IF(F$274=0,0,F524/F$274)</f>
        <v>0</v>
      </c>
      <c r="H524" s="273">
        <v>0</v>
      </c>
      <c r="I524" s="271">
        <f>IF(H$274=0,0,H524/H$274)</f>
        <v>0</v>
      </c>
      <c r="J524" s="273">
        <v>0</v>
      </c>
      <c r="K524" s="272">
        <f>IF(J$274=0,0,J524/J$274)</f>
        <v>0</v>
      </c>
    </row>
    <row r="525" spans="2:11" hidden="1" outlineLevel="1" x14ac:dyDescent="0.3">
      <c r="B525" s="6"/>
      <c r="C525" s="279"/>
      <c r="D525" s="275"/>
      <c r="E525" s="276"/>
      <c r="F525" s="275"/>
      <c r="G525" s="276"/>
      <c r="H525" s="275"/>
      <c r="I525" s="276"/>
      <c r="J525" s="275"/>
      <c r="K525" s="280"/>
    </row>
    <row r="526" spans="2:11" hidden="1" outlineLevel="1" x14ac:dyDescent="0.3">
      <c r="B526" s="6"/>
      <c r="C526" s="274" t="s">
        <v>160</v>
      </c>
      <c r="D526" s="273">
        <f>D523-D524</f>
        <v>0</v>
      </c>
      <c r="E526" s="271">
        <f>IF(D$274=0,0,D526/D$274)</f>
        <v>0</v>
      </c>
      <c r="F526" s="273">
        <f>F523-F524</f>
        <v>0</v>
      </c>
      <c r="G526" s="271">
        <f>IF(F$274=0,0,F526/F$274)</f>
        <v>0</v>
      </c>
      <c r="H526" s="273">
        <f>H523-H524</f>
        <v>0</v>
      </c>
      <c r="I526" s="271">
        <f>IF(H$274=0,0,H526/H$274)</f>
        <v>0</v>
      </c>
      <c r="J526" s="273">
        <f>J523-J524</f>
        <v>0</v>
      </c>
      <c r="K526" s="272">
        <f>IF(J$274=0,0,J526/J$274)</f>
        <v>0</v>
      </c>
    </row>
    <row r="527" spans="2:11" hidden="1" outlineLevel="1" x14ac:dyDescent="0.3">
      <c r="B527" s="6"/>
      <c r="C527" s="240"/>
      <c r="D527" s="281"/>
      <c r="E527" s="282"/>
      <c r="F527" s="281"/>
      <c r="G527" s="282"/>
      <c r="H527" s="281"/>
      <c r="I527" s="282"/>
      <c r="J527" s="281"/>
      <c r="K527" s="283"/>
    </row>
    <row r="528" spans="2:11" hidden="1" outlineLevel="1" x14ac:dyDescent="0.3">
      <c r="B528" s="6"/>
      <c r="C528" s="284" t="s">
        <v>396</v>
      </c>
      <c r="D528" s="1"/>
      <c r="E528" s="1"/>
      <c r="F528" s="1"/>
      <c r="G528" s="1"/>
      <c r="H528" s="1"/>
      <c r="I528" s="1"/>
      <c r="J528" s="1"/>
      <c r="K528" s="4"/>
    </row>
    <row r="529" spans="2:11" hidden="1" outlineLevel="1" x14ac:dyDescent="0.3">
      <c r="B529" s="6"/>
      <c r="C529" s="285" t="s">
        <v>385</v>
      </c>
      <c r="D529" s="300">
        <f>D502</f>
        <v>0</v>
      </c>
      <c r="E529" s="1"/>
      <c r="F529" s="300">
        <f>F502</f>
        <v>0</v>
      </c>
      <c r="G529" s="1"/>
      <c r="H529" s="300">
        <f>H502</f>
        <v>0</v>
      </c>
      <c r="I529" s="1"/>
      <c r="J529" s="300">
        <f>J502</f>
        <v>0</v>
      </c>
      <c r="K529" s="4"/>
    </row>
    <row r="530" spans="2:11" hidden="1" outlineLevel="1" x14ac:dyDescent="0.3">
      <c r="B530" s="6"/>
      <c r="C530" s="286" t="s">
        <v>386</v>
      </c>
      <c r="D530" s="301">
        <f>D509</f>
        <v>0</v>
      </c>
      <c r="E530" s="1"/>
      <c r="F530" s="301">
        <f>F509</f>
        <v>0</v>
      </c>
      <c r="G530" s="1"/>
      <c r="H530" s="301">
        <f>H509</f>
        <v>0</v>
      </c>
      <c r="I530" s="1"/>
      <c r="J530" s="301">
        <f>J509</f>
        <v>0</v>
      </c>
      <c r="K530" s="4"/>
    </row>
    <row r="531" spans="2:11" hidden="1" outlineLevel="1" x14ac:dyDescent="0.3">
      <c r="B531" s="6"/>
      <c r="C531" s="286" t="s">
        <v>387</v>
      </c>
      <c r="D531" s="301">
        <f>D508</f>
        <v>0</v>
      </c>
      <c r="E531" s="1"/>
      <c r="F531" s="301">
        <f>F508</f>
        <v>0</v>
      </c>
      <c r="G531" s="1"/>
      <c r="H531" s="301">
        <f>H508</f>
        <v>0</v>
      </c>
      <c r="I531" s="1"/>
      <c r="J531" s="301">
        <f>J508</f>
        <v>0</v>
      </c>
      <c r="K531" s="4"/>
    </row>
    <row r="532" spans="2:11" hidden="1" outlineLevel="1" x14ac:dyDescent="0.3">
      <c r="B532" s="6"/>
      <c r="C532" s="286" t="s">
        <v>397</v>
      </c>
      <c r="D532" s="301">
        <v>0</v>
      </c>
      <c r="E532" s="1"/>
      <c r="F532" s="301">
        <v>0</v>
      </c>
      <c r="G532" s="1"/>
      <c r="H532" s="301">
        <v>0</v>
      </c>
      <c r="I532" s="1"/>
      <c r="J532" s="301">
        <v>0</v>
      </c>
      <c r="K532" s="4"/>
    </row>
    <row r="533" spans="2:11" hidden="1" outlineLevel="1" x14ac:dyDescent="0.3">
      <c r="B533" s="6"/>
      <c r="C533" s="304" t="s">
        <v>153</v>
      </c>
      <c r="D533" s="301">
        <v>0</v>
      </c>
      <c r="E533" s="1"/>
      <c r="F533" s="301">
        <v>0</v>
      </c>
      <c r="G533" s="1"/>
      <c r="H533" s="301">
        <v>0</v>
      </c>
      <c r="I533" s="1"/>
      <c r="J533" s="301">
        <v>0</v>
      </c>
      <c r="K533" s="4"/>
    </row>
    <row r="534" spans="2:11" hidden="1" outlineLevel="1" x14ac:dyDescent="0.3">
      <c r="B534" s="6"/>
      <c r="C534" s="304" t="s">
        <v>153</v>
      </c>
      <c r="D534" s="301">
        <v>0</v>
      </c>
      <c r="E534" s="1"/>
      <c r="F534" s="301">
        <v>0</v>
      </c>
      <c r="G534" s="1"/>
      <c r="H534" s="301">
        <v>0</v>
      </c>
      <c r="I534" s="1"/>
      <c r="J534" s="301">
        <v>0</v>
      </c>
      <c r="K534" s="4"/>
    </row>
    <row r="535" spans="2:11" hidden="1" outlineLevel="1" x14ac:dyDescent="0.3">
      <c r="B535" s="6"/>
      <c r="C535" s="286" t="s">
        <v>388</v>
      </c>
      <c r="D535" s="301">
        <v>0</v>
      </c>
      <c r="E535" s="1"/>
      <c r="F535" s="301">
        <v>0</v>
      </c>
      <c r="G535" s="1"/>
      <c r="H535" s="301">
        <v>0</v>
      </c>
      <c r="I535" s="1"/>
      <c r="J535" s="301">
        <v>0</v>
      </c>
      <c r="K535" s="4"/>
    </row>
    <row r="536" spans="2:11" hidden="1" outlineLevel="1" x14ac:dyDescent="0.3">
      <c r="B536" s="6"/>
      <c r="C536" s="286" t="s">
        <v>389</v>
      </c>
      <c r="D536" s="302">
        <v>0</v>
      </c>
      <c r="E536" s="1"/>
      <c r="F536" s="302">
        <v>0</v>
      </c>
      <c r="G536" s="1"/>
      <c r="H536" s="302">
        <v>0</v>
      </c>
      <c r="I536" s="1"/>
      <c r="J536" s="302">
        <v>0</v>
      </c>
      <c r="K536" s="4"/>
    </row>
    <row r="537" spans="2:11" hidden="1" outlineLevel="1" x14ac:dyDescent="0.3">
      <c r="B537" s="6"/>
      <c r="C537" s="286"/>
      <c r="D537" s="1"/>
      <c r="E537" s="1"/>
      <c r="F537" s="1"/>
      <c r="G537" s="1"/>
      <c r="H537" s="1"/>
      <c r="I537" s="1"/>
      <c r="J537" s="1"/>
      <c r="K537" s="4"/>
    </row>
    <row r="538" spans="2:11" hidden="1" outlineLevel="1" x14ac:dyDescent="0.3">
      <c r="B538" s="6"/>
      <c r="C538" s="286" t="s">
        <v>162</v>
      </c>
      <c r="D538" s="287">
        <f>D526+SUM(D529:D536)</f>
        <v>0</v>
      </c>
      <c r="E538" s="288"/>
      <c r="F538" s="287">
        <f>F526+SUM(F529:F536)</f>
        <v>0</v>
      </c>
      <c r="G538" s="288"/>
      <c r="H538" s="287">
        <f>H526+SUM(H529:H536)</f>
        <v>0</v>
      </c>
      <c r="I538" s="288"/>
      <c r="J538" s="287">
        <f>J526+SUM(J529:J536)</f>
        <v>0</v>
      </c>
      <c r="K538" s="4"/>
    </row>
    <row r="539" spans="2:11" hidden="1" outlineLevel="1" x14ac:dyDescent="0.3">
      <c r="B539" s="6"/>
      <c r="C539" s="286"/>
      <c r="D539" s="1"/>
      <c r="E539" s="1"/>
      <c r="F539" s="1"/>
      <c r="G539" s="1"/>
      <c r="H539" s="1"/>
      <c r="I539" s="1"/>
      <c r="J539" s="1"/>
      <c r="K539" s="4"/>
    </row>
    <row r="540" spans="2:11" hidden="1" outlineLevel="1" x14ac:dyDescent="0.3">
      <c r="B540" s="6"/>
      <c r="C540" s="240" t="s">
        <v>177</v>
      </c>
      <c r="D540" s="305">
        <v>0</v>
      </c>
      <c r="E540" s="1"/>
      <c r="F540" s="305">
        <v>0</v>
      </c>
      <c r="G540" s="1"/>
      <c r="H540" s="305">
        <v>0</v>
      </c>
      <c r="I540" s="1"/>
      <c r="J540" s="305">
        <v>0</v>
      </c>
      <c r="K540" s="4"/>
    </row>
    <row r="541" spans="2:11" hidden="1" outlineLevel="1" x14ac:dyDescent="0.3">
      <c r="B541" s="6"/>
      <c r="C541" s="240" t="s">
        <v>163</v>
      </c>
      <c r="D541" s="289">
        <f>D540*D494</f>
        <v>0</v>
      </c>
      <c r="E541" s="1"/>
      <c r="F541" s="289">
        <f>F540*F494</f>
        <v>0</v>
      </c>
      <c r="G541" s="1"/>
      <c r="H541" s="289">
        <f>H540*H494</f>
        <v>0</v>
      </c>
      <c r="I541" s="1"/>
      <c r="J541" s="289">
        <f>J540*J494</f>
        <v>0</v>
      </c>
      <c r="K541" s="4"/>
    </row>
    <row r="542" spans="2:11" hidden="1" outlineLevel="1" x14ac:dyDescent="0.3">
      <c r="B542" s="6"/>
      <c r="C542" s="240"/>
      <c r="D542" s="1"/>
      <c r="E542" s="1"/>
      <c r="F542" s="1"/>
      <c r="G542" s="1"/>
      <c r="H542" s="1"/>
      <c r="I542" s="1"/>
      <c r="J542" s="1"/>
      <c r="K542" s="4"/>
    </row>
    <row r="543" spans="2:11" hidden="1" outlineLevel="1" x14ac:dyDescent="0.3">
      <c r="B543" s="6"/>
      <c r="C543" s="274" t="s">
        <v>165</v>
      </c>
      <c r="D543" s="290">
        <f>IFERROR(D538/D541,0)</f>
        <v>0</v>
      </c>
      <c r="E543" s="1"/>
      <c r="F543" s="290">
        <f>IFERROR(F538/F541,0)</f>
        <v>0</v>
      </c>
      <c r="G543" s="1"/>
      <c r="H543" s="290">
        <f>IFERROR(H538/H541,0)</f>
        <v>0</v>
      </c>
      <c r="I543" s="1"/>
      <c r="J543" s="290">
        <f>IFERROR(J538/J541,0)</f>
        <v>0</v>
      </c>
      <c r="K543" s="4"/>
    </row>
    <row r="544" spans="2:11" ht="15" hidden="1" outlineLevel="1" thickBot="1" x14ac:dyDescent="0.35">
      <c r="B544" s="1285"/>
      <c r="C544" s="1286"/>
      <c r="D544" s="1286"/>
      <c r="E544" s="33"/>
      <c r="F544" s="33"/>
      <c r="G544" s="33"/>
      <c r="H544" s="33"/>
      <c r="I544" s="33"/>
      <c r="J544" s="33"/>
      <c r="K544" s="7"/>
    </row>
    <row r="545" spans="2:11" ht="15" collapsed="1" thickBot="1" x14ac:dyDescent="0.35"/>
    <row r="546" spans="2:11" ht="16.2" thickBot="1" x14ac:dyDescent="0.35">
      <c r="B546" s="227" t="s">
        <v>406</v>
      </c>
      <c r="C546" s="228"/>
      <c r="D546" s="228"/>
      <c r="E546" s="228"/>
      <c r="F546" s="228"/>
      <c r="G546" s="228"/>
      <c r="H546" s="228"/>
      <c r="I546" s="228"/>
      <c r="J546" s="228"/>
      <c r="K546" s="229"/>
    </row>
    <row r="547" spans="2:11" ht="16.2" thickBot="1" x14ac:dyDescent="0.35">
      <c r="B547" s="1290" t="s">
        <v>407</v>
      </c>
      <c r="C547" s="1291"/>
      <c r="D547" s="1291"/>
      <c r="E547" s="1291"/>
      <c r="F547" s="1291"/>
      <c r="G547" s="1291"/>
      <c r="H547" s="1291"/>
      <c r="I547" s="1292"/>
      <c r="J547" s="255" t="s">
        <v>129</v>
      </c>
      <c r="K547" s="296" t="s">
        <v>43</v>
      </c>
    </row>
    <row r="548" spans="2:11" hidden="1" outlineLevel="1" x14ac:dyDescent="0.3">
      <c r="B548" s="256"/>
      <c r="C548" s="257"/>
      <c r="D548" s="258"/>
      <c r="E548" s="258"/>
      <c r="F548" s="258"/>
      <c r="G548" s="258"/>
      <c r="H548" s="258"/>
      <c r="I548" s="258"/>
      <c r="J548" s="258"/>
      <c r="K548" s="259"/>
    </row>
    <row r="549" spans="2:11" hidden="1" outlineLevel="1" x14ac:dyDescent="0.3">
      <c r="B549" s="260" t="s">
        <v>132</v>
      </c>
      <c r="C549" s="29"/>
      <c r="D549" s="297">
        <f>'BDO Prequal'!$D$99</f>
        <v>45291</v>
      </c>
      <c r="E549" s="261"/>
      <c r="F549" s="297">
        <f>EOMONTH(D549,F550)</f>
        <v>45657</v>
      </c>
      <c r="G549" s="261"/>
      <c r="H549" s="297">
        <f>EOMONTH(F549,H550)</f>
        <v>46022</v>
      </c>
      <c r="I549" s="261"/>
      <c r="J549" s="297">
        <f>EOMONTH(H549,J550)</f>
        <v>46112</v>
      </c>
      <c r="K549" s="4"/>
    </row>
    <row r="550" spans="2:11" hidden="1" outlineLevel="1" x14ac:dyDescent="0.3">
      <c r="B550" s="260" t="s">
        <v>134</v>
      </c>
      <c r="C550" s="29"/>
      <c r="D550" s="298">
        <v>12</v>
      </c>
      <c r="E550" s="262"/>
      <c r="F550" s="298">
        <v>12</v>
      </c>
      <c r="G550" s="262"/>
      <c r="H550" s="298">
        <v>12</v>
      </c>
      <c r="I550" s="262"/>
      <c r="J550" s="298">
        <v>3</v>
      </c>
      <c r="K550" s="263"/>
    </row>
    <row r="551" spans="2:11" hidden="1" outlineLevel="1" x14ac:dyDescent="0.3">
      <c r="B551" s="260" t="s">
        <v>136</v>
      </c>
      <c r="C551" s="29"/>
      <c r="D551" s="299" t="s">
        <v>137</v>
      </c>
      <c r="E551" s="264"/>
      <c r="F551" s="299" t="s">
        <v>137</v>
      </c>
      <c r="G551" s="264"/>
      <c r="H551" s="299"/>
      <c r="I551" s="264"/>
      <c r="J551" s="299" t="s">
        <v>138</v>
      </c>
      <c r="K551" s="263"/>
    </row>
    <row r="552" spans="2:11" hidden="1" outlineLevel="1" x14ac:dyDescent="0.3">
      <c r="B552" s="260" t="s">
        <v>140</v>
      </c>
      <c r="C552" s="29"/>
      <c r="D552" s="299"/>
      <c r="E552" s="264"/>
      <c r="F552" s="299"/>
      <c r="G552" s="264"/>
      <c r="H552" s="299"/>
      <c r="I552" s="264"/>
      <c r="J552" s="299"/>
      <c r="K552" s="263"/>
    </row>
    <row r="553" spans="2:11" hidden="1" outlineLevel="1" x14ac:dyDescent="0.3">
      <c r="B553" s="265"/>
      <c r="C553" s="1"/>
      <c r="D553" s="294"/>
      <c r="E553" s="295"/>
      <c r="F553" s="294"/>
      <c r="G553" s="295"/>
      <c r="H553" s="294"/>
      <c r="I553" s="295"/>
      <c r="J553" s="269">
        <f>(J554/J550)*12</f>
        <v>0</v>
      </c>
      <c r="K553" s="270"/>
    </row>
    <row r="554" spans="2:11" hidden="1" outlineLevel="1" x14ac:dyDescent="0.3">
      <c r="B554" s="19"/>
      <c r="C554" s="240" t="s">
        <v>141</v>
      </c>
      <c r="D554" s="300">
        <v>0</v>
      </c>
      <c r="E554" s="271">
        <f>IF(D$274=0,0,D554/D$274)</f>
        <v>0</v>
      </c>
      <c r="F554" s="300">
        <v>0</v>
      </c>
      <c r="G554" s="271">
        <f>IF(F$274=0,0,F554/F$274)</f>
        <v>0</v>
      </c>
      <c r="H554" s="300">
        <v>0</v>
      </c>
      <c r="I554" s="271">
        <f>IF(H$274=0,0,H554/H$274)</f>
        <v>0</v>
      </c>
      <c r="J554" s="300">
        <v>0</v>
      </c>
      <c r="K554" s="272">
        <f>IF(J$274=0,0,J554/J$274)</f>
        <v>0</v>
      </c>
    </row>
    <row r="555" spans="2:11" hidden="1" outlineLevel="1" x14ac:dyDescent="0.3">
      <c r="B555" s="6"/>
      <c r="C555" s="240" t="s">
        <v>142</v>
      </c>
      <c r="D555" s="301">
        <v>0</v>
      </c>
      <c r="E555" s="271">
        <f>IF(D$274=0,0,D555/D$274)</f>
        <v>0</v>
      </c>
      <c r="F555" s="301">
        <v>0</v>
      </c>
      <c r="G555" s="271">
        <f>IF(F$274=0,0,F555/F$274)</f>
        <v>0</v>
      </c>
      <c r="H555" s="301">
        <v>0</v>
      </c>
      <c r="I555" s="271">
        <f>IF(H$274=0,0,H555/H$274)</f>
        <v>0</v>
      </c>
      <c r="J555" s="301">
        <v>0</v>
      </c>
      <c r="K555" s="272">
        <f>IF(J$274=0,0,J555/J$274)</f>
        <v>0</v>
      </c>
    </row>
    <row r="556" spans="2:11" hidden="1" outlineLevel="1" x14ac:dyDescent="0.3">
      <c r="B556" s="6"/>
      <c r="C556" s="240" t="s">
        <v>143</v>
      </c>
      <c r="D556" s="273">
        <f>D554-D555</f>
        <v>0</v>
      </c>
      <c r="E556" s="271">
        <f>IF(D$274=0,0,D556/D$274)</f>
        <v>0</v>
      </c>
      <c r="F556" s="273">
        <f>F554-F555</f>
        <v>0</v>
      </c>
      <c r="G556" s="271">
        <f>IF(F$274=0,0,F556/F$274)</f>
        <v>0</v>
      </c>
      <c r="H556" s="273">
        <f>H554-H555</f>
        <v>0</v>
      </c>
      <c r="I556" s="271">
        <f>IF(H$274=0,0,H556/H$274)</f>
        <v>0</v>
      </c>
      <c r="J556" s="273">
        <f>J554-J555</f>
        <v>0</v>
      </c>
      <c r="K556" s="272">
        <f>IF(J$274=0,0,J556/J$274)</f>
        <v>0</v>
      </c>
    </row>
    <row r="557" spans="2:11" hidden="1" outlineLevel="1" x14ac:dyDescent="0.3">
      <c r="B557" s="6"/>
      <c r="C557" s="274"/>
      <c r="D557" s="275"/>
      <c r="E557" s="276"/>
      <c r="F557" s="275"/>
      <c r="G557" s="276"/>
      <c r="H557" s="275"/>
      <c r="I557" s="276"/>
      <c r="J557" s="275"/>
      <c r="K557" s="277"/>
    </row>
    <row r="558" spans="2:11" hidden="1" outlineLevel="1" x14ac:dyDescent="0.3">
      <c r="B558" s="6"/>
      <c r="C558" s="240" t="s">
        <v>144</v>
      </c>
      <c r="D558" s="300">
        <v>0</v>
      </c>
      <c r="E558" s="271">
        <f t="shared" ref="E558:E571" si="36">IF(D$274=0,0,D558/D$274)</f>
        <v>0</v>
      </c>
      <c r="F558" s="300">
        <v>0</v>
      </c>
      <c r="G558" s="271">
        <f t="shared" ref="G558:G571" si="37">IF(F$274=0,0,F558/F$274)</f>
        <v>0</v>
      </c>
      <c r="H558" s="300">
        <v>0</v>
      </c>
      <c r="I558" s="271">
        <f t="shared" ref="I558:I571" si="38">IF(H$274=0,0,H558/H$274)</f>
        <v>0</v>
      </c>
      <c r="J558" s="300">
        <v>0</v>
      </c>
      <c r="K558" s="272">
        <f t="shared" ref="K558:K571" si="39">IF(J$274=0,0,J558/J$274)</f>
        <v>0</v>
      </c>
    </row>
    <row r="559" spans="2:11" hidden="1" outlineLevel="1" x14ac:dyDescent="0.3">
      <c r="B559" s="6"/>
      <c r="C559" s="240" t="s">
        <v>145</v>
      </c>
      <c r="D559" s="301">
        <v>0</v>
      </c>
      <c r="E559" s="271">
        <f t="shared" si="36"/>
        <v>0</v>
      </c>
      <c r="F559" s="301">
        <v>0</v>
      </c>
      <c r="G559" s="271">
        <f t="shared" si="37"/>
        <v>0</v>
      </c>
      <c r="H559" s="301">
        <v>0</v>
      </c>
      <c r="I559" s="271">
        <f t="shared" si="38"/>
        <v>0</v>
      </c>
      <c r="J559" s="301">
        <v>0</v>
      </c>
      <c r="K559" s="272">
        <f t="shared" si="39"/>
        <v>0</v>
      </c>
    </row>
    <row r="560" spans="2:11" hidden="1" outlineLevel="1" x14ac:dyDescent="0.3">
      <c r="B560" s="6"/>
      <c r="C560" s="240" t="s">
        <v>146</v>
      </c>
      <c r="D560" s="301">
        <v>0</v>
      </c>
      <c r="E560" s="271">
        <f t="shared" si="36"/>
        <v>0</v>
      </c>
      <c r="F560" s="301">
        <v>0</v>
      </c>
      <c r="G560" s="271">
        <f t="shared" si="37"/>
        <v>0</v>
      </c>
      <c r="H560" s="301">
        <v>0</v>
      </c>
      <c r="I560" s="271">
        <f t="shared" si="38"/>
        <v>0</v>
      </c>
      <c r="J560" s="301">
        <v>0</v>
      </c>
      <c r="K560" s="272">
        <f t="shared" si="39"/>
        <v>0</v>
      </c>
    </row>
    <row r="561" spans="2:11" hidden="1" outlineLevel="1" x14ac:dyDescent="0.3">
      <c r="B561" s="6"/>
      <c r="C561" s="240" t="s">
        <v>147</v>
      </c>
      <c r="D561" s="301">
        <v>0</v>
      </c>
      <c r="E561" s="271">
        <f t="shared" si="36"/>
        <v>0</v>
      </c>
      <c r="F561" s="301">
        <v>0</v>
      </c>
      <c r="G561" s="271">
        <f t="shared" si="37"/>
        <v>0</v>
      </c>
      <c r="H561" s="301">
        <v>0</v>
      </c>
      <c r="I561" s="271">
        <f t="shared" si="38"/>
        <v>0</v>
      </c>
      <c r="J561" s="301">
        <v>0</v>
      </c>
      <c r="K561" s="272">
        <f t="shared" si="39"/>
        <v>0</v>
      </c>
    </row>
    <row r="562" spans="2:11" hidden="1" outlineLevel="1" x14ac:dyDescent="0.3">
      <c r="B562" s="6"/>
      <c r="C562" s="240" t="s">
        <v>148</v>
      </c>
      <c r="D562" s="301">
        <v>0</v>
      </c>
      <c r="E562" s="271">
        <f t="shared" si="36"/>
        <v>0</v>
      </c>
      <c r="F562" s="301">
        <v>0</v>
      </c>
      <c r="G562" s="271">
        <f t="shared" si="37"/>
        <v>0</v>
      </c>
      <c r="H562" s="301">
        <v>0</v>
      </c>
      <c r="I562" s="271">
        <f t="shared" si="38"/>
        <v>0</v>
      </c>
      <c r="J562" s="301">
        <v>0</v>
      </c>
      <c r="K562" s="272">
        <f t="shared" si="39"/>
        <v>0</v>
      </c>
    </row>
    <row r="563" spans="2:11" hidden="1" outlineLevel="1" x14ac:dyDescent="0.3">
      <c r="B563" s="6"/>
      <c r="C563" s="240" t="s">
        <v>149</v>
      </c>
      <c r="D563" s="301">
        <v>0</v>
      </c>
      <c r="E563" s="271">
        <f t="shared" si="36"/>
        <v>0</v>
      </c>
      <c r="F563" s="301">
        <v>0</v>
      </c>
      <c r="G563" s="271">
        <f t="shared" si="37"/>
        <v>0</v>
      </c>
      <c r="H563" s="301">
        <v>0</v>
      </c>
      <c r="I563" s="271">
        <f t="shared" si="38"/>
        <v>0</v>
      </c>
      <c r="J563" s="301">
        <v>0</v>
      </c>
      <c r="K563" s="272">
        <f t="shared" si="39"/>
        <v>0</v>
      </c>
    </row>
    <row r="564" spans="2:11" hidden="1" outlineLevel="1" x14ac:dyDescent="0.3">
      <c r="B564" s="6"/>
      <c r="C564" s="240" t="s">
        <v>150</v>
      </c>
      <c r="D564" s="301">
        <v>0</v>
      </c>
      <c r="E564" s="271">
        <f t="shared" si="36"/>
        <v>0</v>
      </c>
      <c r="F564" s="301">
        <v>0</v>
      </c>
      <c r="G564" s="271">
        <f t="shared" si="37"/>
        <v>0</v>
      </c>
      <c r="H564" s="301">
        <v>0</v>
      </c>
      <c r="I564" s="271">
        <f t="shared" si="38"/>
        <v>0</v>
      </c>
      <c r="J564" s="301">
        <v>0</v>
      </c>
      <c r="K564" s="272">
        <f t="shared" si="39"/>
        <v>0</v>
      </c>
    </row>
    <row r="565" spans="2:11" hidden="1" outlineLevel="1" x14ac:dyDescent="0.3">
      <c r="B565" s="6"/>
      <c r="C565" s="240" t="s">
        <v>151</v>
      </c>
      <c r="D565" s="301">
        <v>0</v>
      </c>
      <c r="E565" s="271">
        <f t="shared" si="36"/>
        <v>0</v>
      </c>
      <c r="F565" s="301">
        <v>0</v>
      </c>
      <c r="G565" s="271">
        <f t="shared" si="37"/>
        <v>0</v>
      </c>
      <c r="H565" s="301">
        <v>0</v>
      </c>
      <c r="I565" s="271">
        <f t="shared" si="38"/>
        <v>0</v>
      </c>
      <c r="J565" s="301">
        <v>0</v>
      </c>
      <c r="K565" s="272">
        <f t="shared" si="39"/>
        <v>0</v>
      </c>
    </row>
    <row r="566" spans="2:11" hidden="1" outlineLevel="1" x14ac:dyDescent="0.3">
      <c r="B566" s="6"/>
      <c r="C566" s="240" t="s">
        <v>152</v>
      </c>
      <c r="D566" s="301">
        <v>0</v>
      </c>
      <c r="E566" s="271">
        <f t="shared" si="36"/>
        <v>0</v>
      </c>
      <c r="F566" s="301">
        <v>0</v>
      </c>
      <c r="G566" s="271">
        <f t="shared" si="37"/>
        <v>0</v>
      </c>
      <c r="H566" s="301">
        <v>0</v>
      </c>
      <c r="I566" s="271">
        <f t="shared" si="38"/>
        <v>0</v>
      </c>
      <c r="J566" s="301">
        <v>0</v>
      </c>
      <c r="K566" s="272">
        <f t="shared" si="39"/>
        <v>0</v>
      </c>
    </row>
    <row r="567" spans="2:11" hidden="1" outlineLevel="1" x14ac:dyDescent="0.3">
      <c r="B567" s="6"/>
      <c r="C567" s="303" t="s">
        <v>153</v>
      </c>
      <c r="D567" s="301">
        <v>0</v>
      </c>
      <c r="E567" s="271">
        <f t="shared" si="36"/>
        <v>0</v>
      </c>
      <c r="F567" s="301">
        <v>0</v>
      </c>
      <c r="G567" s="271">
        <f t="shared" si="37"/>
        <v>0</v>
      </c>
      <c r="H567" s="301">
        <v>0</v>
      </c>
      <c r="I567" s="271">
        <f t="shared" si="38"/>
        <v>0</v>
      </c>
      <c r="J567" s="301">
        <v>0</v>
      </c>
      <c r="K567" s="272">
        <f t="shared" si="39"/>
        <v>0</v>
      </c>
    </row>
    <row r="568" spans="2:11" hidden="1" outlineLevel="1" x14ac:dyDescent="0.3">
      <c r="B568" s="6"/>
      <c r="C568" s="303" t="s">
        <v>153</v>
      </c>
      <c r="D568" s="301">
        <v>0</v>
      </c>
      <c r="E568" s="271">
        <f t="shared" si="36"/>
        <v>0</v>
      </c>
      <c r="F568" s="301">
        <v>0</v>
      </c>
      <c r="G568" s="271">
        <f t="shared" si="37"/>
        <v>0</v>
      </c>
      <c r="H568" s="301">
        <v>0</v>
      </c>
      <c r="I568" s="271">
        <f t="shared" si="38"/>
        <v>0</v>
      </c>
      <c r="J568" s="301">
        <v>0</v>
      </c>
      <c r="K568" s="272">
        <f t="shared" si="39"/>
        <v>0</v>
      </c>
    </row>
    <row r="569" spans="2:11" hidden="1" outlineLevel="1" x14ac:dyDescent="0.3">
      <c r="B569" s="19"/>
      <c r="C569" s="303" t="s">
        <v>153</v>
      </c>
      <c r="D569" s="301">
        <v>0</v>
      </c>
      <c r="E569" s="271">
        <f t="shared" si="36"/>
        <v>0</v>
      </c>
      <c r="F569" s="301">
        <v>0</v>
      </c>
      <c r="G569" s="271">
        <f t="shared" si="37"/>
        <v>0</v>
      </c>
      <c r="H569" s="301">
        <v>0</v>
      </c>
      <c r="I569" s="271">
        <f t="shared" si="38"/>
        <v>0</v>
      </c>
      <c r="J569" s="301">
        <v>0</v>
      </c>
      <c r="K569" s="272">
        <f t="shared" si="39"/>
        <v>0</v>
      </c>
    </row>
    <row r="570" spans="2:11" hidden="1" outlineLevel="1" x14ac:dyDescent="0.3">
      <c r="B570" s="6"/>
      <c r="C570" s="303" t="s">
        <v>153</v>
      </c>
      <c r="D570" s="302">
        <v>0</v>
      </c>
      <c r="E570" s="271">
        <f t="shared" si="36"/>
        <v>0</v>
      </c>
      <c r="F570" s="302">
        <v>0</v>
      </c>
      <c r="G570" s="271">
        <f t="shared" si="37"/>
        <v>0</v>
      </c>
      <c r="H570" s="302">
        <v>0</v>
      </c>
      <c r="I570" s="271">
        <f t="shared" si="38"/>
        <v>0</v>
      </c>
      <c r="J570" s="302">
        <v>0</v>
      </c>
      <c r="K570" s="272">
        <f t="shared" si="39"/>
        <v>0</v>
      </c>
    </row>
    <row r="571" spans="2:11" hidden="1" outlineLevel="1" x14ac:dyDescent="0.3">
      <c r="B571" s="6"/>
      <c r="C571" s="274" t="s">
        <v>154</v>
      </c>
      <c r="D571" s="273">
        <f>SUM(D558:D570)</f>
        <v>0</v>
      </c>
      <c r="E571" s="271">
        <f t="shared" si="36"/>
        <v>0</v>
      </c>
      <c r="F571" s="273">
        <f>SUM(F558:F570)</f>
        <v>0</v>
      </c>
      <c r="G571" s="271">
        <f t="shared" si="37"/>
        <v>0</v>
      </c>
      <c r="H571" s="273">
        <f>SUM(H558:H570)</f>
        <v>0</v>
      </c>
      <c r="I571" s="271">
        <f t="shared" si="38"/>
        <v>0</v>
      </c>
      <c r="J571" s="273">
        <f>SUM(J558:J570)</f>
        <v>0</v>
      </c>
      <c r="K571" s="272">
        <f t="shared" si="39"/>
        <v>0</v>
      </c>
    </row>
    <row r="572" spans="2:11" hidden="1" outlineLevel="1" x14ac:dyDescent="0.3">
      <c r="B572" s="6"/>
      <c r="C572" s="274"/>
      <c r="D572" s="275"/>
      <c r="E572" s="276"/>
      <c r="F572" s="275"/>
      <c r="G572" s="276"/>
      <c r="H572" s="275"/>
      <c r="I572" s="276"/>
      <c r="J572" s="275"/>
      <c r="K572" s="278"/>
    </row>
    <row r="573" spans="2:11" hidden="1" outlineLevel="1" x14ac:dyDescent="0.3">
      <c r="B573" s="6"/>
      <c r="C573" s="274" t="s">
        <v>155</v>
      </c>
      <c r="D573" s="273">
        <f>D556-D571</f>
        <v>0</v>
      </c>
      <c r="E573" s="271">
        <f>IF(D$274=0,0,D573/D$274)</f>
        <v>0</v>
      </c>
      <c r="F573" s="273">
        <f>F556-F571</f>
        <v>0</v>
      </c>
      <c r="G573" s="271">
        <f>IF(F$274=0,0,F573/F$274)</f>
        <v>0</v>
      </c>
      <c r="H573" s="273">
        <f>H556-H571</f>
        <v>0</v>
      </c>
      <c r="I573" s="271">
        <f>IF(H$274=0,0,H573/H$274)</f>
        <v>0</v>
      </c>
      <c r="J573" s="273">
        <f>J556-J571</f>
        <v>0</v>
      </c>
      <c r="K573" s="272">
        <f>IF(J$274=0,0,J573/J$274)</f>
        <v>0</v>
      </c>
    </row>
    <row r="574" spans="2:11" hidden="1" outlineLevel="1" x14ac:dyDescent="0.3">
      <c r="B574" s="6"/>
      <c r="C574" s="274"/>
      <c r="D574" s="275"/>
      <c r="E574" s="276"/>
      <c r="F574" s="275"/>
      <c r="G574" s="276"/>
      <c r="H574" s="275"/>
      <c r="I574" s="276"/>
      <c r="J574" s="275"/>
      <c r="K574" s="277"/>
    </row>
    <row r="575" spans="2:11" hidden="1" outlineLevel="1" x14ac:dyDescent="0.3">
      <c r="B575" s="6"/>
      <c r="C575" s="240" t="s">
        <v>450</v>
      </c>
      <c r="D575" s="300">
        <v>0</v>
      </c>
      <c r="E575" s="271">
        <f>IF(D$274=0,0,D575/D$274)</f>
        <v>0</v>
      </c>
      <c r="F575" s="300">
        <v>0</v>
      </c>
      <c r="G575" s="271">
        <f>IF(F$274=0,0,F575/F$274)</f>
        <v>0</v>
      </c>
      <c r="H575" s="300">
        <v>0</v>
      </c>
      <c r="I575" s="271">
        <f>IF(H$274=0,0,H575/H$274)</f>
        <v>0</v>
      </c>
      <c r="J575" s="300">
        <v>0</v>
      </c>
      <c r="K575" s="272">
        <f>IF(J$274=0,0,J575/J$274)</f>
        <v>0</v>
      </c>
    </row>
    <row r="576" spans="2:11" hidden="1" outlineLevel="1" x14ac:dyDescent="0.3">
      <c r="B576" s="6"/>
      <c r="C576" s="240" t="s">
        <v>450</v>
      </c>
      <c r="D576" s="301">
        <v>0</v>
      </c>
      <c r="E576" s="271">
        <f>IF(D$274=0,0,D576/D$274)</f>
        <v>0</v>
      </c>
      <c r="F576" s="301">
        <v>0</v>
      </c>
      <c r="G576" s="271">
        <f>IF(F$274=0,0,F576/F$274)</f>
        <v>0</v>
      </c>
      <c r="H576" s="301">
        <v>0</v>
      </c>
      <c r="I576" s="271">
        <f>IF(H$274=0,0,H576/H$274)</f>
        <v>0</v>
      </c>
      <c r="J576" s="301">
        <v>0</v>
      </c>
      <c r="K576" s="272">
        <f>IF(J$274=0,0,J576/J$274)</f>
        <v>0</v>
      </c>
    </row>
    <row r="577" spans="2:11" hidden="1" outlineLevel="1" x14ac:dyDescent="0.3">
      <c r="B577" s="6"/>
      <c r="C577" s="274" t="s">
        <v>157</v>
      </c>
      <c r="D577" s="273">
        <f>SUM(D575:D576)</f>
        <v>0</v>
      </c>
      <c r="E577" s="271">
        <f>IF(D$274=0,0,D577/D$274)</f>
        <v>0</v>
      </c>
      <c r="F577" s="273">
        <f>SUM(F575:F576)</f>
        <v>0</v>
      </c>
      <c r="G577" s="271">
        <f>IF(F$274=0,0,F577/F$274)</f>
        <v>0</v>
      </c>
      <c r="H577" s="273">
        <f>SUM(H575:H576)</f>
        <v>0</v>
      </c>
      <c r="I577" s="271">
        <f>IF(H$274=0,0,H577/H$274)</f>
        <v>0</v>
      </c>
      <c r="J577" s="273">
        <f>SUM(J575:J576)</f>
        <v>0</v>
      </c>
      <c r="K577" s="272">
        <f>IF(J$274=0,0,J577/J$274)</f>
        <v>0</v>
      </c>
    </row>
    <row r="578" spans="2:11" hidden="1" outlineLevel="1" x14ac:dyDescent="0.3">
      <c r="B578" s="6"/>
      <c r="C578" s="274"/>
      <c r="D578" s="275"/>
      <c r="E578" s="276"/>
      <c r="F578" s="275"/>
      <c r="G578" s="276"/>
      <c r="H578" s="275"/>
      <c r="I578" s="276"/>
      <c r="J578" s="275"/>
      <c r="K578" s="278"/>
    </row>
    <row r="579" spans="2:11" hidden="1" outlineLevel="1" x14ac:dyDescent="0.3">
      <c r="B579" s="6"/>
      <c r="C579" s="274" t="s">
        <v>158</v>
      </c>
      <c r="D579" s="273">
        <f>D556-D571+D577</f>
        <v>0</v>
      </c>
      <c r="E579" s="271">
        <f>IF(D$274=0,0,D579/D$274)</f>
        <v>0</v>
      </c>
      <c r="F579" s="273">
        <f>F556-F571+F577</f>
        <v>0</v>
      </c>
      <c r="G579" s="271">
        <f>IF(F$274=0,0,F579/F$274)</f>
        <v>0</v>
      </c>
      <c r="H579" s="273">
        <f>H556-H571+H577</f>
        <v>0</v>
      </c>
      <c r="I579" s="271">
        <f>IF(H$274=0,0,H579/H$274)</f>
        <v>0</v>
      </c>
      <c r="J579" s="273">
        <f>J556-J571+J577</f>
        <v>0</v>
      </c>
      <c r="K579" s="272">
        <f>IF(J$274=0,0,J579/J$274)</f>
        <v>0</v>
      </c>
    </row>
    <row r="580" spans="2:11" hidden="1" outlineLevel="1" x14ac:dyDescent="0.3">
      <c r="B580" s="6"/>
      <c r="C580" s="274" t="s">
        <v>159</v>
      </c>
      <c r="D580" s="273">
        <v>0</v>
      </c>
      <c r="E580" s="271">
        <f>IF(D$274=0,0,D580/D$274)</f>
        <v>0</v>
      </c>
      <c r="F580" s="273">
        <v>0</v>
      </c>
      <c r="G580" s="271">
        <f>IF(F$274=0,0,F580/F$274)</f>
        <v>0</v>
      </c>
      <c r="H580" s="273">
        <v>0</v>
      </c>
      <c r="I580" s="271">
        <f>IF(H$274=0,0,H580/H$274)</f>
        <v>0</v>
      </c>
      <c r="J580" s="273">
        <v>0</v>
      </c>
      <c r="K580" s="272">
        <f>IF(J$274=0,0,J580/J$274)</f>
        <v>0</v>
      </c>
    </row>
    <row r="581" spans="2:11" hidden="1" outlineLevel="1" x14ac:dyDescent="0.3">
      <c r="B581" s="6"/>
      <c r="C581" s="279"/>
      <c r="D581" s="275"/>
      <c r="E581" s="276"/>
      <c r="F581" s="275"/>
      <c r="G581" s="276"/>
      <c r="H581" s="275"/>
      <c r="I581" s="276"/>
      <c r="J581" s="275"/>
      <c r="K581" s="280"/>
    </row>
    <row r="582" spans="2:11" hidden="1" outlineLevel="1" x14ac:dyDescent="0.3">
      <c r="B582" s="6"/>
      <c r="C582" s="274" t="s">
        <v>160</v>
      </c>
      <c r="D582" s="273">
        <f>D579-D580</f>
        <v>0</v>
      </c>
      <c r="E582" s="271">
        <f>IF(D$274=0,0,D582/D$274)</f>
        <v>0</v>
      </c>
      <c r="F582" s="273">
        <f>F579-F580</f>
        <v>0</v>
      </c>
      <c r="G582" s="271">
        <f>IF(F$274=0,0,F582/F$274)</f>
        <v>0</v>
      </c>
      <c r="H582" s="273">
        <f>H579-H580</f>
        <v>0</v>
      </c>
      <c r="I582" s="271">
        <f>IF(H$274=0,0,H582/H$274)</f>
        <v>0</v>
      </c>
      <c r="J582" s="273">
        <f>J579-J580</f>
        <v>0</v>
      </c>
      <c r="K582" s="272">
        <f>IF(J$274=0,0,J582/J$274)</f>
        <v>0</v>
      </c>
    </row>
    <row r="583" spans="2:11" hidden="1" outlineLevel="1" x14ac:dyDescent="0.3">
      <c r="B583" s="6"/>
      <c r="C583" s="240"/>
      <c r="D583" s="281"/>
      <c r="E583" s="282"/>
      <c r="F583" s="281"/>
      <c r="G583" s="282"/>
      <c r="H583" s="281"/>
      <c r="I583" s="282"/>
      <c r="J583" s="281"/>
      <c r="K583" s="283"/>
    </row>
    <row r="584" spans="2:11" hidden="1" outlineLevel="1" x14ac:dyDescent="0.3">
      <c r="B584" s="6"/>
      <c r="C584" s="284" t="s">
        <v>396</v>
      </c>
      <c r="D584" s="1"/>
      <c r="E584" s="1"/>
      <c r="F584" s="1"/>
      <c r="G584" s="1"/>
      <c r="H584" s="1"/>
      <c r="I584" s="1"/>
      <c r="J584" s="1"/>
      <c r="K584" s="4"/>
    </row>
    <row r="585" spans="2:11" hidden="1" outlineLevel="1" x14ac:dyDescent="0.3">
      <c r="B585" s="6"/>
      <c r="C585" s="285" t="s">
        <v>385</v>
      </c>
      <c r="D585" s="300">
        <f>D558</f>
        <v>0</v>
      </c>
      <c r="E585" s="1"/>
      <c r="F585" s="300">
        <f>F558</f>
        <v>0</v>
      </c>
      <c r="G585" s="1"/>
      <c r="H585" s="300">
        <f>H558</f>
        <v>0</v>
      </c>
      <c r="I585" s="1"/>
      <c r="J585" s="300">
        <f>J558</f>
        <v>0</v>
      </c>
      <c r="K585" s="4"/>
    </row>
    <row r="586" spans="2:11" hidden="1" outlineLevel="1" x14ac:dyDescent="0.3">
      <c r="B586" s="6"/>
      <c r="C586" s="286" t="s">
        <v>386</v>
      </c>
      <c r="D586" s="301">
        <f>D565</f>
        <v>0</v>
      </c>
      <c r="E586" s="1"/>
      <c r="F586" s="301">
        <f>F565</f>
        <v>0</v>
      </c>
      <c r="G586" s="1"/>
      <c r="H586" s="301">
        <f>H565</f>
        <v>0</v>
      </c>
      <c r="I586" s="1"/>
      <c r="J586" s="301">
        <f>J565</f>
        <v>0</v>
      </c>
      <c r="K586" s="4"/>
    </row>
    <row r="587" spans="2:11" hidden="1" outlineLevel="1" x14ac:dyDescent="0.3">
      <c r="B587" s="6"/>
      <c r="C587" s="286" t="s">
        <v>387</v>
      </c>
      <c r="D587" s="301">
        <f>D564</f>
        <v>0</v>
      </c>
      <c r="E587" s="1"/>
      <c r="F587" s="301">
        <f>F564</f>
        <v>0</v>
      </c>
      <c r="G587" s="1"/>
      <c r="H587" s="301">
        <f>H564</f>
        <v>0</v>
      </c>
      <c r="I587" s="1"/>
      <c r="J587" s="301">
        <f>J564</f>
        <v>0</v>
      </c>
      <c r="K587" s="4"/>
    </row>
    <row r="588" spans="2:11" hidden="1" outlineLevel="1" x14ac:dyDescent="0.3">
      <c r="B588" s="6"/>
      <c r="C588" s="286" t="s">
        <v>397</v>
      </c>
      <c r="D588" s="301">
        <v>0</v>
      </c>
      <c r="E588" s="1"/>
      <c r="F588" s="301">
        <v>0</v>
      </c>
      <c r="G588" s="1"/>
      <c r="H588" s="301">
        <v>0</v>
      </c>
      <c r="I588" s="1"/>
      <c r="J588" s="301">
        <v>0</v>
      </c>
      <c r="K588" s="4"/>
    </row>
    <row r="589" spans="2:11" hidden="1" outlineLevel="1" x14ac:dyDescent="0.3">
      <c r="B589" s="6"/>
      <c r="C589" s="304" t="s">
        <v>153</v>
      </c>
      <c r="D589" s="301">
        <v>0</v>
      </c>
      <c r="E589" s="1"/>
      <c r="F589" s="301">
        <v>0</v>
      </c>
      <c r="G589" s="1"/>
      <c r="H589" s="301">
        <v>0</v>
      </c>
      <c r="I589" s="1"/>
      <c r="J589" s="301">
        <v>0</v>
      </c>
      <c r="K589" s="4"/>
    </row>
    <row r="590" spans="2:11" hidden="1" outlineLevel="1" x14ac:dyDescent="0.3">
      <c r="B590" s="6"/>
      <c r="C590" s="304" t="s">
        <v>153</v>
      </c>
      <c r="D590" s="301">
        <v>0</v>
      </c>
      <c r="E590" s="1"/>
      <c r="F590" s="301">
        <v>0</v>
      </c>
      <c r="G590" s="1"/>
      <c r="H590" s="301">
        <v>0</v>
      </c>
      <c r="I590" s="1"/>
      <c r="J590" s="301">
        <v>0</v>
      </c>
      <c r="K590" s="4"/>
    </row>
    <row r="591" spans="2:11" hidden="1" outlineLevel="1" x14ac:dyDescent="0.3">
      <c r="B591" s="6"/>
      <c r="C591" s="286" t="s">
        <v>388</v>
      </c>
      <c r="D591" s="301">
        <v>0</v>
      </c>
      <c r="E591" s="1"/>
      <c r="F591" s="301">
        <v>0</v>
      </c>
      <c r="G591" s="1"/>
      <c r="H591" s="301">
        <v>0</v>
      </c>
      <c r="I591" s="1"/>
      <c r="J591" s="301">
        <v>0</v>
      </c>
      <c r="K591" s="4"/>
    </row>
    <row r="592" spans="2:11" hidden="1" outlineLevel="1" x14ac:dyDescent="0.3">
      <c r="B592" s="6"/>
      <c r="C592" s="286" t="s">
        <v>389</v>
      </c>
      <c r="D592" s="302">
        <v>0</v>
      </c>
      <c r="E592" s="1"/>
      <c r="F592" s="302">
        <v>0</v>
      </c>
      <c r="G592" s="1"/>
      <c r="H592" s="302">
        <v>0</v>
      </c>
      <c r="I592" s="1"/>
      <c r="J592" s="302">
        <v>0</v>
      </c>
      <c r="K592" s="4"/>
    </row>
    <row r="593" spans="2:11" hidden="1" outlineLevel="1" x14ac:dyDescent="0.3">
      <c r="B593" s="6"/>
      <c r="C593" s="286"/>
      <c r="D593" s="1"/>
      <c r="E593" s="1"/>
      <c r="F593" s="1"/>
      <c r="G593" s="1"/>
      <c r="H593" s="1"/>
      <c r="I593" s="1"/>
      <c r="J593" s="1"/>
      <c r="K593" s="4"/>
    </row>
    <row r="594" spans="2:11" hidden="1" outlineLevel="1" x14ac:dyDescent="0.3">
      <c r="B594" s="6"/>
      <c r="C594" s="286" t="s">
        <v>162</v>
      </c>
      <c r="D594" s="287">
        <f>D582+SUM(D585:D592)</f>
        <v>0</v>
      </c>
      <c r="E594" s="288"/>
      <c r="F594" s="287">
        <f>F582+SUM(F585:F592)</f>
        <v>0</v>
      </c>
      <c r="G594" s="288"/>
      <c r="H594" s="287">
        <f>H582+SUM(H585:H592)</f>
        <v>0</v>
      </c>
      <c r="I594" s="288"/>
      <c r="J594" s="287">
        <f>J582+SUM(J585:J592)</f>
        <v>0</v>
      </c>
      <c r="K594" s="4"/>
    </row>
    <row r="595" spans="2:11" hidden="1" outlineLevel="1" x14ac:dyDescent="0.3">
      <c r="B595" s="6"/>
      <c r="C595" s="286"/>
      <c r="D595" s="1"/>
      <c r="E595" s="1"/>
      <c r="F595" s="1"/>
      <c r="G595" s="1"/>
      <c r="H595" s="1"/>
      <c r="I595" s="1"/>
      <c r="J595" s="1"/>
      <c r="K595" s="4"/>
    </row>
    <row r="596" spans="2:11" hidden="1" outlineLevel="1" x14ac:dyDescent="0.3">
      <c r="B596" s="6"/>
      <c r="C596" s="240" t="s">
        <v>177</v>
      </c>
      <c r="D596" s="305">
        <v>0</v>
      </c>
      <c r="E596" s="1"/>
      <c r="F596" s="305">
        <v>0</v>
      </c>
      <c r="G596" s="1"/>
      <c r="H596" s="305">
        <v>0</v>
      </c>
      <c r="I596" s="1"/>
      <c r="J596" s="305">
        <v>0</v>
      </c>
      <c r="K596" s="4"/>
    </row>
    <row r="597" spans="2:11" hidden="1" outlineLevel="1" x14ac:dyDescent="0.3">
      <c r="B597" s="6"/>
      <c r="C597" s="240" t="s">
        <v>163</v>
      </c>
      <c r="D597" s="289">
        <f>D596*D550</f>
        <v>0</v>
      </c>
      <c r="E597" s="1"/>
      <c r="F597" s="289">
        <f>F596*F550</f>
        <v>0</v>
      </c>
      <c r="G597" s="1"/>
      <c r="H597" s="289">
        <f>H596*H550</f>
        <v>0</v>
      </c>
      <c r="I597" s="1"/>
      <c r="J597" s="289">
        <f>J596*J550</f>
        <v>0</v>
      </c>
      <c r="K597" s="4"/>
    </row>
    <row r="598" spans="2:11" hidden="1" outlineLevel="1" x14ac:dyDescent="0.3">
      <c r="B598" s="6"/>
      <c r="C598" s="240"/>
      <c r="D598" s="1"/>
      <c r="E598" s="1"/>
      <c r="F598" s="1"/>
      <c r="G598" s="1"/>
      <c r="H598" s="1"/>
      <c r="I598" s="1"/>
      <c r="J598" s="1"/>
      <c r="K598" s="4"/>
    </row>
    <row r="599" spans="2:11" hidden="1" outlineLevel="1" x14ac:dyDescent="0.3">
      <c r="B599" s="6"/>
      <c r="C599" s="274" t="s">
        <v>165</v>
      </c>
      <c r="D599" s="290">
        <f>IFERROR(D594/D597,0)</f>
        <v>0</v>
      </c>
      <c r="E599" s="1"/>
      <c r="F599" s="290">
        <f>IFERROR(F594/F597,0)</f>
        <v>0</v>
      </c>
      <c r="G599" s="1"/>
      <c r="H599" s="290">
        <f>IFERROR(H594/H597,0)</f>
        <v>0</v>
      </c>
      <c r="I599" s="1"/>
      <c r="J599" s="290">
        <f>IFERROR(J594/J597,0)</f>
        <v>0</v>
      </c>
      <c r="K599" s="4"/>
    </row>
    <row r="600" spans="2:11" ht="15" hidden="1" outlineLevel="1" thickBot="1" x14ac:dyDescent="0.35">
      <c r="B600" s="1285"/>
      <c r="C600" s="1286"/>
      <c r="D600" s="1286"/>
      <c r="E600" s="33"/>
      <c r="F600" s="33"/>
      <c r="G600" s="33"/>
      <c r="H600" s="33"/>
      <c r="I600" s="33"/>
      <c r="J600" s="33"/>
      <c r="K600" s="7"/>
    </row>
    <row r="601" spans="2:11" ht="15" collapsed="1" thickBot="1" x14ac:dyDescent="0.35"/>
    <row r="602" spans="2:11" ht="16.2" thickBot="1" x14ac:dyDescent="0.35">
      <c r="B602" s="227" t="s">
        <v>408</v>
      </c>
      <c r="C602" s="228"/>
      <c r="D602" s="228"/>
      <c r="E602" s="228"/>
      <c r="F602" s="228"/>
      <c r="G602" s="228"/>
      <c r="H602" s="228"/>
      <c r="I602" s="228"/>
      <c r="J602" s="228"/>
      <c r="K602" s="229"/>
    </row>
    <row r="603" spans="2:11" ht="16.2" thickBot="1" x14ac:dyDescent="0.35">
      <c r="B603" s="1290" t="s">
        <v>409</v>
      </c>
      <c r="C603" s="1291"/>
      <c r="D603" s="1291"/>
      <c r="E603" s="1291"/>
      <c r="F603" s="1291"/>
      <c r="G603" s="1291"/>
      <c r="H603" s="1291"/>
      <c r="I603" s="1292"/>
      <c r="J603" s="255" t="s">
        <v>129</v>
      </c>
      <c r="K603" s="296" t="s">
        <v>43</v>
      </c>
    </row>
    <row r="604" spans="2:11" hidden="1" outlineLevel="1" x14ac:dyDescent="0.3">
      <c r="B604" s="256"/>
      <c r="C604" s="257"/>
      <c r="D604" s="258"/>
      <c r="E604" s="258"/>
      <c r="F604" s="258"/>
      <c r="G604" s="258"/>
      <c r="H604" s="258"/>
      <c r="I604" s="258"/>
      <c r="J604" s="258"/>
      <c r="K604" s="259"/>
    </row>
    <row r="605" spans="2:11" hidden="1" outlineLevel="1" x14ac:dyDescent="0.3">
      <c r="B605" s="260" t="s">
        <v>132</v>
      </c>
      <c r="C605" s="29"/>
      <c r="D605" s="297">
        <f>'BDO Prequal'!$D$99</f>
        <v>45291</v>
      </c>
      <c r="E605" s="261"/>
      <c r="F605" s="297">
        <f>EOMONTH(D605,F606)</f>
        <v>45657</v>
      </c>
      <c r="G605" s="261"/>
      <c r="H605" s="297">
        <f>EOMONTH(F605,H606)</f>
        <v>46022</v>
      </c>
      <c r="I605" s="261"/>
      <c r="J605" s="297">
        <f>EOMONTH(H605,J606)</f>
        <v>46112</v>
      </c>
      <c r="K605" s="4"/>
    </row>
    <row r="606" spans="2:11" hidden="1" outlineLevel="1" x14ac:dyDescent="0.3">
      <c r="B606" s="260" t="s">
        <v>134</v>
      </c>
      <c r="C606" s="29"/>
      <c r="D606" s="298">
        <v>12</v>
      </c>
      <c r="E606" s="262"/>
      <c r="F606" s="298">
        <v>12</v>
      </c>
      <c r="G606" s="262"/>
      <c r="H606" s="298">
        <v>12</v>
      </c>
      <c r="I606" s="262"/>
      <c r="J606" s="298">
        <v>3</v>
      </c>
      <c r="K606" s="263"/>
    </row>
    <row r="607" spans="2:11" hidden="1" outlineLevel="1" x14ac:dyDescent="0.3">
      <c r="B607" s="260" t="s">
        <v>136</v>
      </c>
      <c r="C607" s="29"/>
      <c r="D607" s="299" t="s">
        <v>137</v>
      </c>
      <c r="E607" s="264"/>
      <c r="F607" s="299" t="s">
        <v>137</v>
      </c>
      <c r="G607" s="264"/>
      <c r="H607" s="299"/>
      <c r="I607" s="264"/>
      <c r="J607" s="299" t="s">
        <v>138</v>
      </c>
      <c r="K607" s="263"/>
    </row>
    <row r="608" spans="2:11" hidden="1" outlineLevel="1" x14ac:dyDescent="0.3">
      <c r="B608" s="260" t="s">
        <v>140</v>
      </c>
      <c r="C608" s="29"/>
      <c r="D608" s="299"/>
      <c r="E608" s="264"/>
      <c r="F608" s="299"/>
      <c r="G608" s="264"/>
      <c r="H608" s="299"/>
      <c r="I608" s="264"/>
      <c r="J608" s="299"/>
      <c r="K608" s="263"/>
    </row>
    <row r="609" spans="2:11" hidden="1" outlineLevel="1" x14ac:dyDescent="0.3">
      <c r="B609" s="265"/>
      <c r="C609" s="1"/>
      <c r="D609" s="294"/>
      <c r="E609" s="295"/>
      <c r="F609" s="294"/>
      <c r="G609" s="295"/>
      <c r="H609" s="294"/>
      <c r="I609" s="295"/>
      <c r="J609" s="269">
        <f>(J610/J606)*12</f>
        <v>0</v>
      </c>
      <c r="K609" s="270"/>
    </row>
    <row r="610" spans="2:11" hidden="1" outlineLevel="1" x14ac:dyDescent="0.3">
      <c r="B610" s="19"/>
      <c r="C610" s="240" t="s">
        <v>141</v>
      </c>
      <c r="D610" s="300">
        <v>0</v>
      </c>
      <c r="E610" s="271">
        <f>IF(D$274=0,0,D610/D$274)</f>
        <v>0</v>
      </c>
      <c r="F610" s="300">
        <v>0</v>
      </c>
      <c r="G610" s="271">
        <f>IF(F$274=0,0,F610/F$274)</f>
        <v>0</v>
      </c>
      <c r="H610" s="300">
        <v>0</v>
      </c>
      <c r="I610" s="271">
        <f>IF(H$274=0,0,H610/H$274)</f>
        <v>0</v>
      </c>
      <c r="J610" s="300">
        <v>0</v>
      </c>
      <c r="K610" s="272">
        <f>IF(J$274=0,0,J610/J$274)</f>
        <v>0</v>
      </c>
    </row>
    <row r="611" spans="2:11" hidden="1" outlineLevel="1" x14ac:dyDescent="0.3">
      <c r="B611" s="6"/>
      <c r="C611" s="240" t="s">
        <v>142</v>
      </c>
      <c r="D611" s="301">
        <v>0</v>
      </c>
      <c r="E611" s="271">
        <f>IF(D$274=0,0,D611/D$274)</f>
        <v>0</v>
      </c>
      <c r="F611" s="301">
        <v>0</v>
      </c>
      <c r="G611" s="271">
        <f>IF(F$274=0,0,F611/F$274)</f>
        <v>0</v>
      </c>
      <c r="H611" s="301">
        <v>0</v>
      </c>
      <c r="I611" s="271">
        <f>IF(H$274=0,0,H611/H$274)</f>
        <v>0</v>
      </c>
      <c r="J611" s="301">
        <v>0</v>
      </c>
      <c r="K611" s="272">
        <f>IF(J$274=0,0,J611/J$274)</f>
        <v>0</v>
      </c>
    </row>
    <row r="612" spans="2:11" hidden="1" outlineLevel="1" x14ac:dyDescent="0.3">
      <c r="B612" s="6"/>
      <c r="C612" s="240" t="s">
        <v>143</v>
      </c>
      <c r="D612" s="273">
        <f>D610-D611</f>
        <v>0</v>
      </c>
      <c r="E612" s="271">
        <f>IF(D$274=0,0,D612/D$274)</f>
        <v>0</v>
      </c>
      <c r="F612" s="273">
        <f>F610-F611</f>
        <v>0</v>
      </c>
      <c r="G612" s="271">
        <f>IF(F$274=0,0,F612/F$274)</f>
        <v>0</v>
      </c>
      <c r="H612" s="273">
        <f>H610-H611</f>
        <v>0</v>
      </c>
      <c r="I612" s="271">
        <f>IF(H$274=0,0,H612/H$274)</f>
        <v>0</v>
      </c>
      <c r="J612" s="273">
        <f>J610-J611</f>
        <v>0</v>
      </c>
      <c r="K612" s="272">
        <f>IF(J$274=0,0,J612/J$274)</f>
        <v>0</v>
      </c>
    </row>
    <row r="613" spans="2:11" hidden="1" outlineLevel="1" x14ac:dyDescent="0.3">
      <c r="B613" s="6"/>
      <c r="C613" s="274"/>
      <c r="D613" s="275"/>
      <c r="E613" s="276"/>
      <c r="F613" s="275"/>
      <c r="G613" s="276"/>
      <c r="H613" s="275"/>
      <c r="I613" s="276"/>
      <c r="J613" s="275"/>
      <c r="K613" s="277"/>
    </row>
    <row r="614" spans="2:11" hidden="1" outlineLevel="1" x14ac:dyDescent="0.3">
      <c r="B614" s="6"/>
      <c r="C614" s="240" t="s">
        <v>144</v>
      </c>
      <c r="D614" s="300">
        <v>0</v>
      </c>
      <c r="E614" s="271">
        <f t="shared" ref="E614:E627" si="40">IF(D$274=0,0,D614/D$274)</f>
        <v>0</v>
      </c>
      <c r="F614" s="300">
        <v>0</v>
      </c>
      <c r="G614" s="271">
        <f t="shared" ref="G614:G627" si="41">IF(F$274=0,0,F614/F$274)</f>
        <v>0</v>
      </c>
      <c r="H614" s="300">
        <v>0</v>
      </c>
      <c r="I614" s="271">
        <f t="shared" ref="I614:I627" si="42">IF(H$274=0,0,H614/H$274)</f>
        <v>0</v>
      </c>
      <c r="J614" s="300">
        <v>0</v>
      </c>
      <c r="K614" s="272">
        <f t="shared" ref="K614:K627" si="43">IF(J$274=0,0,J614/J$274)</f>
        <v>0</v>
      </c>
    </row>
    <row r="615" spans="2:11" hidden="1" outlineLevel="1" x14ac:dyDescent="0.3">
      <c r="B615" s="6"/>
      <c r="C615" s="240" t="s">
        <v>145</v>
      </c>
      <c r="D615" s="301">
        <v>0</v>
      </c>
      <c r="E615" s="271">
        <f t="shared" si="40"/>
        <v>0</v>
      </c>
      <c r="F615" s="301">
        <v>0</v>
      </c>
      <c r="G615" s="271">
        <f t="shared" si="41"/>
        <v>0</v>
      </c>
      <c r="H615" s="301">
        <v>0</v>
      </c>
      <c r="I615" s="271">
        <f t="shared" si="42"/>
        <v>0</v>
      </c>
      <c r="J615" s="301">
        <v>0</v>
      </c>
      <c r="K615" s="272">
        <f t="shared" si="43"/>
        <v>0</v>
      </c>
    </row>
    <row r="616" spans="2:11" hidden="1" outlineLevel="1" x14ac:dyDescent="0.3">
      <c r="B616" s="6"/>
      <c r="C616" s="240" t="s">
        <v>146</v>
      </c>
      <c r="D616" s="301">
        <v>0</v>
      </c>
      <c r="E616" s="271">
        <f t="shared" si="40"/>
        <v>0</v>
      </c>
      <c r="F616" s="301">
        <v>0</v>
      </c>
      <c r="G616" s="271">
        <f t="shared" si="41"/>
        <v>0</v>
      </c>
      <c r="H616" s="301">
        <v>0</v>
      </c>
      <c r="I616" s="271">
        <f t="shared" si="42"/>
        <v>0</v>
      </c>
      <c r="J616" s="301">
        <v>0</v>
      </c>
      <c r="K616" s="272">
        <f t="shared" si="43"/>
        <v>0</v>
      </c>
    </row>
    <row r="617" spans="2:11" hidden="1" outlineLevel="1" x14ac:dyDescent="0.3">
      <c r="B617" s="6"/>
      <c r="C617" s="240" t="s">
        <v>147</v>
      </c>
      <c r="D617" s="301">
        <v>0</v>
      </c>
      <c r="E617" s="271">
        <f t="shared" si="40"/>
        <v>0</v>
      </c>
      <c r="F617" s="301">
        <v>0</v>
      </c>
      <c r="G617" s="271">
        <f t="shared" si="41"/>
        <v>0</v>
      </c>
      <c r="H617" s="301">
        <v>0</v>
      </c>
      <c r="I617" s="271">
        <f t="shared" si="42"/>
        <v>0</v>
      </c>
      <c r="J617" s="301">
        <v>0</v>
      </c>
      <c r="K617" s="272">
        <f t="shared" si="43"/>
        <v>0</v>
      </c>
    </row>
    <row r="618" spans="2:11" hidden="1" outlineLevel="1" x14ac:dyDescent="0.3">
      <c r="B618" s="6"/>
      <c r="C618" s="240" t="s">
        <v>148</v>
      </c>
      <c r="D618" s="301">
        <v>0</v>
      </c>
      <c r="E618" s="271">
        <f t="shared" si="40"/>
        <v>0</v>
      </c>
      <c r="F618" s="301">
        <v>0</v>
      </c>
      <c r="G618" s="271">
        <f t="shared" si="41"/>
        <v>0</v>
      </c>
      <c r="H618" s="301">
        <v>0</v>
      </c>
      <c r="I618" s="271">
        <f t="shared" si="42"/>
        <v>0</v>
      </c>
      <c r="J618" s="301">
        <v>0</v>
      </c>
      <c r="K618" s="272">
        <f t="shared" si="43"/>
        <v>0</v>
      </c>
    </row>
    <row r="619" spans="2:11" hidden="1" outlineLevel="1" x14ac:dyDescent="0.3">
      <c r="B619" s="6"/>
      <c r="C619" s="240" t="s">
        <v>149</v>
      </c>
      <c r="D619" s="301">
        <v>0</v>
      </c>
      <c r="E619" s="271">
        <f t="shared" si="40"/>
        <v>0</v>
      </c>
      <c r="F619" s="301">
        <v>0</v>
      </c>
      <c r="G619" s="271">
        <f t="shared" si="41"/>
        <v>0</v>
      </c>
      <c r="H619" s="301">
        <v>0</v>
      </c>
      <c r="I619" s="271">
        <f t="shared" si="42"/>
        <v>0</v>
      </c>
      <c r="J619" s="301">
        <v>0</v>
      </c>
      <c r="K619" s="272">
        <f t="shared" si="43"/>
        <v>0</v>
      </c>
    </row>
    <row r="620" spans="2:11" hidden="1" outlineLevel="1" x14ac:dyDescent="0.3">
      <c r="B620" s="6"/>
      <c r="C620" s="240" t="s">
        <v>150</v>
      </c>
      <c r="D620" s="301">
        <v>0</v>
      </c>
      <c r="E620" s="271">
        <f t="shared" si="40"/>
        <v>0</v>
      </c>
      <c r="F620" s="301">
        <v>0</v>
      </c>
      <c r="G620" s="271">
        <f t="shared" si="41"/>
        <v>0</v>
      </c>
      <c r="H620" s="301">
        <v>0</v>
      </c>
      <c r="I620" s="271">
        <f t="shared" si="42"/>
        <v>0</v>
      </c>
      <c r="J620" s="301">
        <v>0</v>
      </c>
      <c r="K620" s="272">
        <f t="shared" si="43"/>
        <v>0</v>
      </c>
    </row>
    <row r="621" spans="2:11" hidden="1" outlineLevel="1" x14ac:dyDescent="0.3">
      <c r="B621" s="6"/>
      <c r="C621" s="240" t="s">
        <v>151</v>
      </c>
      <c r="D621" s="301">
        <v>0</v>
      </c>
      <c r="E621" s="271">
        <f t="shared" si="40"/>
        <v>0</v>
      </c>
      <c r="F621" s="301">
        <v>0</v>
      </c>
      <c r="G621" s="271">
        <f t="shared" si="41"/>
        <v>0</v>
      </c>
      <c r="H621" s="301">
        <v>0</v>
      </c>
      <c r="I621" s="271">
        <f t="shared" si="42"/>
        <v>0</v>
      </c>
      <c r="J621" s="301">
        <v>0</v>
      </c>
      <c r="K621" s="272">
        <f t="shared" si="43"/>
        <v>0</v>
      </c>
    </row>
    <row r="622" spans="2:11" hidden="1" outlineLevel="1" x14ac:dyDescent="0.3">
      <c r="B622" s="6"/>
      <c r="C622" s="240" t="s">
        <v>152</v>
      </c>
      <c r="D622" s="301">
        <v>0</v>
      </c>
      <c r="E622" s="271">
        <f t="shared" si="40"/>
        <v>0</v>
      </c>
      <c r="F622" s="301">
        <v>0</v>
      </c>
      <c r="G622" s="271">
        <f t="shared" si="41"/>
        <v>0</v>
      </c>
      <c r="H622" s="301">
        <v>0</v>
      </c>
      <c r="I622" s="271">
        <f t="shared" si="42"/>
        <v>0</v>
      </c>
      <c r="J622" s="301">
        <v>0</v>
      </c>
      <c r="K622" s="272">
        <f t="shared" si="43"/>
        <v>0</v>
      </c>
    </row>
    <row r="623" spans="2:11" hidden="1" outlineLevel="1" x14ac:dyDescent="0.3">
      <c r="B623" s="6"/>
      <c r="C623" s="303" t="s">
        <v>153</v>
      </c>
      <c r="D623" s="301">
        <v>0</v>
      </c>
      <c r="E623" s="271">
        <f t="shared" si="40"/>
        <v>0</v>
      </c>
      <c r="F623" s="301">
        <v>0</v>
      </c>
      <c r="G623" s="271">
        <f t="shared" si="41"/>
        <v>0</v>
      </c>
      <c r="H623" s="301">
        <v>0</v>
      </c>
      <c r="I623" s="271">
        <f t="shared" si="42"/>
        <v>0</v>
      </c>
      <c r="J623" s="301">
        <v>0</v>
      </c>
      <c r="K623" s="272">
        <f t="shared" si="43"/>
        <v>0</v>
      </c>
    </row>
    <row r="624" spans="2:11" hidden="1" outlineLevel="1" x14ac:dyDescent="0.3">
      <c r="B624" s="6"/>
      <c r="C624" s="303" t="s">
        <v>153</v>
      </c>
      <c r="D624" s="301">
        <v>0</v>
      </c>
      <c r="E624" s="271">
        <f t="shared" si="40"/>
        <v>0</v>
      </c>
      <c r="F624" s="301">
        <v>0</v>
      </c>
      <c r="G624" s="271">
        <f t="shared" si="41"/>
        <v>0</v>
      </c>
      <c r="H624" s="301">
        <v>0</v>
      </c>
      <c r="I624" s="271">
        <f t="shared" si="42"/>
        <v>0</v>
      </c>
      <c r="J624" s="301">
        <v>0</v>
      </c>
      <c r="K624" s="272">
        <f t="shared" si="43"/>
        <v>0</v>
      </c>
    </row>
    <row r="625" spans="2:11" hidden="1" outlineLevel="1" x14ac:dyDescent="0.3">
      <c r="B625" s="19"/>
      <c r="C625" s="303" t="s">
        <v>153</v>
      </c>
      <c r="D625" s="301">
        <v>0</v>
      </c>
      <c r="E625" s="271">
        <f t="shared" si="40"/>
        <v>0</v>
      </c>
      <c r="F625" s="301">
        <v>0</v>
      </c>
      <c r="G625" s="271">
        <f t="shared" si="41"/>
        <v>0</v>
      </c>
      <c r="H625" s="301">
        <v>0</v>
      </c>
      <c r="I625" s="271">
        <f t="shared" si="42"/>
        <v>0</v>
      </c>
      <c r="J625" s="301">
        <v>0</v>
      </c>
      <c r="K625" s="272">
        <f t="shared" si="43"/>
        <v>0</v>
      </c>
    </row>
    <row r="626" spans="2:11" hidden="1" outlineLevel="1" x14ac:dyDescent="0.3">
      <c r="B626" s="6"/>
      <c r="C626" s="303" t="s">
        <v>153</v>
      </c>
      <c r="D626" s="302">
        <v>0</v>
      </c>
      <c r="E626" s="271">
        <f t="shared" si="40"/>
        <v>0</v>
      </c>
      <c r="F626" s="302">
        <v>0</v>
      </c>
      <c r="G626" s="271">
        <f t="shared" si="41"/>
        <v>0</v>
      </c>
      <c r="H626" s="302">
        <v>0</v>
      </c>
      <c r="I626" s="271">
        <f t="shared" si="42"/>
        <v>0</v>
      </c>
      <c r="J626" s="302">
        <v>0</v>
      </c>
      <c r="K626" s="272">
        <f t="shared" si="43"/>
        <v>0</v>
      </c>
    </row>
    <row r="627" spans="2:11" hidden="1" outlineLevel="1" x14ac:dyDescent="0.3">
      <c r="B627" s="6"/>
      <c r="C627" s="274" t="s">
        <v>154</v>
      </c>
      <c r="D627" s="273">
        <f>SUM(D614:D626)</f>
        <v>0</v>
      </c>
      <c r="E627" s="271">
        <f t="shared" si="40"/>
        <v>0</v>
      </c>
      <c r="F627" s="273">
        <f>SUM(F614:F626)</f>
        <v>0</v>
      </c>
      <c r="G627" s="271">
        <f t="shared" si="41"/>
        <v>0</v>
      </c>
      <c r="H627" s="273">
        <f>SUM(H614:H626)</f>
        <v>0</v>
      </c>
      <c r="I627" s="271">
        <f t="shared" si="42"/>
        <v>0</v>
      </c>
      <c r="J627" s="273">
        <f>SUM(J614:J626)</f>
        <v>0</v>
      </c>
      <c r="K627" s="272">
        <f t="shared" si="43"/>
        <v>0</v>
      </c>
    </row>
    <row r="628" spans="2:11" hidden="1" outlineLevel="1" x14ac:dyDescent="0.3">
      <c r="B628" s="6"/>
      <c r="C628" s="274"/>
      <c r="D628" s="275"/>
      <c r="E628" s="276"/>
      <c r="F628" s="275"/>
      <c r="G628" s="276"/>
      <c r="H628" s="275"/>
      <c r="I628" s="276"/>
      <c r="J628" s="275"/>
      <c r="K628" s="278"/>
    </row>
    <row r="629" spans="2:11" hidden="1" outlineLevel="1" x14ac:dyDescent="0.3">
      <c r="B629" s="6"/>
      <c r="C629" s="274" t="s">
        <v>155</v>
      </c>
      <c r="D629" s="273">
        <f>D612-D627</f>
        <v>0</v>
      </c>
      <c r="E629" s="271">
        <f>IF(D$274=0,0,D629/D$274)</f>
        <v>0</v>
      </c>
      <c r="F629" s="273">
        <f>F612-F627</f>
        <v>0</v>
      </c>
      <c r="G629" s="271">
        <f>IF(F$274=0,0,F629/F$274)</f>
        <v>0</v>
      </c>
      <c r="H629" s="273">
        <f>H612-H627</f>
        <v>0</v>
      </c>
      <c r="I629" s="271">
        <f>IF(H$274=0,0,H629/H$274)</f>
        <v>0</v>
      </c>
      <c r="J629" s="273">
        <f>J612-J627</f>
        <v>0</v>
      </c>
      <c r="K629" s="272">
        <f>IF(J$274=0,0,J629/J$274)</f>
        <v>0</v>
      </c>
    </row>
    <row r="630" spans="2:11" hidden="1" outlineLevel="1" x14ac:dyDescent="0.3">
      <c r="B630" s="6"/>
      <c r="C630" s="274"/>
      <c r="D630" s="275"/>
      <c r="E630" s="276"/>
      <c r="F630" s="275"/>
      <c r="G630" s="276"/>
      <c r="H630" s="275"/>
      <c r="I630" s="276"/>
      <c r="J630" s="275"/>
      <c r="K630" s="277"/>
    </row>
    <row r="631" spans="2:11" hidden="1" outlineLevel="1" x14ac:dyDescent="0.3">
      <c r="B631" s="6"/>
      <c r="C631" s="240" t="s">
        <v>450</v>
      </c>
      <c r="D631" s="300">
        <v>0</v>
      </c>
      <c r="E631" s="271">
        <f>IF(D$274=0,0,D631/D$274)</f>
        <v>0</v>
      </c>
      <c r="F631" s="300">
        <v>0</v>
      </c>
      <c r="G631" s="271">
        <f>IF(F$274=0,0,F631/F$274)</f>
        <v>0</v>
      </c>
      <c r="H631" s="300">
        <v>0</v>
      </c>
      <c r="I631" s="271">
        <f>IF(H$274=0,0,H631/H$274)</f>
        <v>0</v>
      </c>
      <c r="J631" s="300">
        <v>0</v>
      </c>
      <c r="K631" s="272">
        <f>IF(J$274=0,0,J631/J$274)</f>
        <v>0</v>
      </c>
    </row>
    <row r="632" spans="2:11" hidden="1" outlineLevel="1" x14ac:dyDescent="0.3">
      <c r="B632" s="6"/>
      <c r="C632" s="240" t="s">
        <v>450</v>
      </c>
      <c r="D632" s="301">
        <v>0</v>
      </c>
      <c r="E632" s="271">
        <f>IF(D$274=0,0,D632/D$274)</f>
        <v>0</v>
      </c>
      <c r="F632" s="301">
        <v>0</v>
      </c>
      <c r="G632" s="271">
        <f>IF(F$274=0,0,F632/F$274)</f>
        <v>0</v>
      </c>
      <c r="H632" s="301">
        <v>0</v>
      </c>
      <c r="I632" s="271">
        <f>IF(H$274=0,0,H632/H$274)</f>
        <v>0</v>
      </c>
      <c r="J632" s="301">
        <v>0</v>
      </c>
      <c r="K632" s="272">
        <f>IF(J$274=0,0,J632/J$274)</f>
        <v>0</v>
      </c>
    </row>
    <row r="633" spans="2:11" hidden="1" outlineLevel="1" x14ac:dyDescent="0.3">
      <c r="B633" s="6"/>
      <c r="C633" s="274" t="s">
        <v>157</v>
      </c>
      <c r="D633" s="273">
        <f>SUM(D631:D632)</f>
        <v>0</v>
      </c>
      <c r="E633" s="271">
        <f>IF(D$274=0,0,D633/D$274)</f>
        <v>0</v>
      </c>
      <c r="F633" s="273">
        <f>SUM(F631:F632)</f>
        <v>0</v>
      </c>
      <c r="G633" s="271">
        <f>IF(F$274=0,0,F633/F$274)</f>
        <v>0</v>
      </c>
      <c r="H633" s="273">
        <f>SUM(H631:H632)</f>
        <v>0</v>
      </c>
      <c r="I633" s="271">
        <f>IF(H$274=0,0,H633/H$274)</f>
        <v>0</v>
      </c>
      <c r="J633" s="273">
        <f>SUM(J631:J632)</f>
        <v>0</v>
      </c>
      <c r="K633" s="272">
        <f>IF(J$274=0,0,J633/J$274)</f>
        <v>0</v>
      </c>
    </row>
    <row r="634" spans="2:11" hidden="1" outlineLevel="1" x14ac:dyDescent="0.3">
      <c r="B634" s="6"/>
      <c r="C634" s="274"/>
      <c r="D634" s="275"/>
      <c r="E634" s="276"/>
      <c r="F634" s="275"/>
      <c r="G634" s="276"/>
      <c r="H634" s="275"/>
      <c r="I634" s="276"/>
      <c r="J634" s="275"/>
      <c r="K634" s="278"/>
    </row>
    <row r="635" spans="2:11" hidden="1" outlineLevel="1" x14ac:dyDescent="0.3">
      <c r="B635" s="6"/>
      <c r="C635" s="274" t="s">
        <v>158</v>
      </c>
      <c r="D635" s="273">
        <f>D612-D627+D633</f>
        <v>0</v>
      </c>
      <c r="E635" s="271">
        <f>IF(D$274=0,0,D635/D$274)</f>
        <v>0</v>
      </c>
      <c r="F635" s="273">
        <f>F612-F627+F633</f>
        <v>0</v>
      </c>
      <c r="G635" s="271">
        <f>IF(F$274=0,0,F635/F$274)</f>
        <v>0</v>
      </c>
      <c r="H635" s="273">
        <f>H612-H627+H633</f>
        <v>0</v>
      </c>
      <c r="I635" s="271">
        <f>IF(H$274=0,0,H635/H$274)</f>
        <v>0</v>
      </c>
      <c r="J635" s="273">
        <f>J612-J627+J633</f>
        <v>0</v>
      </c>
      <c r="K635" s="272">
        <f>IF(J$274=0,0,J635/J$274)</f>
        <v>0</v>
      </c>
    </row>
    <row r="636" spans="2:11" hidden="1" outlineLevel="1" x14ac:dyDescent="0.3">
      <c r="B636" s="6"/>
      <c r="C636" s="274" t="s">
        <v>159</v>
      </c>
      <c r="D636" s="273">
        <v>0</v>
      </c>
      <c r="E636" s="271">
        <f>IF(D$274=0,0,D636/D$274)</f>
        <v>0</v>
      </c>
      <c r="F636" s="273">
        <v>0</v>
      </c>
      <c r="G636" s="271">
        <f>IF(F$274=0,0,F636/F$274)</f>
        <v>0</v>
      </c>
      <c r="H636" s="273">
        <v>0</v>
      </c>
      <c r="I636" s="271">
        <f>IF(H$274=0,0,H636/H$274)</f>
        <v>0</v>
      </c>
      <c r="J636" s="273">
        <v>0</v>
      </c>
      <c r="K636" s="272">
        <f>IF(J$274=0,0,J636/J$274)</f>
        <v>0</v>
      </c>
    </row>
    <row r="637" spans="2:11" hidden="1" outlineLevel="1" x14ac:dyDescent="0.3">
      <c r="B637" s="6"/>
      <c r="C637" s="279"/>
      <c r="D637" s="275"/>
      <c r="E637" s="276"/>
      <c r="F637" s="275"/>
      <c r="G637" s="276"/>
      <c r="H637" s="275"/>
      <c r="I637" s="276"/>
      <c r="J637" s="275"/>
      <c r="K637" s="280"/>
    </row>
    <row r="638" spans="2:11" hidden="1" outlineLevel="1" x14ac:dyDescent="0.3">
      <c r="B638" s="6"/>
      <c r="C638" s="274" t="s">
        <v>160</v>
      </c>
      <c r="D638" s="273">
        <f>D635-D636</f>
        <v>0</v>
      </c>
      <c r="E638" s="271">
        <f>IF(D$274=0,0,D638/D$274)</f>
        <v>0</v>
      </c>
      <c r="F638" s="273">
        <f>F635-F636</f>
        <v>0</v>
      </c>
      <c r="G638" s="271">
        <f>IF(F$274=0,0,F638/F$274)</f>
        <v>0</v>
      </c>
      <c r="H638" s="273">
        <f>H635-H636</f>
        <v>0</v>
      </c>
      <c r="I638" s="271">
        <f>IF(H$274=0,0,H638/H$274)</f>
        <v>0</v>
      </c>
      <c r="J638" s="273">
        <f>J635-J636</f>
        <v>0</v>
      </c>
      <c r="K638" s="272">
        <f>IF(J$274=0,0,J638/J$274)</f>
        <v>0</v>
      </c>
    </row>
    <row r="639" spans="2:11" hidden="1" outlineLevel="1" x14ac:dyDescent="0.3">
      <c r="B639" s="6"/>
      <c r="C639" s="240"/>
      <c r="D639" s="281"/>
      <c r="E639" s="282"/>
      <c r="F639" s="281"/>
      <c r="G639" s="282"/>
      <c r="H639" s="281"/>
      <c r="I639" s="282"/>
      <c r="J639" s="281"/>
      <c r="K639" s="283"/>
    </row>
    <row r="640" spans="2:11" hidden="1" outlineLevel="1" x14ac:dyDescent="0.3">
      <c r="B640" s="6"/>
      <c r="C640" s="284" t="s">
        <v>396</v>
      </c>
      <c r="D640" s="1"/>
      <c r="E640" s="1"/>
      <c r="F640" s="1"/>
      <c r="G640" s="1"/>
      <c r="H640" s="1"/>
      <c r="I640" s="1"/>
      <c r="J640" s="1"/>
      <c r="K640" s="4"/>
    </row>
    <row r="641" spans="2:11" hidden="1" outlineLevel="1" x14ac:dyDescent="0.3">
      <c r="B641" s="6"/>
      <c r="C641" s="285" t="s">
        <v>385</v>
      </c>
      <c r="D641" s="300">
        <f>D614</f>
        <v>0</v>
      </c>
      <c r="E641" s="1"/>
      <c r="F641" s="300">
        <f>F614</f>
        <v>0</v>
      </c>
      <c r="G641" s="1"/>
      <c r="H641" s="300">
        <f>H614</f>
        <v>0</v>
      </c>
      <c r="I641" s="1"/>
      <c r="J641" s="300">
        <f>J614</f>
        <v>0</v>
      </c>
      <c r="K641" s="4"/>
    </row>
    <row r="642" spans="2:11" hidden="1" outlineLevel="1" x14ac:dyDescent="0.3">
      <c r="B642" s="6"/>
      <c r="C642" s="286" t="s">
        <v>386</v>
      </c>
      <c r="D642" s="301">
        <f>D621</f>
        <v>0</v>
      </c>
      <c r="E642" s="1"/>
      <c r="F642" s="301">
        <f>F621</f>
        <v>0</v>
      </c>
      <c r="G642" s="1"/>
      <c r="H642" s="301">
        <f>H621</f>
        <v>0</v>
      </c>
      <c r="I642" s="1"/>
      <c r="J642" s="301">
        <f>J621</f>
        <v>0</v>
      </c>
      <c r="K642" s="4"/>
    </row>
    <row r="643" spans="2:11" hidden="1" outlineLevel="1" x14ac:dyDescent="0.3">
      <c r="B643" s="6"/>
      <c r="C643" s="286" t="s">
        <v>387</v>
      </c>
      <c r="D643" s="301">
        <f>D620</f>
        <v>0</v>
      </c>
      <c r="E643" s="1"/>
      <c r="F643" s="301">
        <f>F620</f>
        <v>0</v>
      </c>
      <c r="G643" s="1"/>
      <c r="H643" s="301">
        <f>H620</f>
        <v>0</v>
      </c>
      <c r="I643" s="1"/>
      <c r="J643" s="301">
        <f>J620</f>
        <v>0</v>
      </c>
      <c r="K643" s="4"/>
    </row>
    <row r="644" spans="2:11" hidden="1" outlineLevel="1" x14ac:dyDescent="0.3">
      <c r="B644" s="6"/>
      <c r="C644" s="286" t="s">
        <v>397</v>
      </c>
      <c r="D644" s="301">
        <v>0</v>
      </c>
      <c r="E644" s="1"/>
      <c r="F644" s="301">
        <v>0</v>
      </c>
      <c r="G644" s="1"/>
      <c r="H644" s="301">
        <v>0</v>
      </c>
      <c r="I644" s="1"/>
      <c r="J644" s="301">
        <v>0</v>
      </c>
      <c r="K644" s="4"/>
    </row>
    <row r="645" spans="2:11" hidden="1" outlineLevel="1" x14ac:dyDescent="0.3">
      <c r="B645" s="6"/>
      <c r="C645" s="304" t="s">
        <v>153</v>
      </c>
      <c r="D645" s="301">
        <v>0</v>
      </c>
      <c r="E645" s="1"/>
      <c r="F645" s="301">
        <v>0</v>
      </c>
      <c r="G645" s="1"/>
      <c r="H645" s="301">
        <v>0</v>
      </c>
      <c r="I645" s="1"/>
      <c r="J645" s="301">
        <v>0</v>
      </c>
      <c r="K645" s="4"/>
    </row>
    <row r="646" spans="2:11" hidden="1" outlineLevel="1" x14ac:dyDescent="0.3">
      <c r="B646" s="6"/>
      <c r="C646" s="304" t="s">
        <v>153</v>
      </c>
      <c r="D646" s="301">
        <v>0</v>
      </c>
      <c r="E646" s="1"/>
      <c r="F646" s="301">
        <v>0</v>
      </c>
      <c r="G646" s="1"/>
      <c r="H646" s="301">
        <v>0</v>
      </c>
      <c r="I646" s="1"/>
      <c r="J646" s="301">
        <v>0</v>
      </c>
      <c r="K646" s="4"/>
    </row>
    <row r="647" spans="2:11" hidden="1" outlineLevel="1" x14ac:dyDescent="0.3">
      <c r="B647" s="6"/>
      <c r="C647" s="286" t="s">
        <v>388</v>
      </c>
      <c r="D647" s="301">
        <v>0</v>
      </c>
      <c r="E647" s="1"/>
      <c r="F647" s="301">
        <v>0</v>
      </c>
      <c r="G647" s="1"/>
      <c r="H647" s="301">
        <v>0</v>
      </c>
      <c r="I647" s="1"/>
      <c r="J647" s="301">
        <v>0</v>
      </c>
      <c r="K647" s="4"/>
    </row>
    <row r="648" spans="2:11" hidden="1" outlineLevel="1" x14ac:dyDescent="0.3">
      <c r="B648" s="6"/>
      <c r="C648" s="286" t="s">
        <v>389</v>
      </c>
      <c r="D648" s="302">
        <v>0</v>
      </c>
      <c r="E648" s="1"/>
      <c r="F648" s="302">
        <v>0</v>
      </c>
      <c r="G648" s="1"/>
      <c r="H648" s="302">
        <v>0</v>
      </c>
      <c r="I648" s="1"/>
      <c r="J648" s="302">
        <v>0</v>
      </c>
      <c r="K648" s="4"/>
    </row>
    <row r="649" spans="2:11" hidden="1" outlineLevel="1" x14ac:dyDescent="0.3">
      <c r="B649" s="6"/>
      <c r="C649" s="286"/>
      <c r="D649" s="1"/>
      <c r="E649" s="1"/>
      <c r="F649" s="1"/>
      <c r="G649" s="1"/>
      <c r="H649" s="1"/>
      <c r="I649" s="1"/>
      <c r="J649" s="1"/>
      <c r="K649" s="4"/>
    </row>
    <row r="650" spans="2:11" hidden="1" outlineLevel="1" x14ac:dyDescent="0.3">
      <c r="B650" s="6"/>
      <c r="C650" s="286" t="s">
        <v>162</v>
      </c>
      <c r="D650" s="287">
        <f>D638+SUM(D641:D648)</f>
        <v>0</v>
      </c>
      <c r="E650" s="288"/>
      <c r="F650" s="287">
        <f>F638+SUM(F641:F648)</f>
        <v>0</v>
      </c>
      <c r="G650" s="288"/>
      <c r="H650" s="287">
        <f>H638+SUM(H641:H648)</f>
        <v>0</v>
      </c>
      <c r="I650" s="288"/>
      <c r="J650" s="287">
        <f>J638+SUM(J641:J648)</f>
        <v>0</v>
      </c>
      <c r="K650" s="4"/>
    </row>
    <row r="651" spans="2:11" hidden="1" outlineLevel="1" x14ac:dyDescent="0.3">
      <c r="B651" s="6"/>
      <c r="C651" s="286"/>
      <c r="D651" s="1"/>
      <c r="E651" s="1"/>
      <c r="F651" s="1"/>
      <c r="G651" s="1"/>
      <c r="H651" s="1"/>
      <c r="I651" s="1"/>
      <c r="J651" s="1"/>
      <c r="K651" s="4"/>
    </row>
    <row r="652" spans="2:11" hidden="1" outlineLevel="1" x14ac:dyDescent="0.3">
      <c r="B652" s="6"/>
      <c r="C652" s="240" t="s">
        <v>177</v>
      </c>
      <c r="D652" s="305">
        <v>0</v>
      </c>
      <c r="E652" s="1"/>
      <c r="F652" s="305">
        <v>0</v>
      </c>
      <c r="G652" s="1"/>
      <c r="H652" s="305">
        <v>0</v>
      </c>
      <c r="I652" s="1"/>
      <c r="J652" s="305">
        <v>0</v>
      </c>
      <c r="K652" s="4"/>
    </row>
    <row r="653" spans="2:11" hidden="1" outlineLevel="1" x14ac:dyDescent="0.3">
      <c r="B653" s="6"/>
      <c r="C653" s="240" t="s">
        <v>163</v>
      </c>
      <c r="D653" s="289">
        <f>D652*D606</f>
        <v>0</v>
      </c>
      <c r="E653" s="1"/>
      <c r="F653" s="289">
        <f>F652*F606</f>
        <v>0</v>
      </c>
      <c r="G653" s="1"/>
      <c r="H653" s="289">
        <f>H652*H606</f>
        <v>0</v>
      </c>
      <c r="I653" s="1"/>
      <c r="J653" s="289">
        <f>J652*J606</f>
        <v>0</v>
      </c>
      <c r="K653" s="4"/>
    </row>
    <row r="654" spans="2:11" hidden="1" outlineLevel="1" x14ac:dyDescent="0.3">
      <c r="B654" s="6"/>
      <c r="C654" s="240"/>
      <c r="D654" s="1"/>
      <c r="E654" s="1"/>
      <c r="F654" s="1"/>
      <c r="G654" s="1"/>
      <c r="H654" s="1"/>
      <c r="I654" s="1"/>
      <c r="J654" s="1"/>
      <c r="K654" s="4"/>
    </row>
    <row r="655" spans="2:11" hidden="1" outlineLevel="1" x14ac:dyDescent="0.3">
      <c r="B655" s="6"/>
      <c r="C655" s="274" t="s">
        <v>165</v>
      </c>
      <c r="D655" s="290">
        <f>IFERROR(D650/D653,0)</f>
        <v>0</v>
      </c>
      <c r="E655" s="1"/>
      <c r="F655" s="290">
        <f>IFERROR(F650/F653,0)</f>
        <v>0</v>
      </c>
      <c r="G655" s="1"/>
      <c r="H655" s="290">
        <f>IFERROR(H650/H653,0)</f>
        <v>0</v>
      </c>
      <c r="I655" s="1"/>
      <c r="J655" s="290">
        <f>IFERROR(J650/J653,0)</f>
        <v>0</v>
      </c>
      <c r="K655" s="4"/>
    </row>
    <row r="656" spans="2:11" ht="15" hidden="1" outlineLevel="1" thickBot="1" x14ac:dyDescent="0.35">
      <c r="B656" s="1285"/>
      <c r="C656" s="1286"/>
      <c r="D656" s="1286"/>
      <c r="E656" s="33"/>
      <c r="F656" s="33"/>
      <c r="G656" s="33"/>
      <c r="H656" s="33"/>
      <c r="I656" s="33"/>
      <c r="J656" s="33"/>
      <c r="K656" s="7"/>
    </row>
    <row r="657" spans="2:11" ht="15" collapsed="1" thickBot="1" x14ac:dyDescent="0.35"/>
    <row r="658" spans="2:11" ht="16.2" thickBot="1" x14ac:dyDescent="0.35">
      <c r="B658" s="227" t="s">
        <v>410</v>
      </c>
      <c r="C658" s="228"/>
      <c r="D658" s="228"/>
      <c r="E658" s="228"/>
      <c r="F658" s="228"/>
      <c r="G658" s="228"/>
      <c r="H658" s="228"/>
      <c r="I658" s="228"/>
      <c r="J658" s="228"/>
      <c r="K658" s="229"/>
    </row>
    <row r="659" spans="2:11" ht="16.2" thickBot="1" x14ac:dyDescent="0.35">
      <c r="B659" s="1290" t="s">
        <v>411</v>
      </c>
      <c r="C659" s="1291"/>
      <c r="D659" s="1291"/>
      <c r="E659" s="1291"/>
      <c r="F659" s="1291"/>
      <c r="G659" s="1291"/>
      <c r="H659" s="1291"/>
      <c r="I659" s="1292"/>
      <c r="J659" s="255" t="s">
        <v>129</v>
      </c>
      <c r="K659" s="296" t="s">
        <v>43</v>
      </c>
    </row>
    <row r="660" spans="2:11" hidden="1" outlineLevel="1" x14ac:dyDescent="0.3">
      <c r="B660" s="256"/>
      <c r="C660" s="257"/>
      <c r="D660" s="258"/>
      <c r="E660" s="258"/>
      <c r="F660" s="258"/>
      <c r="G660" s="258"/>
      <c r="H660" s="258"/>
      <c r="I660" s="258"/>
      <c r="J660" s="258"/>
      <c r="K660" s="259"/>
    </row>
    <row r="661" spans="2:11" hidden="1" outlineLevel="1" x14ac:dyDescent="0.3">
      <c r="B661" s="260" t="s">
        <v>132</v>
      </c>
      <c r="C661" s="29"/>
      <c r="D661" s="297">
        <f>'BDO Prequal'!$D$99</f>
        <v>45291</v>
      </c>
      <c r="E661" s="261"/>
      <c r="F661" s="297">
        <f>EOMONTH(D661,F662)</f>
        <v>45657</v>
      </c>
      <c r="G661" s="261"/>
      <c r="H661" s="297">
        <f>EOMONTH(F661,H662)</f>
        <v>46022</v>
      </c>
      <c r="I661" s="261"/>
      <c r="J661" s="297">
        <f>EOMONTH(H661,J662)</f>
        <v>46112</v>
      </c>
      <c r="K661" s="4"/>
    </row>
    <row r="662" spans="2:11" hidden="1" outlineLevel="1" x14ac:dyDescent="0.3">
      <c r="B662" s="260" t="s">
        <v>134</v>
      </c>
      <c r="C662" s="29"/>
      <c r="D662" s="298">
        <v>12</v>
      </c>
      <c r="E662" s="262"/>
      <c r="F662" s="298">
        <v>12</v>
      </c>
      <c r="G662" s="262"/>
      <c r="H662" s="298">
        <v>12</v>
      </c>
      <c r="I662" s="262"/>
      <c r="J662" s="298">
        <v>3</v>
      </c>
      <c r="K662" s="263"/>
    </row>
    <row r="663" spans="2:11" hidden="1" outlineLevel="1" x14ac:dyDescent="0.3">
      <c r="B663" s="260" t="s">
        <v>136</v>
      </c>
      <c r="C663" s="29"/>
      <c r="D663" s="299" t="s">
        <v>137</v>
      </c>
      <c r="E663" s="264"/>
      <c r="F663" s="299" t="s">
        <v>137</v>
      </c>
      <c r="G663" s="264"/>
      <c r="H663" s="299"/>
      <c r="I663" s="264"/>
      <c r="J663" s="299" t="s">
        <v>138</v>
      </c>
      <c r="K663" s="263"/>
    </row>
    <row r="664" spans="2:11" hidden="1" outlineLevel="1" x14ac:dyDescent="0.3">
      <c r="B664" s="260" t="s">
        <v>140</v>
      </c>
      <c r="C664" s="29"/>
      <c r="D664" s="299"/>
      <c r="E664" s="264"/>
      <c r="F664" s="299"/>
      <c r="G664" s="264"/>
      <c r="H664" s="299"/>
      <c r="I664" s="264"/>
      <c r="J664" s="299"/>
      <c r="K664" s="263"/>
    </row>
    <row r="665" spans="2:11" hidden="1" outlineLevel="1" x14ac:dyDescent="0.3">
      <c r="B665" s="265"/>
      <c r="C665" s="1"/>
      <c r="D665" s="294"/>
      <c r="E665" s="295"/>
      <c r="F665" s="294"/>
      <c r="G665" s="295"/>
      <c r="H665" s="294"/>
      <c r="I665" s="295"/>
      <c r="J665" s="269">
        <f>(J666/J662)*12</f>
        <v>0</v>
      </c>
      <c r="K665" s="270"/>
    </row>
    <row r="666" spans="2:11" hidden="1" outlineLevel="1" x14ac:dyDescent="0.3">
      <c r="B666" s="19"/>
      <c r="C666" s="240" t="s">
        <v>141</v>
      </c>
      <c r="D666" s="300">
        <v>0</v>
      </c>
      <c r="E666" s="271">
        <f>IF(D$274=0,0,D666/D$274)</f>
        <v>0</v>
      </c>
      <c r="F666" s="300">
        <v>0</v>
      </c>
      <c r="G666" s="271">
        <f>IF(F$274=0,0,F666/F$274)</f>
        <v>0</v>
      </c>
      <c r="H666" s="300">
        <v>0</v>
      </c>
      <c r="I666" s="271">
        <f>IF(H$274=0,0,H666/H$274)</f>
        <v>0</v>
      </c>
      <c r="J666" s="300">
        <v>0</v>
      </c>
      <c r="K666" s="272">
        <f>IF(J$274=0,0,J666/J$274)</f>
        <v>0</v>
      </c>
    </row>
    <row r="667" spans="2:11" hidden="1" outlineLevel="1" x14ac:dyDescent="0.3">
      <c r="B667" s="6"/>
      <c r="C667" s="240" t="s">
        <v>142</v>
      </c>
      <c r="D667" s="301">
        <v>0</v>
      </c>
      <c r="E667" s="271">
        <f>IF(D$274=0,0,D667/D$274)</f>
        <v>0</v>
      </c>
      <c r="F667" s="301">
        <v>0</v>
      </c>
      <c r="G667" s="271">
        <f>IF(F$274=0,0,F667/F$274)</f>
        <v>0</v>
      </c>
      <c r="H667" s="301">
        <v>0</v>
      </c>
      <c r="I667" s="271">
        <f>IF(H$274=0,0,H667/H$274)</f>
        <v>0</v>
      </c>
      <c r="J667" s="301">
        <v>0</v>
      </c>
      <c r="K667" s="272">
        <f>IF(J$274=0,0,J667/J$274)</f>
        <v>0</v>
      </c>
    </row>
    <row r="668" spans="2:11" hidden="1" outlineLevel="1" x14ac:dyDescent="0.3">
      <c r="B668" s="6"/>
      <c r="C668" s="240" t="s">
        <v>143</v>
      </c>
      <c r="D668" s="273">
        <f>D666-D667</f>
        <v>0</v>
      </c>
      <c r="E668" s="271">
        <f>IF(D$274=0,0,D668/D$274)</f>
        <v>0</v>
      </c>
      <c r="F668" s="273">
        <f>F666-F667</f>
        <v>0</v>
      </c>
      <c r="G668" s="271">
        <f>IF(F$274=0,0,F668/F$274)</f>
        <v>0</v>
      </c>
      <c r="H668" s="273">
        <f>H666-H667</f>
        <v>0</v>
      </c>
      <c r="I668" s="271">
        <f>IF(H$274=0,0,H668/H$274)</f>
        <v>0</v>
      </c>
      <c r="J668" s="273">
        <f>J666-J667</f>
        <v>0</v>
      </c>
      <c r="K668" s="272">
        <f>IF(J$274=0,0,J668/J$274)</f>
        <v>0</v>
      </c>
    </row>
    <row r="669" spans="2:11" hidden="1" outlineLevel="1" x14ac:dyDescent="0.3">
      <c r="B669" s="6"/>
      <c r="C669" s="274"/>
      <c r="D669" s="275"/>
      <c r="E669" s="276"/>
      <c r="F669" s="275"/>
      <c r="G669" s="276"/>
      <c r="H669" s="275"/>
      <c r="I669" s="276"/>
      <c r="J669" s="275"/>
      <c r="K669" s="277"/>
    </row>
    <row r="670" spans="2:11" hidden="1" outlineLevel="1" x14ac:dyDescent="0.3">
      <c r="B670" s="6"/>
      <c r="C670" s="240" t="s">
        <v>144</v>
      </c>
      <c r="D670" s="300">
        <v>0</v>
      </c>
      <c r="E670" s="271">
        <f t="shared" ref="E670:E683" si="44">IF(D$274=0,0,D670/D$274)</f>
        <v>0</v>
      </c>
      <c r="F670" s="300">
        <v>0</v>
      </c>
      <c r="G670" s="271">
        <f t="shared" ref="G670:G683" si="45">IF(F$274=0,0,F670/F$274)</f>
        <v>0</v>
      </c>
      <c r="H670" s="300">
        <v>0</v>
      </c>
      <c r="I670" s="271">
        <f t="shared" ref="I670:I683" si="46">IF(H$274=0,0,H670/H$274)</f>
        <v>0</v>
      </c>
      <c r="J670" s="300">
        <v>0</v>
      </c>
      <c r="K670" s="272">
        <f t="shared" ref="K670:K683" si="47">IF(J$274=0,0,J670/J$274)</f>
        <v>0</v>
      </c>
    </row>
    <row r="671" spans="2:11" hidden="1" outlineLevel="1" x14ac:dyDescent="0.3">
      <c r="B671" s="6"/>
      <c r="C671" s="240" t="s">
        <v>145</v>
      </c>
      <c r="D671" s="301">
        <v>0</v>
      </c>
      <c r="E671" s="271">
        <f t="shared" si="44"/>
        <v>0</v>
      </c>
      <c r="F671" s="301">
        <v>0</v>
      </c>
      <c r="G671" s="271">
        <f t="shared" si="45"/>
        <v>0</v>
      </c>
      <c r="H671" s="301">
        <v>0</v>
      </c>
      <c r="I671" s="271">
        <f t="shared" si="46"/>
        <v>0</v>
      </c>
      <c r="J671" s="301">
        <v>0</v>
      </c>
      <c r="K671" s="272">
        <f t="shared" si="47"/>
        <v>0</v>
      </c>
    </row>
    <row r="672" spans="2:11" hidden="1" outlineLevel="1" x14ac:dyDescent="0.3">
      <c r="B672" s="6"/>
      <c r="C672" s="240" t="s">
        <v>146</v>
      </c>
      <c r="D672" s="301">
        <v>0</v>
      </c>
      <c r="E672" s="271">
        <f t="shared" si="44"/>
        <v>0</v>
      </c>
      <c r="F672" s="301">
        <v>0</v>
      </c>
      <c r="G672" s="271">
        <f t="shared" si="45"/>
        <v>0</v>
      </c>
      <c r="H672" s="301">
        <v>0</v>
      </c>
      <c r="I672" s="271">
        <f t="shared" si="46"/>
        <v>0</v>
      </c>
      <c r="J672" s="301">
        <v>0</v>
      </c>
      <c r="K672" s="272">
        <f t="shared" si="47"/>
        <v>0</v>
      </c>
    </row>
    <row r="673" spans="2:11" hidden="1" outlineLevel="1" x14ac:dyDescent="0.3">
      <c r="B673" s="6"/>
      <c r="C673" s="240" t="s">
        <v>147</v>
      </c>
      <c r="D673" s="301">
        <v>0</v>
      </c>
      <c r="E673" s="271">
        <f t="shared" si="44"/>
        <v>0</v>
      </c>
      <c r="F673" s="301">
        <v>0</v>
      </c>
      <c r="G673" s="271">
        <f t="shared" si="45"/>
        <v>0</v>
      </c>
      <c r="H673" s="301">
        <v>0</v>
      </c>
      <c r="I673" s="271">
        <f t="shared" si="46"/>
        <v>0</v>
      </c>
      <c r="J673" s="301">
        <v>0</v>
      </c>
      <c r="K673" s="272">
        <f t="shared" si="47"/>
        <v>0</v>
      </c>
    </row>
    <row r="674" spans="2:11" hidden="1" outlineLevel="1" x14ac:dyDescent="0.3">
      <c r="B674" s="6"/>
      <c r="C674" s="240" t="s">
        <v>148</v>
      </c>
      <c r="D674" s="301">
        <v>0</v>
      </c>
      <c r="E674" s="271">
        <f t="shared" si="44"/>
        <v>0</v>
      </c>
      <c r="F674" s="301">
        <v>0</v>
      </c>
      <c r="G674" s="271">
        <f t="shared" si="45"/>
        <v>0</v>
      </c>
      <c r="H674" s="301">
        <v>0</v>
      </c>
      <c r="I674" s="271">
        <f t="shared" si="46"/>
        <v>0</v>
      </c>
      <c r="J674" s="301">
        <v>0</v>
      </c>
      <c r="K674" s="272">
        <f t="shared" si="47"/>
        <v>0</v>
      </c>
    </row>
    <row r="675" spans="2:11" hidden="1" outlineLevel="1" x14ac:dyDescent="0.3">
      <c r="B675" s="6"/>
      <c r="C675" s="240" t="s">
        <v>149</v>
      </c>
      <c r="D675" s="301">
        <v>0</v>
      </c>
      <c r="E675" s="271">
        <f t="shared" si="44"/>
        <v>0</v>
      </c>
      <c r="F675" s="301">
        <v>0</v>
      </c>
      <c r="G675" s="271">
        <f t="shared" si="45"/>
        <v>0</v>
      </c>
      <c r="H675" s="301">
        <v>0</v>
      </c>
      <c r="I675" s="271">
        <f t="shared" si="46"/>
        <v>0</v>
      </c>
      <c r="J675" s="301">
        <v>0</v>
      </c>
      <c r="K675" s="272">
        <f t="shared" si="47"/>
        <v>0</v>
      </c>
    </row>
    <row r="676" spans="2:11" hidden="1" outlineLevel="1" x14ac:dyDescent="0.3">
      <c r="B676" s="6"/>
      <c r="C676" s="240" t="s">
        <v>150</v>
      </c>
      <c r="D676" s="301">
        <v>0</v>
      </c>
      <c r="E676" s="271">
        <f t="shared" si="44"/>
        <v>0</v>
      </c>
      <c r="F676" s="301">
        <v>0</v>
      </c>
      <c r="G676" s="271">
        <f t="shared" si="45"/>
        <v>0</v>
      </c>
      <c r="H676" s="301">
        <v>0</v>
      </c>
      <c r="I676" s="271">
        <f t="shared" si="46"/>
        <v>0</v>
      </c>
      <c r="J676" s="301">
        <v>0</v>
      </c>
      <c r="K676" s="272">
        <f t="shared" si="47"/>
        <v>0</v>
      </c>
    </row>
    <row r="677" spans="2:11" hidden="1" outlineLevel="1" x14ac:dyDescent="0.3">
      <c r="B677" s="6"/>
      <c r="C677" s="240" t="s">
        <v>151</v>
      </c>
      <c r="D677" s="301">
        <v>0</v>
      </c>
      <c r="E677" s="271">
        <f t="shared" si="44"/>
        <v>0</v>
      </c>
      <c r="F677" s="301">
        <v>0</v>
      </c>
      <c r="G677" s="271">
        <f t="shared" si="45"/>
        <v>0</v>
      </c>
      <c r="H677" s="301">
        <v>0</v>
      </c>
      <c r="I677" s="271">
        <f t="shared" si="46"/>
        <v>0</v>
      </c>
      <c r="J677" s="301">
        <v>0</v>
      </c>
      <c r="K677" s="272">
        <f t="shared" si="47"/>
        <v>0</v>
      </c>
    </row>
    <row r="678" spans="2:11" hidden="1" outlineLevel="1" x14ac:dyDescent="0.3">
      <c r="B678" s="6"/>
      <c r="C678" s="240" t="s">
        <v>152</v>
      </c>
      <c r="D678" s="301">
        <v>0</v>
      </c>
      <c r="E678" s="271">
        <f t="shared" si="44"/>
        <v>0</v>
      </c>
      <c r="F678" s="301">
        <v>0</v>
      </c>
      <c r="G678" s="271">
        <f t="shared" si="45"/>
        <v>0</v>
      </c>
      <c r="H678" s="301">
        <v>0</v>
      </c>
      <c r="I678" s="271">
        <f t="shared" si="46"/>
        <v>0</v>
      </c>
      <c r="J678" s="301">
        <v>0</v>
      </c>
      <c r="K678" s="272">
        <f t="shared" si="47"/>
        <v>0</v>
      </c>
    </row>
    <row r="679" spans="2:11" hidden="1" outlineLevel="1" x14ac:dyDescent="0.3">
      <c r="B679" s="6"/>
      <c r="C679" s="303" t="s">
        <v>153</v>
      </c>
      <c r="D679" s="301">
        <v>0</v>
      </c>
      <c r="E679" s="271">
        <f t="shared" si="44"/>
        <v>0</v>
      </c>
      <c r="F679" s="301">
        <v>0</v>
      </c>
      <c r="G679" s="271">
        <f t="shared" si="45"/>
        <v>0</v>
      </c>
      <c r="H679" s="301">
        <v>0</v>
      </c>
      <c r="I679" s="271">
        <f t="shared" si="46"/>
        <v>0</v>
      </c>
      <c r="J679" s="301">
        <v>0</v>
      </c>
      <c r="K679" s="272">
        <f t="shared" si="47"/>
        <v>0</v>
      </c>
    </row>
    <row r="680" spans="2:11" hidden="1" outlineLevel="1" x14ac:dyDescent="0.3">
      <c r="B680" s="6"/>
      <c r="C680" s="303" t="s">
        <v>153</v>
      </c>
      <c r="D680" s="301">
        <v>0</v>
      </c>
      <c r="E680" s="271">
        <f t="shared" si="44"/>
        <v>0</v>
      </c>
      <c r="F680" s="301">
        <v>0</v>
      </c>
      <c r="G680" s="271">
        <f t="shared" si="45"/>
        <v>0</v>
      </c>
      <c r="H680" s="301">
        <v>0</v>
      </c>
      <c r="I680" s="271">
        <f t="shared" si="46"/>
        <v>0</v>
      </c>
      <c r="J680" s="301">
        <v>0</v>
      </c>
      <c r="K680" s="272">
        <f t="shared" si="47"/>
        <v>0</v>
      </c>
    </row>
    <row r="681" spans="2:11" hidden="1" outlineLevel="1" x14ac:dyDescent="0.3">
      <c r="B681" s="19"/>
      <c r="C681" s="303" t="s">
        <v>153</v>
      </c>
      <c r="D681" s="301">
        <v>0</v>
      </c>
      <c r="E681" s="271">
        <f t="shared" si="44"/>
        <v>0</v>
      </c>
      <c r="F681" s="301">
        <v>0</v>
      </c>
      <c r="G681" s="271">
        <f t="shared" si="45"/>
        <v>0</v>
      </c>
      <c r="H681" s="301">
        <v>0</v>
      </c>
      <c r="I681" s="271">
        <f t="shared" si="46"/>
        <v>0</v>
      </c>
      <c r="J681" s="301">
        <v>0</v>
      </c>
      <c r="K681" s="272">
        <f t="shared" si="47"/>
        <v>0</v>
      </c>
    </row>
    <row r="682" spans="2:11" hidden="1" outlineLevel="1" x14ac:dyDescent="0.3">
      <c r="B682" s="6"/>
      <c r="C682" s="303" t="s">
        <v>153</v>
      </c>
      <c r="D682" s="302">
        <v>0</v>
      </c>
      <c r="E682" s="271">
        <f t="shared" si="44"/>
        <v>0</v>
      </c>
      <c r="F682" s="302">
        <v>0</v>
      </c>
      <c r="G682" s="271">
        <f t="shared" si="45"/>
        <v>0</v>
      </c>
      <c r="H682" s="302">
        <v>0</v>
      </c>
      <c r="I682" s="271">
        <f t="shared" si="46"/>
        <v>0</v>
      </c>
      <c r="J682" s="302">
        <v>0</v>
      </c>
      <c r="K682" s="272">
        <f t="shared" si="47"/>
        <v>0</v>
      </c>
    </row>
    <row r="683" spans="2:11" hidden="1" outlineLevel="1" x14ac:dyDescent="0.3">
      <c r="B683" s="6"/>
      <c r="C683" s="274" t="s">
        <v>154</v>
      </c>
      <c r="D683" s="273">
        <f>SUM(D670:D682)</f>
        <v>0</v>
      </c>
      <c r="E683" s="271">
        <f t="shared" si="44"/>
        <v>0</v>
      </c>
      <c r="F683" s="273">
        <f>SUM(F670:F682)</f>
        <v>0</v>
      </c>
      <c r="G683" s="271">
        <f t="shared" si="45"/>
        <v>0</v>
      </c>
      <c r="H683" s="273">
        <f>SUM(H670:H682)</f>
        <v>0</v>
      </c>
      <c r="I683" s="271">
        <f t="shared" si="46"/>
        <v>0</v>
      </c>
      <c r="J683" s="273">
        <f>SUM(J670:J682)</f>
        <v>0</v>
      </c>
      <c r="K683" s="272">
        <f t="shared" si="47"/>
        <v>0</v>
      </c>
    </row>
    <row r="684" spans="2:11" hidden="1" outlineLevel="1" x14ac:dyDescent="0.3">
      <c r="B684" s="6"/>
      <c r="C684" s="274"/>
      <c r="D684" s="275"/>
      <c r="E684" s="276"/>
      <c r="F684" s="275"/>
      <c r="G684" s="276"/>
      <c r="H684" s="275"/>
      <c r="I684" s="276"/>
      <c r="J684" s="275"/>
      <c r="K684" s="278"/>
    </row>
    <row r="685" spans="2:11" hidden="1" outlineLevel="1" x14ac:dyDescent="0.3">
      <c r="B685" s="6"/>
      <c r="C685" s="274" t="s">
        <v>155</v>
      </c>
      <c r="D685" s="273">
        <f>D668-D683</f>
        <v>0</v>
      </c>
      <c r="E685" s="271">
        <f>IF(D$274=0,0,D685/D$274)</f>
        <v>0</v>
      </c>
      <c r="F685" s="273">
        <f>F668-F683</f>
        <v>0</v>
      </c>
      <c r="G685" s="271">
        <f>IF(F$274=0,0,F685/F$274)</f>
        <v>0</v>
      </c>
      <c r="H685" s="273">
        <f>H668-H683</f>
        <v>0</v>
      </c>
      <c r="I685" s="271">
        <f>IF(H$274=0,0,H685/H$274)</f>
        <v>0</v>
      </c>
      <c r="J685" s="273">
        <f>J668-J683</f>
        <v>0</v>
      </c>
      <c r="K685" s="272">
        <f>IF(J$274=0,0,J685/J$274)</f>
        <v>0</v>
      </c>
    </row>
    <row r="686" spans="2:11" hidden="1" outlineLevel="1" x14ac:dyDescent="0.3">
      <c r="B686" s="6"/>
      <c r="C686" s="274"/>
      <c r="D686" s="275"/>
      <c r="E686" s="276"/>
      <c r="F686" s="275"/>
      <c r="G686" s="276"/>
      <c r="H686" s="275"/>
      <c r="I686" s="276"/>
      <c r="J686" s="275"/>
      <c r="K686" s="277"/>
    </row>
    <row r="687" spans="2:11" hidden="1" outlineLevel="1" x14ac:dyDescent="0.3">
      <c r="B687" s="6"/>
      <c r="C687" s="240" t="s">
        <v>450</v>
      </c>
      <c r="D687" s="300">
        <v>0</v>
      </c>
      <c r="E687" s="271">
        <f>IF(D$274=0,0,D687/D$274)</f>
        <v>0</v>
      </c>
      <c r="F687" s="300">
        <v>0</v>
      </c>
      <c r="G687" s="271">
        <f>IF(F$274=0,0,F687/F$274)</f>
        <v>0</v>
      </c>
      <c r="H687" s="300">
        <v>0</v>
      </c>
      <c r="I687" s="271">
        <f>IF(H$274=0,0,H687/H$274)</f>
        <v>0</v>
      </c>
      <c r="J687" s="300">
        <v>0</v>
      </c>
      <c r="K687" s="272">
        <f>IF(J$274=0,0,J687/J$274)</f>
        <v>0</v>
      </c>
    </row>
    <row r="688" spans="2:11" hidden="1" outlineLevel="1" x14ac:dyDescent="0.3">
      <c r="B688" s="6"/>
      <c r="C688" s="240" t="s">
        <v>450</v>
      </c>
      <c r="D688" s="301">
        <v>0</v>
      </c>
      <c r="E688" s="271">
        <f>IF(D$274=0,0,D688/D$274)</f>
        <v>0</v>
      </c>
      <c r="F688" s="301">
        <v>0</v>
      </c>
      <c r="G688" s="271">
        <f>IF(F$274=0,0,F688/F$274)</f>
        <v>0</v>
      </c>
      <c r="H688" s="301">
        <v>0</v>
      </c>
      <c r="I688" s="271">
        <f>IF(H$274=0,0,H688/H$274)</f>
        <v>0</v>
      </c>
      <c r="J688" s="301">
        <v>0</v>
      </c>
      <c r="K688" s="272">
        <f>IF(J$274=0,0,J688/J$274)</f>
        <v>0</v>
      </c>
    </row>
    <row r="689" spans="2:11" hidden="1" outlineLevel="1" x14ac:dyDescent="0.3">
      <c r="B689" s="6"/>
      <c r="C689" s="274" t="s">
        <v>157</v>
      </c>
      <c r="D689" s="273">
        <f>SUM(D687:D688)</f>
        <v>0</v>
      </c>
      <c r="E689" s="271">
        <f>IF(D$274=0,0,D689/D$274)</f>
        <v>0</v>
      </c>
      <c r="F689" s="273">
        <f>SUM(F687:F688)</f>
        <v>0</v>
      </c>
      <c r="G689" s="271">
        <f>IF(F$274=0,0,F689/F$274)</f>
        <v>0</v>
      </c>
      <c r="H689" s="273">
        <f>SUM(H687:H688)</f>
        <v>0</v>
      </c>
      <c r="I689" s="271">
        <f>IF(H$274=0,0,H689/H$274)</f>
        <v>0</v>
      </c>
      <c r="J689" s="273">
        <f>SUM(J687:J688)</f>
        <v>0</v>
      </c>
      <c r="K689" s="272">
        <f>IF(J$274=0,0,J689/J$274)</f>
        <v>0</v>
      </c>
    </row>
    <row r="690" spans="2:11" hidden="1" outlineLevel="1" x14ac:dyDescent="0.3">
      <c r="B690" s="6"/>
      <c r="C690" s="274"/>
      <c r="D690" s="275"/>
      <c r="E690" s="276"/>
      <c r="F690" s="275"/>
      <c r="G690" s="276"/>
      <c r="H690" s="275"/>
      <c r="I690" s="276"/>
      <c r="J690" s="275"/>
      <c r="K690" s="278"/>
    </row>
    <row r="691" spans="2:11" hidden="1" outlineLevel="1" x14ac:dyDescent="0.3">
      <c r="B691" s="6"/>
      <c r="C691" s="274" t="s">
        <v>158</v>
      </c>
      <c r="D691" s="273">
        <f>D668-D683+D689</f>
        <v>0</v>
      </c>
      <c r="E691" s="271">
        <f>IF(D$274=0,0,D691/D$274)</f>
        <v>0</v>
      </c>
      <c r="F691" s="273">
        <f>F668-F683+F689</f>
        <v>0</v>
      </c>
      <c r="G691" s="271">
        <f>IF(F$274=0,0,F691/F$274)</f>
        <v>0</v>
      </c>
      <c r="H691" s="273">
        <f>H668-H683+H689</f>
        <v>0</v>
      </c>
      <c r="I691" s="271">
        <f>IF(H$274=0,0,H691/H$274)</f>
        <v>0</v>
      </c>
      <c r="J691" s="273">
        <f>J668-J683+J689</f>
        <v>0</v>
      </c>
      <c r="K691" s="272">
        <f>IF(J$274=0,0,J691/J$274)</f>
        <v>0</v>
      </c>
    </row>
    <row r="692" spans="2:11" hidden="1" outlineLevel="1" x14ac:dyDescent="0.3">
      <c r="B692" s="6"/>
      <c r="C692" s="274" t="s">
        <v>159</v>
      </c>
      <c r="D692" s="273">
        <v>0</v>
      </c>
      <c r="E692" s="271">
        <f>IF(D$274=0,0,D692/D$274)</f>
        <v>0</v>
      </c>
      <c r="F692" s="273">
        <v>0</v>
      </c>
      <c r="G692" s="271">
        <f>IF(F$274=0,0,F692/F$274)</f>
        <v>0</v>
      </c>
      <c r="H692" s="273">
        <v>0</v>
      </c>
      <c r="I692" s="271">
        <f>IF(H$274=0,0,H692/H$274)</f>
        <v>0</v>
      </c>
      <c r="J692" s="273">
        <v>0</v>
      </c>
      <c r="K692" s="272">
        <f>IF(J$274=0,0,J692/J$274)</f>
        <v>0</v>
      </c>
    </row>
    <row r="693" spans="2:11" hidden="1" outlineLevel="1" x14ac:dyDescent="0.3">
      <c r="B693" s="6"/>
      <c r="C693" s="279"/>
      <c r="D693" s="275"/>
      <c r="E693" s="276"/>
      <c r="F693" s="275"/>
      <c r="G693" s="276"/>
      <c r="H693" s="275"/>
      <c r="I693" s="276"/>
      <c r="J693" s="275"/>
      <c r="K693" s="280"/>
    </row>
    <row r="694" spans="2:11" hidden="1" outlineLevel="1" x14ac:dyDescent="0.3">
      <c r="B694" s="6"/>
      <c r="C694" s="274" t="s">
        <v>160</v>
      </c>
      <c r="D694" s="273">
        <f>D691-D692</f>
        <v>0</v>
      </c>
      <c r="E694" s="271">
        <f>IF(D$274=0,0,D694/D$274)</f>
        <v>0</v>
      </c>
      <c r="F694" s="273">
        <f>F691-F692</f>
        <v>0</v>
      </c>
      <c r="G694" s="271">
        <f>IF(F$274=0,0,F694/F$274)</f>
        <v>0</v>
      </c>
      <c r="H694" s="273">
        <f>H691-H692</f>
        <v>0</v>
      </c>
      <c r="I694" s="271">
        <f>IF(H$274=0,0,H694/H$274)</f>
        <v>0</v>
      </c>
      <c r="J694" s="273">
        <f>J691-J692</f>
        <v>0</v>
      </c>
      <c r="K694" s="272">
        <f>IF(J$274=0,0,J694/J$274)</f>
        <v>0</v>
      </c>
    </row>
    <row r="695" spans="2:11" hidden="1" outlineLevel="1" x14ac:dyDescent="0.3">
      <c r="B695" s="6"/>
      <c r="C695" s="240"/>
      <c r="D695" s="281"/>
      <c r="E695" s="282"/>
      <c r="F695" s="281"/>
      <c r="G695" s="282"/>
      <c r="H695" s="281"/>
      <c r="I695" s="282"/>
      <c r="J695" s="281"/>
      <c r="K695" s="283"/>
    </row>
    <row r="696" spans="2:11" hidden="1" outlineLevel="1" x14ac:dyDescent="0.3">
      <c r="B696" s="6"/>
      <c r="C696" s="284" t="s">
        <v>396</v>
      </c>
      <c r="D696" s="1"/>
      <c r="E696" s="1"/>
      <c r="F696" s="1"/>
      <c r="G696" s="1"/>
      <c r="H696" s="1"/>
      <c r="I696" s="1"/>
      <c r="J696" s="1"/>
      <c r="K696" s="4"/>
    </row>
    <row r="697" spans="2:11" hidden="1" outlineLevel="1" x14ac:dyDescent="0.3">
      <c r="B697" s="6"/>
      <c r="C697" s="285" t="s">
        <v>385</v>
      </c>
      <c r="D697" s="300">
        <f>D670</f>
        <v>0</v>
      </c>
      <c r="E697" s="1"/>
      <c r="F697" s="300">
        <f>F670</f>
        <v>0</v>
      </c>
      <c r="G697" s="1"/>
      <c r="H697" s="300">
        <f>H670</f>
        <v>0</v>
      </c>
      <c r="I697" s="1"/>
      <c r="J697" s="300">
        <f>J670</f>
        <v>0</v>
      </c>
      <c r="K697" s="4"/>
    </row>
    <row r="698" spans="2:11" hidden="1" outlineLevel="1" x14ac:dyDescent="0.3">
      <c r="B698" s="6"/>
      <c r="C698" s="286" t="s">
        <v>386</v>
      </c>
      <c r="D698" s="301">
        <f>D678</f>
        <v>0</v>
      </c>
      <c r="E698" s="1"/>
      <c r="F698" s="301">
        <f>F678</f>
        <v>0</v>
      </c>
      <c r="G698" s="1"/>
      <c r="H698" s="301">
        <f>H678</f>
        <v>0</v>
      </c>
      <c r="I698" s="1"/>
      <c r="J698" s="301">
        <f>J678</f>
        <v>0</v>
      </c>
      <c r="K698" s="4"/>
    </row>
    <row r="699" spans="2:11" hidden="1" outlineLevel="1" x14ac:dyDescent="0.3">
      <c r="B699" s="6"/>
      <c r="C699" s="286" t="s">
        <v>387</v>
      </c>
      <c r="D699" s="301">
        <f>D676</f>
        <v>0</v>
      </c>
      <c r="E699" s="1"/>
      <c r="F699" s="301">
        <f>F676</f>
        <v>0</v>
      </c>
      <c r="G699" s="1"/>
      <c r="H699" s="301">
        <f>H676</f>
        <v>0</v>
      </c>
      <c r="I699" s="1"/>
      <c r="J699" s="301">
        <f>J676</f>
        <v>0</v>
      </c>
      <c r="K699" s="4"/>
    </row>
    <row r="700" spans="2:11" hidden="1" outlineLevel="1" x14ac:dyDescent="0.3">
      <c r="B700" s="6"/>
      <c r="C700" s="286" t="s">
        <v>397</v>
      </c>
      <c r="D700" s="301">
        <v>0</v>
      </c>
      <c r="E700" s="1"/>
      <c r="F700" s="301">
        <v>0</v>
      </c>
      <c r="G700" s="1"/>
      <c r="H700" s="301">
        <v>0</v>
      </c>
      <c r="I700" s="1"/>
      <c r="J700" s="301">
        <v>0</v>
      </c>
      <c r="K700" s="4"/>
    </row>
    <row r="701" spans="2:11" hidden="1" outlineLevel="1" x14ac:dyDescent="0.3">
      <c r="B701" s="6"/>
      <c r="C701" s="304" t="s">
        <v>153</v>
      </c>
      <c r="D701" s="301">
        <v>0</v>
      </c>
      <c r="E701" s="1"/>
      <c r="F701" s="301">
        <v>0</v>
      </c>
      <c r="G701" s="1"/>
      <c r="H701" s="301">
        <v>0</v>
      </c>
      <c r="I701" s="1"/>
      <c r="J701" s="301">
        <v>0</v>
      </c>
      <c r="K701" s="4"/>
    </row>
    <row r="702" spans="2:11" hidden="1" outlineLevel="1" x14ac:dyDescent="0.3">
      <c r="B702" s="6"/>
      <c r="C702" s="304" t="s">
        <v>153</v>
      </c>
      <c r="D702" s="301">
        <v>0</v>
      </c>
      <c r="E702" s="1"/>
      <c r="F702" s="301">
        <v>0</v>
      </c>
      <c r="G702" s="1"/>
      <c r="H702" s="301">
        <v>0</v>
      </c>
      <c r="I702" s="1"/>
      <c r="J702" s="301">
        <v>0</v>
      </c>
      <c r="K702" s="4"/>
    </row>
    <row r="703" spans="2:11" hidden="1" outlineLevel="1" x14ac:dyDescent="0.3">
      <c r="B703" s="6"/>
      <c r="C703" s="286" t="s">
        <v>388</v>
      </c>
      <c r="D703" s="301">
        <v>0</v>
      </c>
      <c r="E703" s="1"/>
      <c r="F703" s="301">
        <v>0</v>
      </c>
      <c r="G703" s="1"/>
      <c r="H703" s="301">
        <v>0</v>
      </c>
      <c r="I703" s="1"/>
      <c r="J703" s="301">
        <v>0</v>
      </c>
      <c r="K703" s="4"/>
    </row>
    <row r="704" spans="2:11" hidden="1" outlineLevel="1" x14ac:dyDescent="0.3">
      <c r="B704" s="6"/>
      <c r="C704" s="286" t="s">
        <v>389</v>
      </c>
      <c r="D704" s="302">
        <v>0</v>
      </c>
      <c r="E704" s="1"/>
      <c r="F704" s="302">
        <v>0</v>
      </c>
      <c r="G704" s="1"/>
      <c r="H704" s="302">
        <v>0</v>
      </c>
      <c r="I704" s="1"/>
      <c r="J704" s="302">
        <v>0</v>
      </c>
      <c r="K704" s="4"/>
    </row>
    <row r="705" spans="2:11" hidden="1" outlineLevel="1" x14ac:dyDescent="0.3">
      <c r="B705" s="6"/>
      <c r="C705" s="286"/>
      <c r="D705" s="1"/>
      <c r="E705" s="1"/>
      <c r="F705" s="1"/>
      <c r="G705" s="1"/>
      <c r="H705" s="1"/>
      <c r="I705" s="1"/>
      <c r="J705" s="1"/>
      <c r="K705" s="4"/>
    </row>
    <row r="706" spans="2:11" hidden="1" outlineLevel="1" x14ac:dyDescent="0.3">
      <c r="B706" s="6"/>
      <c r="C706" s="286" t="s">
        <v>162</v>
      </c>
      <c r="D706" s="287">
        <f>D694+SUM(D697:D704)</f>
        <v>0</v>
      </c>
      <c r="E706" s="288"/>
      <c r="F706" s="287">
        <f>F694+SUM(F697:F704)</f>
        <v>0</v>
      </c>
      <c r="G706" s="288"/>
      <c r="H706" s="287">
        <f>H694+SUM(H697:H704)</f>
        <v>0</v>
      </c>
      <c r="I706" s="288"/>
      <c r="J706" s="287">
        <f>J694+SUM(J697:J704)</f>
        <v>0</v>
      </c>
      <c r="K706" s="4"/>
    </row>
    <row r="707" spans="2:11" hidden="1" outlineLevel="1" x14ac:dyDescent="0.3">
      <c r="B707" s="6"/>
      <c r="C707" s="286"/>
      <c r="D707" s="1"/>
      <c r="E707" s="1"/>
      <c r="F707" s="1"/>
      <c r="G707" s="1"/>
      <c r="H707" s="1"/>
      <c r="I707" s="1"/>
      <c r="J707" s="1"/>
      <c r="K707" s="4"/>
    </row>
    <row r="708" spans="2:11" hidden="1" outlineLevel="1" x14ac:dyDescent="0.3">
      <c r="B708" s="6"/>
      <c r="C708" s="240" t="s">
        <v>177</v>
      </c>
      <c r="D708" s="305">
        <v>0</v>
      </c>
      <c r="E708" s="1"/>
      <c r="F708" s="305">
        <v>0</v>
      </c>
      <c r="G708" s="1"/>
      <c r="H708" s="305">
        <v>0</v>
      </c>
      <c r="I708" s="1"/>
      <c r="J708" s="305">
        <v>0</v>
      </c>
      <c r="K708" s="4"/>
    </row>
    <row r="709" spans="2:11" hidden="1" outlineLevel="1" x14ac:dyDescent="0.3">
      <c r="B709" s="6"/>
      <c r="C709" s="240" t="s">
        <v>163</v>
      </c>
      <c r="D709" s="289">
        <f>D708*D662</f>
        <v>0</v>
      </c>
      <c r="E709" s="1"/>
      <c r="F709" s="289">
        <f>F708*F662</f>
        <v>0</v>
      </c>
      <c r="G709" s="1"/>
      <c r="H709" s="289">
        <f>H708*H662</f>
        <v>0</v>
      </c>
      <c r="I709" s="1"/>
      <c r="J709" s="289">
        <f>J708*J662</f>
        <v>0</v>
      </c>
      <c r="K709" s="4"/>
    </row>
    <row r="710" spans="2:11" hidden="1" outlineLevel="1" x14ac:dyDescent="0.3">
      <c r="B710" s="6"/>
      <c r="C710" s="240"/>
      <c r="D710" s="1"/>
      <c r="E710" s="1"/>
      <c r="F710" s="1"/>
      <c r="G710" s="1"/>
      <c r="H710" s="1"/>
      <c r="I710" s="1"/>
      <c r="J710" s="1"/>
      <c r="K710" s="4"/>
    </row>
    <row r="711" spans="2:11" hidden="1" outlineLevel="1" x14ac:dyDescent="0.3">
      <c r="B711" s="6"/>
      <c r="C711" s="274" t="s">
        <v>165</v>
      </c>
      <c r="D711" s="290">
        <f>IFERROR(D706/D709,0)</f>
        <v>0</v>
      </c>
      <c r="E711" s="1"/>
      <c r="F711" s="290">
        <f>IFERROR(F706/F709,0)</f>
        <v>0</v>
      </c>
      <c r="G711" s="1"/>
      <c r="H711" s="290">
        <f>IFERROR(H706/H709,0)</f>
        <v>0</v>
      </c>
      <c r="I711" s="1"/>
      <c r="J711" s="290">
        <f>IFERROR(J706/J709,0)</f>
        <v>0</v>
      </c>
      <c r="K711" s="4"/>
    </row>
    <row r="712" spans="2:11" ht="15" hidden="1" outlineLevel="1" thickBot="1" x14ac:dyDescent="0.35">
      <c r="B712" s="1285"/>
      <c r="C712" s="1286"/>
      <c r="D712" s="1286"/>
      <c r="E712" s="33"/>
      <c r="F712" s="33"/>
      <c r="G712" s="33"/>
      <c r="H712" s="33"/>
      <c r="I712" s="33"/>
      <c r="J712" s="33"/>
      <c r="K712" s="7"/>
    </row>
    <row r="713" spans="2:11" collapsed="1" x14ac:dyDescent="0.3"/>
  </sheetData>
  <sheetProtection sheet="1" objects="1" scenarios="1" formatRows="0" selectLockedCells="1"/>
  <mergeCells count="24">
    <mergeCell ref="B43:I43"/>
    <mergeCell ref="B656:D656"/>
    <mergeCell ref="B712:D712"/>
    <mergeCell ref="B155:I155"/>
    <mergeCell ref="B211:I211"/>
    <mergeCell ref="B267:I267"/>
    <mergeCell ref="B323:I323"/>
    <mergeCell ref="B379:I379"/>
    <mergeCell ref="B435:I435"/>
    <mergeCell ref="B491:I491"/>
    <mergeCell ref="B547:I547"/>
    <mergeCell ref="B603:I603"/>
    <mergeCell ref="B659:I659"/>
    <mergeCell ref="B376:D376"/>
    <mergeCell ref="B432:D432"/>
    <mergeCell ref="B488:D488"/>
    <mergeCell ref="B152:D152"/>
    <mergeCell ref="B96:D96"/>
    <mergeCell ref="B99:I99"/>
    <mergeCell ref="B544:D544"/>
    <mergeCell ref="B600:D600"/>
    <mergeCell ref="B264:D264"/>
    <mergeCell ref="B320:D320"/>
    <mergeCell ref="B208:D208"/>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errorTitle="The value you entered is not valid." error="The value entered violates data validation rules set in cell" xr:uid="{00000000-0002-0000-0000-000006000000}">
          <x14:formula1>
            <xm:f>Lists!$T$2:$T$6</xm:f>
          </x14:formula1>
          <xm:sqref>D48 J664 H664 F664 D664 J608 H608 F608 D608 J552 H552 F552 D552 J496 H496 F496 D496 J440 H440 F440 D440 J384 H384 F384 D384 J328 H328 F328 D328 J272 H272 F272 D272 J216 H216 F216 D216 J160 H160 F160 D160 J104 H104 F104 D104 J48 H48 F48</xm:sqref>
        </x14:dataValidation>
        <x14:dataValidation type="list" allowBlank="1" showErrorMessage="1" errorTitle="The value you entered is not valid." error="The value entered violates data validation rules set in cell" xr:uid="{00000000-0002-0000-0000-000005000000}">
          <x14:formula1>
            <xm:f>Lists!$P$2:$P$11</xm:f>
          </x14:formula1>
          <xm:sqref>J271 D663 F663 H663 J663 D607 F607 H607 J607 D551 F551 H551 J551 D495 F495 H495 J495 D439 F439 H439 J439 D383 F383 H383 J383 D327 F327 H327 J327 D47 F47 H47 J47 D103 F103 H103 J103 D159 F159 H159 J159 D215 F215 H215 J215 D271 F271 H271</xm:sqref>
        </x14:dataValidation>
        <x14:dataValidation type="list" allowBlank="1" showErrorMessage="1" errorTitle="The value you entered is not valid." error="The value entered violates data validation rules set in cell" xr:uid="{00000000-0002-0000-0000-000007000000}">
          <x14:formula1>
            <xm:f>Lists!$H$2:$H$4</xm:f>
          </x14:formula1>
          <xm:sqref>K267 K211 K155 K99 K43 K323 K379 K435 K491 K547 K603 K659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ZT23"/>
  <sheetViews>
    <sheetView showGridLines="0" zoomScale="85" zoomScaleNormal="85" workbookViewId="0">
      <pane ySplit="4" topLeftCell="A5" activePane="bottomLeft" state="frozen"/>
      <selection pane="bottomLeft" activeCell="C4" sqref="C4"/>
    </sheetView>
  </sheetViews>
  <sheetFormatPr defaultColWidth="8.77734375" defaultRowHeight="16.95" customHeight="1" x14ac:dyDescent="0.3"/>
  <cols>
    <col min="1" max="1" width="2.6640625" style="538"/>
    <col min="2" max="8" width="27.21875" style="538" customWidth="1"/>
    <col min="9" max="23" width="9.109375" style="538" customWidth="1"/>
    <col min="24" max="2048" width="9.109375" style="538"/>
  </cols>
  <sheetData>
    <row r="1" spans="2:19" ht="16.95" customHeight="1" thickBot="1" x14ac:dyDescent="0.35"/>
    <row r="2" spans="2:19" ht="26.4" thickBot="1" x14ac:dyDescent="0.55000000000000004">
      <c r="B2" s="1293" t="s">
        <v>199</v>
      </c>
      <c r="C2" s="1294"/>
      <c r="D2" s="1294"/>
      <c r="E2" s="1294"/>
      <c r="F2" s="1294"/>
      <c r="G2" s="1294"/>
      <c r="H2" s="1295"/>
    </row>
    <row r="3" spans="2:19" ht="18.600000000000001" thickBot="1" x14ac:dyDescent="0.35">
      <c r="B3" s="1159" t="s">
        <v>200</v>
      </c>
      <c r="C3" s="1160" t="s">
        <v>201</v>
      </c>
      <c r="D3" s="1160" t="s">
        <v>202</v>
      </c>
      <c r="E3" s="1161" t="s">
        <v>203</v>
      </c>
      <c r="F3" s="1160" t="s">
        <v>204</v>
      </c>
      <c r="G3" s="1160" t="s">
        <v>205</v>
      </c>
      <c r="H3" s="1161" t="s">
        <v>206</v>
      </c>
    </row>
    <row r="4" spans="2:19" ht="31.8" thickBot="1" x14ac:dyDescent="0.35">
      <c r="B4" s="1162">
        <f>SUM(C4:H4)</f>
        <v>0</v>
      </c>
      <c r="C4" s="1163"/>
      <c r="D4" s="1164"/>
      <c r="E4" s="1164"/>
      <c r="F4" s="1164"/>
      <c r="G4" s="1164"/>
      <c r="H4" s="1164"/>
    </row>
    <row r="5" spans="2:19" ht="90.6" customHeight="1" x14ac:dyDescent="0.3">
      <c r="B5" s="1165">
        <v>5</v>
      </c>
      <c r="C5" s="1168" t="s">
        <v>207</v>
      </c>
      <c r="D5" s="1169" t="s">
        <v>208</v>
      </c>
      <c r="E5" s="1169" t="s">
        <v>209</v>
      </c>
      <c r="F5" s="1169" t="s">
        <v>210</v>
      </c>
      <c r="G5" s="1169" t="s">
        <v>211</v>
      </c>
      <c r="H5" s="1170" t="s">
        <v>209</v>
      </c>
      <c r="R5" s="539"/>
      <c r="S5" s="539"/>
    </row>
    <row r="6" spans="2:19" ht="118.2" customHeight="1" x14ac:dyDescent="0.3">
      <c r="B6" s="1166">
        <v>4</v>
      </c>
      <c r="C6" s="1171" t="s">
        <v>212</v>
      </c>
      <c r="D6" s="1172" t="s">
        <v>213</v>
      </c>
      <c r="E6" s="1172" t="s">
        <v>214</v>
      </c>
      <c r="F6" s="1172" t="s">
        <v>215</v>
      </c>
      <c r="G6" s="1172" t="s">
        <v>216</v>
      </c>
      <c r="H6" s="1173" t="s">
        <v>209</v>
      </c>
      <c r="R6" s="540"/>
      <c r="S6" s="540"/>
    </row>
    <row r="7" spans="2:19" ht="137.4" customHeight="1" x14ac:dyDescent="0.3">
      <c r="B7" s="1166">
        <v>3</v>
      </c>
      <c r="C7" s="1171" t="s">
        <v>217</v>
      </c>
      <c r="D7" s="1172" t="s">
        <v>218</v>
      </c>
      <c r="E7" s="1172" t="s">
        <v>219</v>
      </c>
      <c r="F7" s="1172" t="s">
        <v>220</v>
      </c>
      <c r="G7" s="1172" t="s">
        <v>221</v>
      </c>
      <c r="H7" s="1173" t="s">
        <v>222</v>
      </c>
    </row>
    <row r="8" spans="2:19" ht="149.4" customHeight="1" x14ac:dyDescent="0.3">
      <c r="B8" s="1166">
        <v>2</v>
      </c>
      <c r="C8" s="1171" t="s">
        <v>223</v>
      </c>
      <c r="D8" s="1172" t="s">
        <v>224</v>
      </c>
      <c r="E8" s="1172" t="s">
        <v>225</v>
      </c>
      <c r="F8" s="1172" t="s">
        <v>226</v>
      </c>
      <c r="G8" s="1172" t="s">
        <v>227</v>
      </c>
      <c r="H8" s="1173" t="s">
        <v>228</v>
      </c>
    </row>
    <row r="9" spans="2:19" ht="113.4" customHeight="1" x14ac:dyDescent="0.3">
      <c r="B9" s="1166">
        <v>1</v>
      </c>
      <c r="C9" s="1171" t="s">
        <v>229</v>
      </c>
      <c r="D9" s="1172" t="s">
        <v>230</v>
      </c>
      <c r="E9" s="1172" t="s">
        <v>231</v>
      </c>
      <c r="F9" s="1172" t="s">
        <v>232</v>
      </c>
      <c r="G9" s="1172" t="s">
        <v>233</v>
      </c>
      <c r="H9" s="1173" t="s">
        <v>234</v>
      </c>
    </row>
    <row r="10" spans="2:19" ht="99" customHeight="1" thickBot="1" x14ac:dyDescent="0.35">
      <c r="B10" s="1167">
        <v>0</v>
      </c>
      <c r="C10" s="1174" t="s">
        <v>209</v>
      </c>
      <c r="D10" s="1175" t="s">
        <v>235</v>
      </c>
      <c r="E10" s="1175" t="s">
        <v>236</v>
      </c>
      <c r="F10" s="1175" t="s">
        <v>237</v>
      </c>
      <c r="G10" s="1175" t="s">
        <v>238</v>
      </c>
      <c r="H10" s="1176" t="s">
        <v>239</v>
      </c>
    </row>
    <row r="13" spans="2:19" ht="16.95" customHeight="1" x14ac:dyDescent="0.3">
      <c r="B13" s="1184"/>
      <c r="C13" s="1182" t="s">
        <v>240</v>
      </c>
      <c r="D13" s="1183" t="s">
        <v>241</v>
      </c>
      <c r="E13" s="1183" t="s">
        <v>242</v>
      </c>
      <c r="F13" s="1183" t="s">
        <v>243</v>
      </c>
      <c r="G13" s="1183" t="s">
        <v>244</v>
      </c>
      <c r="H13" s="1185" t="s">
        <v>245</v>
      </c>
    </row>
    <row r="14" spans="2:19" ht="16.95" customHeight="1" x14ac:dyDescent="0.3">
      <c r="B14" s="1177" t="str">
        <f>Guarantors!B6</f>
        <v>Jeff Able</v>
      </c>
      <c r="C14" s="1178">
        <f>Guarantors!N6</f>
        <v>126375</v>
      </c>
      <c r="D14" s="1179">
        <v>0</v>
      </c>
      <c r="E14" s="1180">
        <f t="shared" ref="E14:E23" si="0">D14*4.5</f>
        <v>0</v>
      </c>
      <c r="F14" s="1180">
        <f t="shared" ref="F14:F23" si="1">D14*4.999</f>
        <v>0</v>
      </c>
      <c r="G14" s="1180">
        <f t="shared" ref="G14:G23" si="2">D14*5.499</f>
        <v>0</v>
      </c>
      <c r="H14" s="1180">
        <f t="shared" ref="H14:H23" si="3">D14*6</f>
        <v>0</v>
      </c>
    </row>
    <row r="15" spans="2:19" ht="16.95" customHeight="1" x14ac:dyDescent="0.3">
      <c r="B15" s="1177" t="str">
        <f>Guarantors!B7</f>
        <v>Lisa McClure</v>
      </c>
      <c r="C15" s="1178">
        <f>Guarantors!N7</f>
        <v>0</v>
      </c>
      <c r="D15" s="1181">
        <v>0</v>
      </c>
      <c r="E15" s="1180">
        <f t="shared" si="0"/>
        <v>0</v>
      </c>
      <c r="F15" s="1180">
        <f t="shared" si="1"/>
        <v>0</v>
      </c>
      <c r="G15" s="1180">
        <f t="shared" si="2"/>
        <v>0</v>
      </c>
      <c r="H15" s="1180">
        <f t="shared" si="3"/>
        <v>0</v>
      </c>
    </row>
    <row r="16" spans="2:19" ht="16.95" customHeight="1" x14ac:dyDescent="0.3">
      <c r="B16" s="1177" t="str">
        <f>Guarantors!B8</f>
        <v>Brandon Johnson</v>
      </c>
      <c r="C16" s="1178">
        <f>Guarantors!N8</f>
        <v>0</v>
      </c>
      <c r="D16" s="1181">
        <v>0</v>
      </c>
      <c r="E16" s="1180">
        <f t="shared" si="0"/>
        <v>0</v>
      </c>
      <c r="F16" s="1180">
        <f t="shared" si="1"/>
        <v>0</v>
      </c>
      <c r="G16" s="1180">
        <f t="shared" si="2"/>
        <v>0</v>
      </c>
      <c r="H16" s="1180">
        <f t="shared" si="3"/>
        <v>0</v>
      </c>
    </row>
    <row r="17" spans="2:8" ht="16.95" customHeight="1" x14ac:dyDescent="0.3">
      <c r="B17" s="1177" t="str">
        <f>Guarantors!B9</f>
        <v>Riku Patel</v>
      </c>
      <c r="C17" s="1178">
        <f>Guarantors!N9</f>
        <v>64800</v>
      </c>
      <c r="D17" s="1181">
        <v>0</v>
      </c>
      <c r="E17" s="1180">
        <f t="shared" si="0"/>
        <v>0</v>
      </c>
      <c r="F17" s="1180">
        <f t="shared" si="1"/>
        <v>0</v>
      </c>
      <c r="G17" s="1180">
        <f t="shared" si="2"/>
        <v>0</v>
      </c>
      <c r="H17" s="1180">
        <f t="shared" si="3"/>
        <v>0</v>
      </c>
    </row>
    <row r="18" spans="2:8" ht="16.95" customHeight="1" x14ac:dyDescent="0.3">
      <c r="B18" s="1177" t="str">
        <f>Guarantors!B10</f>
        <v>Divy Patel</v>
      </c>
      <c r="C18" s="1178">
        <f>Guarantors!N10</f>
        <v>67200</v>
      </c>
      <c r="D18" s="1181">
        <v>0</v>
      </c>
      <c r="E18" s="1180">
        <f t="shared" si="0"/>
        <v>0</v>
      </c>
      <c r="F18" s="1180">
        <f t="shared" si="1"/>
        <v>0</v>
      </c>
      <c r="G18" s="1180">
        <f t="shared" si="2"/>
        <v>0</v>
      </c>
      <c r="H18" s="1180">
        <f t="shared" si="3"/>
        <v>0</v>
      </c>
    </row>
    <row r="19" spans="2:8" ht="16.95" customHeight="1" x14ac:dyDescent="0.3">
      <c r="B19" s="1177" t="str">
        <f>Guarantors!B11</f>
        <v>Customer 6</v>
      </c>
      <c r="C19" s="1178">
        <f>Guarantors!N11</f>
        <v>0</v>
      </c>
      <c r="D19" s="1181">
        <v>0</v>
      </c>
      <c r="E19" s="1180">
        <f t="shared" si="0"/>
        <v>0</v>
      </c>
      <c r="F19" s="1180">
        <f t="shared" si="1"/>
        <v>0</v>
      </c>
      <c r="G19" s="1180">
        <f t="shared" si="2"/>
        <v>0</v>
      </c>
      <c r="H19" s="1180">
        <f t="shared" si="3"/>
        <v>0</v>
      </c>
    </row>
    <row r="20" spans="2:8" ht="16.95" customHeight="1" x14ac:dyDescent="0.3">
      <c r="B20" s="1177" t="str">
        <f>Guarantors!B12</f>
        <v>Customer 7</v>
      </c>
      <c r="C20" s="1178">
        <f>Guarantors!N12</f>
        <v>0</v>
      </c>
      <c r="D20" s="1181">
        <v>0</v>
      </c>
      <c r="E20" s="1180">
        <f t="shared" si="0"/>
        <v>0</v>
      </c>
      <c r="F20" s="1180">
        <f t="shared" si="1"/>
        <v>0</v>
      </c>
      <c r="G20" s="1180">
        <f t="shared" si="2"/>
        <v>0</v>
      </c>
      <c r="H20" s="1180">
        <f t="shared" si="3"/>
        <v>0</v>
      </c>
    </row>
    <row r="21" spans="2:8" ht="16.95" customHeight="1" x14ac:dyDescent="0.3">
      <c r="B21" s="1177" t="str">
        <f>Guarantors!B13</f>
        <v>Customer 8</v>
      </c>
      <c r="C21" s="1178">
        <f>Guarantors!N13</f>
        <v>0</v>
      </c>
      <c r="D21" s="1181">
        <v>0</v>
      </c>
      <c r="E21" s="1180">
        <f t="shared" si="0"/>
        <v>0</v>
      </c>
      <c r="F21" s="1180">
        <f t="shared" si="1"/>
        <v>0</v>
      </c>
      <c r="G21" s="1180">
        <f t="shared" si="2"/>
        <v>0</v>
      </c>
      <c r="H21" s="1180">
        <f t="shared" si="3"/>
        <v>0</v>
      </c>
    </row>
    <row r="22" spans="2:8" ht="16.95" customHeight="1" x14ac:dyDescent="0.3">
      <c r="B22" s="1177" t="str">
        <f>Guarantors!B14</f>
        <v>Customer 9</v>
      </c>
      <c r="C22" s="1178">
        <f>Guarantors!N14</f>
        <v>0</v>
      </c>
      <c r="D22" s="1181">
        <v>0</v>
      </c>
      <c r="E22" s="1180">
        <f t="shared" si="0"/>
        <v>0</v>
      </c>
      <c r="F22" s="1180">
        <f t="shared" si="1"/>
        <v>0</v>
      </c>
      <c r="G22" s="1180">
        <f t="shared" si="2"/>
        <v>0</v>
      </c>
      <c r="H22" s="1180">
        <f t="shared" si="3"/>
        <v>0</v>
      </c>
    </row>
    <row r="23" spans="2:8" ht="16.95" customHeight="1" x14ac:dyDescent="0.3">
      <c r="B23" s="1177" t="str">
        <f>Guarantors!B15</f>
        <v>Customer 10</v>
      </c>
      <c r="C23" s="1178">
        <f>Guarantors!N15</f>
        <v>0</v>
      </c>
      <c r="D23" s="1181">
        <v>0</v>
      </c>
      <c r="E23" s="1180">
        <f t="shared" si="0"/>
        <v>0</v>
      </c>
      <c r="F23" s="1180">
        <f t="shared" si="1"/>
        <v>0</v>
      </c>
      <c r="G23" s="1180">
        <f t="shared" si="2"/>
        <v>0</v>
      </c>
      <c r="H23" s="1180">
        <f t="shared" si="3"/>
        <v>0</v>
      </c>
    </row>
  </sheetData>
  <sheetProtection sheet="1" objects="1" scenarios="1" selectLockedCells="1"/>
  <mergeCells count="1">
    <mergeCell ref="B2:H2"/>
  </mergeCells>
  <conditionalFormatting sqref="B14:B22">
    <cfRule type="expression" dxfId="64" priority="2">
      <formula>AND(OR($C14&lt;&gt;0,$D14&lt;&gt;0),AND($C15=0,$D15=0))</formula>
    </cfRule>
  </conditionalFormatting>
  <conditionalFormatting sqref="B14:B23">
    <cfRule type="expression" dxfId="63" priority="29">
      <formula>OR($C14&lt;&gt;0,$D14&lt;&gt;0)</formula>
    </cfRule>
  </conditionalFormatting>
  <conditionalFormatting sqref="B14:H22">
    <cfRule type="expression" dxfId="62" priority="1">
      <formula>AND(OR($C14&lt;&gt;0,$D14&lt;&gt;0),AND($C15=0,$D15=0))</formula>
    </cfRule>
  </conditionalFormatting>
  <conditionalFormatting sqref="B14:H23">
    <cfRule type="expression" dxfId="61" priority="28">
      <formula>OR($C14&lt;&gt;0,$D14&lt;&gt;0)</formula>
    </cfRule>
    <cfRule type="expression" dxfId="60" priority="35">
      <formula>AND($C14=0,$D14=0)</formula>
    </cfRule>
  </conditionalFormatting>
  <conditionalFormatting sqref="E14:H23">
    <cfRule type="expression" dxfId="59" priority="31">
      <formula>AND($C14&gt;E14,$C14&gt;0)</formula>
    </cfRule>
  </conditionalFormatting>
  <conditionalFormatting sqref="H14:H22">
    <cfRule type="expression" dxfId="58" priority="3">
      <formula>AND(OR($C14&lt;&gt;0,$D14&lt;&gt;0),AND($C15=0,$D15=0))</formula>
    </cfRule>
  </conditionalFormatting>
  <conditionalFormatting sqref="H14:H23">
    <cfRule type="expression" dxfId="57" priority="30">
      <formula>OR($C14&lt;&gt;0,$D14&lt;&gt;0)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2:BZN704"/>
  <sheetViews>
    <sheetView topLeftCell="A4" zoomScaleNormal="100" workbookViewId="0">
      <selection activeCell="H11" sqref="H11"/>
    </sheetView>
  </sheetViews>
  <sheetFormatPr defaultColWidth="8.77734375" defaultRowHeight="16.95" customHeight="1" x14ac:dyDescent="0.3"/>
  <cols>
    <col min="1" max="1" width="6" style="798" customWidth="1"/>
    <col min="2" max="2" width="27.6640625" style="798" customWidth="1"/>
    <col min="3" max="7" width="13.77734375" style="798"/>
    <col min="8" max="11" width="13.77734375" style="798" customWidth="1"/>
    <col min="12" max="12" width="9.109375" style="798" customWidth="1"/>
    <col min="13" max="13" width="21.44140625" style="798" hidden="1" customWidth="1"/>
    <col min="14" max="26" width="9.109375" style="798" hidden="1" customWidth="1"/>
    <col min="27" max="2042" width="9.109375" style="798"/>
    <col min="2043" max="16384" width="8.77734375" style="799"/>
  </cols>
  <sheetData>
    <row r="2" spans="2:22" ht="16.95" customHeight="1" thickBot="1" x14ac:dyDescent="0.35"/>
    <row r="3" spans="2:22" ht="16.95" customHeight="1" x14ac:dyDescent="0.3">
      <c r="B3" s="1068" t="s">
        <v>246</v>
      </c>
      <c r="C3" s="662"/>
      <c r="D3" s="662"/>
      <c r="E3" s="662"/>
      <c r="F3" s="662"/>
      <c r="G3" s="1052"/>
      <c r="H3" s="663"/>
      <c r="I3" s="663"/>
      <c r="J3" s="663"/>
      <c r="K3" s="663"/>
      <c r="M3" s="661" t="s">
        <v>246</v>
      </c>
      <c r="N3" s="662"/>
      <c r="O3" s="662"/>
      <c r="P3" s="662"/>
      <c r="Q3" s="662"/>
      <c r="R3" s="663"/>
      <c r="S3" s="663"/>
      <c r="T3" s="663"/>
      <c r="U3" s="663"/>
      <c r="V3" s="663"/>
    </row>
    <row r="4" spans="2:22" ht="14.4" thickBot="1" x14ac:dyDescent="0.35">
      <c r="B4" s="1069"/>
      <c r="C4" s="665"/>
      <c r="D4" s="665"/>
      <c r="E4" s="665"/>
      <c r="F4" s="665"/>
      <c r="G4" s="1053"/>
      <c r="H4" s="666"/>
      <c r="I4" s="666"/>
      <c r="J4" s="666"/>
      <c r="K4" s="666"/>
      <c r="M4" s="664"/>
      <c r="N4" s="665"/>
      <c r="O4" s="665"/>
      <c r="P4" s="665"/>
      <c r="Q4" s="665"/>
      <c r="R4" s="666"/>
      <c r="S4" s="666"/>
      <c r="T4" s="666"/>
      <c r="U4" s="666"/>
      <c r="V4" s="666"/>
    </row>
    <row r="5" spans="2:22" ht="13.8" x14ac:dyDescent="0.3">
      <c r="B5" s="1070"/>
      <c r="C5" s="1051" t="str">
        <f t="shared" ref="C5:K5" si="0">N5</f>
        <v>Total</v>
      </c>
      <c r="D5" s="1057" t="str">
        <f t="shared" si="0"/>
        <v>Equity</v>
      </c>
      <c r="E5" s="1055" t="str">
        <f t="shared" si="0"/>
        <v>SBA 7(a)</v>
      </c>
      <c r="F5" s="1067" t="str">
        <f t="shared" si="0"/>
        <v>SBA 7(a)</v>
      </c>
      <c r="G5" s="1051" t="str">
        <f t="shared" si="0"/>
        <v>SBA 504</v>
      </c>
      <c r="H5" s="1056" t="str">
        <f t="shared" si="0"/>
        <v>Seller Note</v>
      </c>
      <c r="I5" s="1056" t="str">
        <f t="shared" si="0"/>
        <v>Debenture</v>
      </c>
      <c r="J5" s="1056" t="str">
        <f t="shared" si="0"/>
        <v>N/A</v>
      </c>
      <c r="K5" s="1056" t="str">
        <f t="shared" si="0"/>
        <v>N/A</v>
      </c>
      <c r="M5" s="667"/>
      <c r="N5" s="668" t="str">
        <f>'BDO Prequal'!C36</f>
        <v>Total</v>
      </c>
      <c r="O5" s="669" t="str">
        <f>'BDO Prequal'!D36</f>
        <v>Equity</v>
      </c>
      <c r="P5" s="670" t="str">
        <f>'BDO Prequal'!E36</f>
        <v>SBA 7(a)</v>
      </c>
      <c r="Q5" s="670" t="str">
        <f>'BDO Prequal'!F36</f>
        <v>SBA 7(a)</v>
      </c>
      <c r="R5" s="671" t="str">
        <f>'BDO Prequal'!G36</f>
        <v>SBA 504</v>
      </c>
      <c r="S5" s="671" t="str">
        <f>'BDO Prequal'!H36</f>
        <v>Seller Note</v>
      </c>
      <c r="T5" s="671" t="str">
        <f>'BDO Prequal'!I36</f>
        <v>Debenture</v>
      </c>
      <c r="U5" s="671" t="str">
        <f>'BDO Prequal'!J36</f>
        <v>N/A</v>
      </c>
      <c r="V5" s="672" t="str">
        <f>'BDO Prequal'!K36</f>
        <v>N/A</v>
      </c>
    </row>
    <row r="6" spans="2:22" ht="13.8" x14ac:dyDescent="0.3">
      <c r="B6" s="1199" t="str" cm="1">
        <f t="array" ref="B6">_xlfn.LET(_xlpm.visRows,_xlfn._xlws.FILTER(ROW($M$6:$M$22),$N$6:$N$22&lt;&gt;0),_xlpm.allRows,_xlfn.VSTACK(_xlpm.visRows,23,24),_xlpm.pos,ROW()-5,IF(_xlpm.pos&lt;=ROWS(_xlpm.allRows),INDEX($M:$M,INDEX(_xlpm.allRows,_xlpm.pos)),""))</f>
        <v>Machinery &amp; Equipment</v>
      </c>
      <c r="C6" s="1200" cm="1">
        <f t="array" ref="C6">_xlfn.LET(_xlpm.visRows,_xlfn._xlws.FILTER(ROW($M$6:$M$22),$N$6:$N$22&lt;&gt;0),_xlpm.allRows,_xlfn.VSTACK(_xlpm.visRows,23,24),_xlpm.pos,ROW()-5,IF(_xlpm.pos&gt;ROWS(_xlpm.allRows),"",_xlfn.LET(_xlpm.rn,INDEX(_xlpm.allRows,_xlpm.pos),_xlpm.val,INDEX($N:$N,_xlpm.rn),IF(INDEX($M:$M,_xlpm.rn)="Percentages",IF(_xlpm.val=0,"-",TEXT(_xlpm.val,"0%")),_xlpm.val))))</f>
        <v>366285</v>
      </c>
      <c r="D6" s="1201" cm="1">
        <f t="array" ref="D6">_xlfn.LET(_xlpm.visRows,_xlfn._xlws.FILTER(ROW($M$6:$M$22),$N$6:$N$22&lt;&gt;0),_xlpm.allRows,_xlfn.VSTACK(_xlpm.visRows,23,24),_xlpm.pos,ROW()-5,IF(_xlpm.pos&gt;ROWS(_xlpm.allRows),"",_xlfn.LET(_xlpm.rn,INDEX(_xlpm.allRows,_xlpm.pos),_xlpm.val,INDEX($O:$O,_xlpm.rn),IF(INDEX($M:$M,_xlpm.rn)="Percentages",IF(_xlpm.val=0,"-",TEXT(_xlpm.val,"0%")),_xlpm.val))))</f>
        <v>366285</v>
      </c>
      <c r="E6" s="1202" cm="1">
        <f t="array" ref="E6">_xlfn.LET(_xlpm.visRows,_xlfn._xlws.FILTER(ROW($M$6:$M$22),$N$6:$N$22&lt;&gt;0),_xlpm.allRows,_xlfn.VSTACK(_xlpm.visRows,23,24),_xlpm.pos,ROW()-5,IF(_xlpm.pos&gt;ROWS(_xlpm.allRows),"",_xlfn.LET(_xlpm.rn,INDEX(_xlpm.allRows,_xlpm.pos),_xlpm.val,INDEX($P:$P,_xlpm.rn),IF(INDEX($M:$M,_xlpm.rn)="Percentages",IF(_xlpm.val=0,"-",TEXT(_xlpm.val,"0%")),_xlpm.val))))</f>
        <v>0</v>
      </c>
      <c r="F6" s="1203" cm="1">
        <f t="array" ref="F6">_xlfn.LET(_xlpm.visRows,_xlfn._xlws.FILTER(ROW($M$6:$M$22),$N$6:$N$22&lt;&gt;0),_xlpm.allRows,_xlfn.VSTACK(_xlpm.visRows,23,24),_xlpm.pos,ROW()-5,IF(_xlpm.pos&gt;ROWS(_xlpm.allRows),"",_xlfn.LET(_xlpm.rn,INDEX(_xlpm.allRows,_xlpm.pos),_xlpm.val,INDEX($Q:$Q,_xlpm.rn),IF(INDEX($M:$M,_xlpm.rn)="Percentages",IF(_xlpm.val=0,"-",TEXT(_xlpm.val,"0%")),_xlpm.val))))</f>
        <v>0</v>
      </c>
      <c r="G6" s="1202" cm="1">
        <f t="array" ref="G6">_xlfn.LET(_xlpm.visRows,_xlfn._xlws.FILTER(ROW($M$6:$M$22),$N$6:$N$22&lt;&gt;0),_xlpm.allRows,_xlfn.VSTACK(_xlpm.visRows,23,24),_xlpm.pos,ROW()-5,IF(_xlpm.pos&gt;ROWS(_xlpm.allRows),"",_xlfn.LET(_xlpm.rn,INDEX(_xlpm.allRows,_xlpm.pos),_xlpm.val,INDEX($R:$R,_xlpm.rn),IF(INDEX($M:$M,_xlpm.rn)="Percentages",IF(_xlpm.val=0,"-",TEXT(_xlpm.val,"0%")),_xlpm.val))))</f>
        <v>0</v>
      </c>
      <c r="H6" s="1202" cm="1">
        <f t="array" ref="H6">_xlfn.LET(_xlpm.visRows,_xlfn._xlws.FILTER(ROW($M$6:$M$22),$N$6:$N$22&lt;&gt;0),_xlpm.allRows,_xlfn.VSTACK(_xlpm.visRows,23,24),_xlpm.pos,ROW()-5,IF(_xlpm.pos&gt;ROWS(_xlpm.allRows),"",_xlfn.LET(_xlpm.rn,INDEX(_xlpm.allRows,_xlpm.pos),_xlpm.val,INDEX($S:$S,_xlpm.rn),IF(INDEX($M:$M,_xlpm.rn)="Percentages",IF(_xlpm.val=0,"-",TEXT(_xlpm.val,"0%")),_xlpm.val))))</f>
        <v>0</v>
      </c>
      <c r="I6" s="1202" cm="1">
        <f t="array" ref="I6">_xlfn.LET(_xlpm.visRows,_xlfn._xlws.FILTER(ROW($M$6:$M$22),$N$6:$N$22&lt;&gt;0),_xlpm.allRows,_xlfn.VSTACK(_xlpm.visRows,23,24),_xlpm.pos,ROW()-5,IF(_xlpm.pos&gt;ROWS(_xlpm.allRows),"",_xlfn.LET(_xlpm.rn,INDEX(_xlpm.allRows,_xlpm.pos),_xlpm.val,INDEX($T:$T,_xlpm.rn),IF(INDEX($M:$M,_xlpm.rn)="Percentages",IF(_xlpm.val=0,"-",TEXT(_xlpm.val,"0%")),_xlpm.val))))</f>
        <v>0</v>
      </c>
      <c r="J6" s="1202" cm="1">
        <f t="array" ref="J6">_xlfn.LET(_xlpm.visRows,_xlfn._xlws.FILTER(ROW($M$6:$M$22),$N$6:$N$22&lt;&gt;0),_xlpm.allRows,_xlfn.VSTACK(_xlpm.visRows,23,24),_xlpm.pos,ROW()-5,IF(_xlpm.pos&gt;ROWS(_xlpm.allRows),"",_xlfn.LET(_xlpm.rn,INDEX(_xlpm.allRows,_xlpm.pos),_xlpm.val,INDEX($U:$U,_xlpm.rn),IF(INDEX($M:$M,_xlpm.rn)="Percentages",IF(_xlpm.val=0,"-",TEXT(_xlpm.val,"0%")),_xlpm.val))))</f>
        <v>0</v>
      </c>
      <c r="K6" s="1202" cm="1">
        <f t="array" ref="K6">_xlfn.LET(_xlpm.visRows,_xlfn._xlws.FILTER(ROW($M$6:$M$22),$N$6:$N$22&lt;&gt;0),_xlpm.allRows,_xlfn.VSTACK(_xlpm.visRows,23,24),_xlpm.pos,ROW()-5,IF(_xlpm.pos&gt;ROWS(_xlpm.allRows),"",_xlfn.LET(_xlpm.rn,INDEX(_xlpm.allRows,_xlpm.pos),_xlpm.val,INDEX($V:$V,_xlpm.rn),IF(INDEX($M:$M,_xlpm.rn)="Percentages",IF(_xlpm.val=0,"-",TEXT(_xlpm.val,"0%")),_xlpm.val))))</f>
        <v>0</v>
      </c>
      <c r="M6" s="673" t="str">
        <f>'BDO Prequal'!B38</f>
        <v>Real Estate Acquisition</v>
      </c>
      <c r="N6" s="674">
        <f>'BDO Prequal'!C38</f>
        <v>0</v>
      </c>
      <c r="O6" s="675">
        <f>'BDO Prequal'!D38</f>
        <v>0</v>
      </c>
      <c r="P6" s="676">
        <f>'BDO Prequal'!E38</f>
        <v>0</v>
      </c>
      <c r="Q6" s="676">
        <f>'BDO Prequal'!F38</f>
        <v>0</v>
      </c>
      <c r="R6" s="676">
        <f>'BDO Prequal'!G38</f>
        <v>0</v>
      </c>
      <c r="S6" s="676">
        <f>'BDO Prequal'!H38</f>
        <v>0</v>
      </c>
      <c r="T6" s="676">
        <f>'BDO Prequal'!I38</f>
        <v>0</v>
      </c>
      <c r="U6" s="676">
        <f>'BDO Prequal'!J38</f>
        <v>0</v>
      </c>
      <c r="V6" s="677">
        <f>'BDO Prequal'!K38</f>
        <v>0</v>
      </c>
    </row>
    <row r="7" spans="2:22" ht="13.8" x14ac:dyDescent="0.3">
      <c r="B7" s="1204" t="str" cm="1">
        <f t="array" ref="B7">_xlfn.LET(_xlpm.visRows,_xlfn._xlws.FILTER(ROW($M$6:$M$22),$N$6:$N$22&lt;&gt;0),_xlpm.allRows,_xlfn.VSTACK(_xlpm.visRows,23,24),_xlpm.pos,ROW()-5,IF(_xlpm.pos&lt;=ROWS(_xlpm.allRows),INDEX($M:$M,INDEX(_xlpm.allRows,_xlpm.pos)),""))</f>
        <v>Furniture &amp; Fixtures</v>
      </c>
      <c r="C7" s="1205" cm="1">
        <f t="array" ref="C7">_xlfn.LET(_xlpm.visRows,_xlfn._xlws.FILTER(ROW($M$6:$M$22),$N$6:$N$22&lt;&gt;0),_xlpm.allRows,_xlfn.VSTACK(_xlpm.visRows,23,24),_xlpm.pos,ROW()-5,IF(_xlpm.pos&gt;ROWS(_xlpm.allRows),"",_xlfn.LET(_xlpm.rn,INDEX(_xlpm.allRows,_xlpm.pos),_xlpm.val,INDEX($N:$N,_xlpm.rn),IF(INDEX($M:$M,_xlpm.rn)="Percentages",IF(_xlpm.val=0,"-",TEXT(_xlpm.val,"0%")),_xlpm.val))))</f>
        <v>600000</v>
      </c>
      <c r="D7" s="1206" cm="1">
        <f t="array" ref="D7">_xlfn.LET(_xlpm.visRows,_xlfn._xlws.FILTER(ROW($M$6:$M$22),$N$6:$N$22&lt;&gt;0),_xlpm.allRows,_xlfn.VSTACK(_xlpm.visRows,23,24),_xlpm.pos,ROW()-5,IF(_xlpm.pos&gt;ROWS(_xlpm.allRows),"",_xlfn.LET(_xlpm.rn,INDEX(_xlpm.allRows,_xlpm.pos),_xlpm.val,INDEX($O:$O,_xlpm.rn),IF(INDEX($M:$M,_xlpm.rn)="Percentages",IF(_xlpm.val=0,"-",TEXT(_xlpm.val,"0%")),_xlpm.val))))</f>
        <v>0</v>
      </c>
      <c r="E7" s="1207" cm="1">
        <f t="array" ref="E7">_xlfn.LET(_xlpm.visRows,_xlfn._xlws.FILTER(ROW($M$6:$M$22),$N$6:$N$22&lt;&gt;0),_xlpm.allRows,_xlfn.VSTACK(_xlpm.visRows,23,24),_xlpm.pos,ROW()-5,IF(_xlpm.pos&gt;ROWS(_xlpm.allRows),"",_xlfn.LET(_xlpm.rn,INDEX(_xlpm.allRows,_xlpm.pos),_xlpm.val,INDEX($P:$P,_xlpm.rn),IF(INDEX($M:$M,_xlpm.rn)="Percentages",IF(_xlpm.val=0,"-",TEXT(_xlpm.val,"0%")),_xlpm.val))))</f>
        <v>0</v>
      </c>
      <c r="F7" s="1208" cm="1">
        <f t="array" ref="F7">_xlfn.LET(_xlpm.visRows,_xlfn._xlws.FILTER(ROW($M$6:$M$22),$N$6:$N$22&lt;&gt;0),_xlpm.allRows,_xlfn.VSTACK(_xlpm.visRows,23,24),_xlpm.pos,ROW()-5,IF(_xlpm.pos&gt;ROWS(_xlpm.allRows),"",_xlfn.LET(_xlpm.rn,INDEX(_xlpm.allRows,_xlpm.pos),_xlpm.val,INDEX($Q:$Q,_xlpm.rn),IF(INDEX($M:$M,_xlpm.rn)="Percentages",IF(_xlpm.val=0,"-",TEXT(_xlpm.val,"0%")),_xlpm.val))))</f>
        <v>600000</v>
      </c>
      <c r="G7" s="1207" cm="1">
        <f t="array" ref="G7">_xlfn.LET(_xlpm.visRows,_xlfn._xlws.FILTER(ROW($M$6:$M$22),$N$6:$N$22&lt;&gt;0),_xlpm.allRows,_xlfn.VSTACK(_xlpm.visRows,23,24),_xlpm.pos,ROW()-5,IF(_xlpm.pos&gt;ROWS(_xlpm.allRows),"",_xlfn.LET(_xlpm.rn,INDEX(_xlpm.allRows,_xlpm.pos),_xlpm.val,INDEX($R:$R,_xlpm.rn),IF(INDEX($M:$M,_xlpm.rn)="Percentages",IF(_xlpm.val=0,"-",TEXT(_xlpm.val,"0%")),_xlpm.val))))</f>
        <v>0</v>
      </c>
      <c r="H7" s="1207" cm="1">
        <f t="array" ref="H7">_xlfn.LET(_xlpm.visRows,_xlfn._xlws.FILTER(ROW($M$6:$M$22),$N$6:$N$22&lt;&gt;0),_xlpm.allRows,_xlfn.VSTACK(_xlpm.visRows,23,24),_xlpm.pos,ROW()-5,IF(_xlpm.pos&gt;ROWS(_xlpm.allRows),"",_xlfn.LET(_xlpm.rn,INDEX(_xlpm.allRows,_xlpm.pos),_xlpm.val,INDEX($S:$S,_xlpm.rn),IF(INDEX($M:$M,_xlpm.rn)="Percentages",IF(_xlpm.val=0,"-",TEXT(_xlpm.val,"0%")),_xlpm.val))))</f>
        <v>0</v>
      </c>
      <c r="I7" s="1207" cm="1">
        <f t="array" ref="I7">_xlfn.LET(_xlpm.visRows,_xlfn._xlws.FILTER(ROW($M$6:$M$22),$N$6:$N$22&lt;&gt;0),_xlpm.allRows,_xlfn.VSTACK(_xlpm.visRows,23,24),_xlpm.pos,ROW()-5,IF(_xlpm.pos&gt;ROWS(_xlpm.allRows),"",_xlfn.LET(_xlpm.rn,INDEX(_xlpm.allRows,_xlpm.pos),_xlpm.val,INDEX($T:$T,_xlpm.rn),IF(INDEX($M:$M,_xlpm.rn)="Percentages",IF(_xlpm.val=0,"-",TEXT(_xlpm.val,"0%")),_xlpm.val))))</f>
        <v>0</v>
      </c>
      <c r="J7" s="1207" cm="1">
        <f t="array" ref="J7">_xlfn.LET(_xlpm.visRows,_xlfn._xlws.FILTER(ROW($M$6:$M$22),$N$6:$N$22&lt;&gt;0),_xlpm.allRows,_xlfn.VSTACK(_xlpm.visRows,23,24),_xlpm.pos,ROW()-5,IF(_xlpm.pos&gt;ROWS(_xlpm.allRows),"",_xlfn.LET(_xlpm.rn,INDEX(_xlpm.allRows,_xlpm.pos),_xlpm.val,INDEX($U:$U,_xlpm.rn),IF(INDEX($M:$M,_xlpm.rn)="Percentages",IF(_xlpm.val=0,"-",TEXT(_xlpm.val,"0%")),_xlpm.val))))</f>
        <v>0</v>
      </c>
      <c r="K7" s="1207" cm="1">
        <f t="array" ref="K7">_xlfn.LET(_xlpm.visRows,_xlfn._xlws.FILTER(ROW($M$6:$M$22),$N$6:$N$22&lt;&gt;0),_xlpm.allRows,_xlfn.VSTACK(_xlpm.visRows,23,24),_xlpm.pos,ROW()-5,IF(_xlpm.pos&gt;ROWS(_xlpm.allRows),"",_xlfn.LET(_xlpm.rn,INDEX(_xlpm.allRows,_xlpm.pos),_xlpm.val,INDEX($V:$V,_xlpm.rn),IF(INDEX($M:$M,_xlpm.rn)="Percentages",IF(_xlpm.val=0,"-",TEXT(_xlpm.val,"0%")),_xlpm.val))))</f>
        <v>0</v>
      </c>
      <c r="M7" s="673" t="str">
        <f>'BDO Prequal'!B39</f>
        <v>Debt Refi - CRE</v>
      </c>
      <c r="N7" s="674">
        <f>'BDO Prequal'!C39</f>
        <v>0</v>
      </c>
      <c r="O7" s="675">
        <f>'BDO Prequal'!D39</f>
        <v>0</v>
      </c>
      <c r="P7" s="676">
        <f>'BDO Prequal'!E39</f>
        <v>0</v>
      </c>
      <c r="Q7" s="676">
        <f>'BDO Prequal'!F39</f>
        <v>0</v>
      </c>
      <c r="R7" s="676">
        <f>'BDO Prequal'!G39</f>
        <v>0</v>
      </c>
      <c r="S7" s="676">
        <f>'BDO Prequal'!H39</f>
        <v>0</v>
      </c>
      <c r="T7" s="676">
        <f>'BDO Prequal'!I39</f>
        <v>0</v>
      </c>
      <c r="U7" s="676">
        <f>'BDO Prequal'!J39</f>
        <v>0</v>
      </c>
      <c r="V7" s="677">
        <f>'BDO Prequal'!K39</f>
        <v>0</v>
      </c>
    </row>
    <row r="8" spans="2:22" ht="13.8" x14ac:dyDescent="0.3">
      <c r="B8" s="1204" t="str" cm="1">
        <f t="array" ref="B8">_xlfn.LET(_xlpm.visRows,_xlfn._xlws.FILTER(ROW($M$6:$M$22),$N$6:$N$22&lt;&gt;0),_xlpm.allRows,_xlfn.VSTACK(_xlpm.visRows,23,24),_xlpm.pos,ROW()-5,IF(_xlpm.pos&lt;=ROWS(_xlpm.allRows),INDEX($M:$M,INDEX(_xlpm.allRows,_xlpm.pos)),""))</f>
        <v>Working Capital</v>
      </c>
      <c r="C8" s="1205" cm="1">
        <f t="array" ref="C8">_xlfn.LET(_xlpm.visRows,_xlfn._xlws.FILTER(ROW($M$6:$M$22),$N$6:$N$22&lt;&gt;0),_xlpm.allRows,_xlfn.VSTACK(_xlpm.visRows,23,24),_xlpm.pos,ROW()-5,IF(_xlpm.pos&gt;ROWS(_xlpm.allRows),"",_xlfn.LET(_xlpm.rn,INDEX(_xlpm.allRows,_xlpm.pos),_xlpm.val,INDEX($N:$N,_xlpm.rn),IF(INDEX($M:$M,_xlpm.rn)="Percentages",IF(_xlpm.val=0,"-",TEXT(_xlpm.val,"0%")),_xlpm.val))))</f>
        <v>573500</v>
      </c>
      <c r="D8" s="1206" cm="1">
        <f t="array" ref="D8">_xlfn.LET(_xlpm.visRows,_xlfn._xlws.FILTER(ROW($M$6:$M$22),$N$6:$N$22&lt;&gt;0),_xlpm.allRows,_xlfn.VSTACK(_xlpm.visRows,23,24),_xlpm.pos,ROW()-5,IF(_xlpm.pos&gt;ROWS(_xlpm.allRows),"",_xlfn.LET(_xlpm.rn,INDEX(_xlpm.allRows,_xlpm.pos),_xlpm.val,INDEX($O:$O,_xlpm.rn),IF(INDEX($M:$M,_xlpm.rn)="Percentages",IF(_xlpm.val=0,"-",TEXT(_xlpm.val,"0%")),_xlpm.val))))</f>
        <v>573500</v>
      </c>
      <c r="E8" s="1207" cm="1">
        <f t="array" ref="E8">_xlfn.LET(_xlpm.visRows,_xlfn._xlws.FILTER(ROW($M$6:$M$22),$N$6:$N$22&lt;&gt;0),_xlpm.allRows,_xlfn.VSTACK(_xlpm.visRows,23,24),_xlpm.pos,ROW()-5,IF(_xlpm.pos&gt;ROWS(_xlpm.allRows),"",_xlfn.LET(_xlpm.rn,INDEX(_xlpm.allRows,_xlpm.pos),_xlpm.val,INDEX($P:$P,_xlpm.rn),IF(INDEX($M:$M,_xlpm.rn)="Percentages",IF(_xlpm.val=0,"-",TEXT(_xlpm.val,"0%")),_xlpm.val))))</f>
        <v>0</v>
      </c>
      <c r="F8" s="1208" cm="1">
        <f t="array" ref="F8">_xlfn.LET(_xlpm.visRows,_xlfn._xlws.FILTER(ROW($M$6:$M$22),$N$6:$N$22&lt;&gt;0),_xlpm.allRows,_xlfn.VSTACK(_xlpm.visRows,23,24),_xlpm.pos,ROW()-5,IF(_xlpm.pos&gt;ROWS(_xlpm.allRows),"",_xlfn.LET(_xlpm.rn,INDEX(_xlpm.allRows,_xlpm.pos),_xlpm.val,INDEX($Q:$Q,_xlpm.rn),IF(INDEX($M:$M,_xlpm.rn)="Percentages",IF(_xlpm.val=0,"-",TEXT(_xlpm.val,"0%")),_xlpm.val))))</f>
        <v>0</v>
      </c>
      <c r="G8" s="1207" cm="1">
        <f t="array" ref="G8">_xlfn.LET(_xlpm.visRows,_xlfn._xlws.FILTER(ROW($M$6:$M$22),$N$6:$N$22&lt;&gt;0),_xlpm.allRows,_xlfn.VSTACK(_xlpm.visRows,23,24),_xlpm.pos,ROW()-5,IF(_xlpm.pos&gt;ROWS(_xlpm.allRows),"",_xlfn.LET(_xlpm.rn,INDEX(_xlpm.allRows,_xlpm.pos),_xlpm.val,INDEX($R:$R,_xlpm.rn),IF(INDEX($M:$M,_xlpm.rn)="Percentages",IF(_xlpm.val=0,"-",TEXT(_xlpm.val,"0%")),_xlpm.val))))</f>
        <v>0</v>
      </c>
      <c r="H8" s="1207" cm="1">
        <f t="array" ref="H8">_xlfn.LET(_xlpm.visRows,_xlfn._xlws.FILTER(ROW($M$6:$M$22),$N$6:$N$22&lt;&gt;0),_xlpm.allRows,_xlfn.VSTACK(_xlpm.visRows,23,24),_xlpm.pos,ROW()-5,IF(_xlpm.pos&gt;ROWS(_xlpm.allRows),"",_xlfn.LET(_xlpm.rn,INDEX(_xlpm.allRows,_xlpm.pos),_xlpm.val,INDEX($S:$S,_xlpm.rn),IF(INDEX($M:$M,_xlpm.rn)="Percentages",IF(_xlpm.val=0,"-",TEXT(_xlpm.val,"0%")),_xlpm.val))))</f>
        <v>0</v>
      </c>
      <c r="I8" s="1207" cm="1">
        <f t="array" ref="I8">_xlfn.LET(_xlpm.visRows,_xlfn._xlws.FILTER(ROW($M$6:$M$22),$N$6:$N$22&lt;&gt;0),_xlpm.allRows,_xlfn.VSTACK(_xlpm.visRows,23,24),_xlpm.pos,ROW()-5,IF(_xlpm.pos&gt;ROWS(_xlpm.allRows),"",_xlfn.LET(_xlpm.rn,INDEX(_xlpm.allRows,_xlpm.pos),_xlpm.val,INDEX($T:$T,_xlpm.rn),IF(INDEX($M:$M,_xlpm.rn)="Percentages",IF(_xlpm.val=0,"-",TEXT(_xlpm.val,"0%")),_xlpm.val))))</f>
        <v>0</v>
      </c>
      <c r="J8" s="1207" cm="1">
        <f t="array" ref="J8">_xlfn.LET(_xlpm.visRows,_xlfn._xlws.FILTER(ROW($M$6:$M$22),$N$6:$N$22&lt;&gt;0),_xlpm.allRows,_xlfn.VSTACK(_xlpm.visRows,23,24),_xlpm.pos,ROW()-5,IF(_xlpm.pos&gt;ROWS(_xlpm.allRows),"",_xlfn.LET(_xlpm.rn,INDEX(_xlpm.allRows,_xlpm.pos),_xlpm.val,INDEX($U:$U,_xlpm.rn),IF(INDEX($M:$M,_xlpm.rn)="Percentages",IF(_xlpm.val=0,"-",TEXT(_xlpm.val,"0%")),_xlpm.val))))</f>
        <v>0</v>
      </c>
      <c r="K8" s="1207" cm="1">
        <f t="array" ref="K8">_xlfn.LET(_xlpm.visRows,_xlfn._xlws.FILTER(ROW($M$6:$M$22),$N$6:$N$22&lt;&gt;0),_xlpm.allRows,_xlfn.VSTACK(_xlpm.visRows,23,24),_xlpm.pos,ROW()-5,IF(_xlpm.pos&gt;ROWS(_xlpm.allRows),"",_xlfn.LET(_xlpm.rn,INDEX(_xlpm.allRows,_xlpm.pos),_xlpm.val,INDEX($V:$V,_xlpm.rn),IF(INDEX($M:$M,_xlpm.rn)="Percentages",IF(_xlpm.val=0,"-",TEXT(_xlpm.val,"0%")),_xlpm.val))))</f>
        <v>0</v>
      </c>
      <c r="M8" s="673" t="str">
        <f>'BDO Prequal'!B40</f>
        <v>Debt Refi - Non-CRE</v>
      </c>
      <c r="N8" s="674">
        <f>'BDO Prequal'!C40</f>
        <v>0</v>
      </c>
      <c r="O8" s="675">
        <f>'BDO Prequal'!D40</f>
        <v>0</v>
      </c>
      <c r="P8" s="676">
        <f>'BDO Prequal'!E40</f>
        <v>0</v>
      </c>
      <c r="Q8" s="676">
        <f>'BDO Prequal'!F40</f>
        <v>0</v>
      </c>
      <c r="R8" s="676">
        <f>'BDO Prequal'!G40</f>
        <v>0</v>
      </c>
      <c r="S8" s="676">
        <f>'BDO Prequal'!H40</f>
        <v>0</v>
      </c>
      <c r="T8" s="676">
        <f>'BDO Prequal'!I40</f>
        <v>0</v>
      </c>
      <c r="U8" s="676">
        <f>'BDO Prequal'!J40</f>
        <v>0</v>
      </c>
      <c r="V8" s="677">
        <f>'BDO Prequal'!K40</f>
        <v>0</v>
      </c>
    </row>
    <row r="9" spans="2:22" ht="13.8" x14ac:dyDescent="0.3">
      <c r="B9" s="1204" t="str" cm="1">
        <f t="array" ref="B9">_xlfn.LET(_xlpm.visRows,_xlfn._xlws.FILTER(ROW($M$6:$M$22),$N$6:$N$22&lt;&gt;0),_xlpm.allRows,_xlfn.VSTACK(_xlpm.visRows,23,24),_xlpm.pos,ROW()-5,IF(_xlpm.pos&lt;=ROWS(_xlpm.allRows),INDEX($M:$M,INDEX(_xlpm.allRows,_xlpm.pos)),""))</f>
        <v>Working Capital - Pre Opening</v>
      </c>
      <c r="C9" s="1205" cm="1">
        <f t="array" ref="C9">_xlfn.LET(_xlpm.visRows,_xlfn._xlws.FILTER(ROW($M$6:$M$22),$N$6:$N$22&lt;&gt;0),_xlpm.allRows,_xlfn.VSTACK(_xlpm.visRows,23,24),_xlpm.pos,ROW()-5,IF(_xlpm.pos&gt;ROWS(_xlpm.allRows),"",_xlfn.LET(_xlpm.rn,INDEX(_xlpm.allRows,_xlpm.pos),_xlpm.val,INDEX($N:$N,_xlpm.rn),IF(INDEX($M:$M,_xlpm.rn)="Percentages",IF(_xlpm.val=0,"-",TEXT(_xlpm.val,"0%")),_xlpm.val))))</f>
        <v>77000</v>
      </c>
      <c r="D9" s="1206" cm="1">
        <f t="array" ref="D9">_xlfn.LET(_xlpm.visRows,_xlfn._xlws.FILTER(ROW($M$6:$M$22),$N$6:$N$22&lt;&gt;0),_xlpm.allRows,_xlfn.VSTACK(_xlpm.visRows,23,24),_xlpm.pos,ROW()-5,IF(_xlpm.pos&gt;ROWS(_xlpm.allRows),"",_xlfn.LET(_xlpm.rn,INDEX(_xlpm.allRows,_xlpm.pos),_xlpm.val,INDEX($O:$O,_xlpm.rn),IF(INDEX($M:$M,_xlpm.rn)="Percentages",IF(_xlpm.val=0,"-",TEXT(_xlpm.val,"0%")),_xlpm.val))))</f>
        <v>77000</v>
      </c>
      <c r="E9" s="1207" cm="1">
        <f t="array" ref="E9">_xlfn.LET(_xlpm.visRows,_xlfn._xlws.FILTER(ROW($M$6:$M$22),$N$6:$N$22&lt;&gt;0),_xlpm.allRows,_xlfn.VSTACK(_xlpm.visRows,23,24),_xlpm.pos,ROW()-5,IF(_xlpm.pos&gt;ROWS(_xlpm.allRows),"",_xlfn.LET(_xlpm.rn,INDEX(_xlpm.allRows,_xlpm.pos),_xlpm.val,INDEX($P:$P,_xlpm.rn),IF(INDEX($M:$M,_xlpm.rn)="Percentages",IF(_xlpm.val=0,"-",TEXT(_xlpm.val,"0%")),_xlpm.val))))</f>
        <v>0</v>
      </c>
      <c r="F9" s="1208" cm="1">
        <f t="array" ref="F9">_xlfn.LET(_xlpm.visRows,_xlfn._xlws.FILTER(ROW($M$6:$M$22),$N$6:$N$22&lt;&gt;0),_xlpm.allRows,_xlfn.VSTACK(_xlpm.visRows,23,24),_xlpm.pos,ROW()-5,IF(_xlpm.pos&gt;ROWS(_xlpm.allRows),"",_xlfn.LET(_xlpm.rn,INDEX(_xlpm.allRows,_xlpm.pos),_xlpm.val,INDEX($Q:$Q,_xlpm.rn),IF(INDEX($M:$M,_xlpm.rn)="Percentages",IF(_xlpm.val=0,"-",TEXT(_xlpm.val,"0%")),_xlpm.val))))</f>
        <v>0</v>
      </c>
      <c r="G9" s="1207" cm="1">
        <f t="array" ref="G9">_xlfn.LET(_xlpm.visRows,_xlfn._xlws.FILTER(ROW($M$6:$M$22),$N$6:$N$22&lt;&gt;0),_xlpm.allRows,_xlfn.VSTACK(_xlpm.visRows,23,24),_xlpm.pos,ROW()-5,IF(_xlpm.pos&gt;ROWS(_xlpm.allRows),"",_xlfn.LET(_xlpm.rn,INDEX(_xlpm.allRows,_xlpm.pos),_xlpm.val,INDEX($R:$R,_xlpm.rn),IF(INDEX($M:$M,_xlpm.rn)="Percentages",IF(_xlpm.val=0,"-",TEXT(_xlpm.val,"0%")),_xlpm.val))))</f>
        <v>0</v>
      </c>
      <c r="H9" s="1207" cm="1">
        <f t="array" ref="H9">_xlfn.LET(_xlpm.visRows,_xlfn._xlws.FILTER(ROW($M$6:$M$22),$N$6:$N$22&lt;&gt;0),_xlpm.allRows,_xlfn.VSTACK(_xlpm.visRows,23,24),_xlpm.pos,ROW()-5,IF(_xlpm.pos&gt;ROWS(_xlpm.allRows),"",_xlfn.LET(_xlpm.rn,INDEX(_xlpm.allRows,_xlpm.pos),_xlpm.val,INDEX($S:$S,_xlpm.rn),IF(INDEX($M:$M,_xlpm.rn)="Percentages",IF(_xlpm.val=0,"-",TEXT(_xlpm.val,"0%")),_xlpm.val))))</f>
        <v>0</v>
      </c>
      <c r="I9" s="1207" cm="1">
        <f t="array" ref="I9">_xlfn.LET(_xlpm.visRows,_xlfn._xlws.FILTER(ROW($M$6:$M$22),$N$6:$N$22&lt;&gt;0),_xlpm.allRows,_xlfn.VSTACK(_xlpm.visRows,23,24),_xlpm.pos,ROW()-5,IF(_xlpm.pos&gt;ROWS(_xlpm.allRows),"",_xlfn.LET(_xlpm.rn,INDEX(_xlpm.allRows,_xlpm.pos),_xlpm.val,INDEX($T:$T,_xlpm.rn),IF(INDEX($M:$M,_xlpm.rn)="Percentages",IF(_xlpm.val=0,"-",TEXT(_xlpm.val,"0%")),_xlpm.val))))</f>
        <v>0</v>
      </c>
      <c r="J9" s="1207" cm="1">
        <f t="array" ref="J9">_xlfn.LET(_xlpm.visRows,_xlfn._xlws.FILTER(ROW($M$6:$M$22),$N$6:$N$22&lt;&gt;0),_xlpm.allRows,_xlfn.VSTACK(_xlpm.visRows,23,24),_xlpm.pos,ROW()-5,IF(_xlpm.pos&gt;ROWS(_xlpm.allRows),"",_xlfn.LET(_xlpm.rn,INDEX(_xlpm.allRows,_xlpm.pos),_xlpm.val,INDEX($U:$U,_xlpm.rn),IF(INDEX($M:$M,_xlpm.rn)="Percentages",IF(_xlpm.val=0,"-",TEXT(_xlpm.val,"0%")),_xlpm.val))))</f>
        <v>0</v>
      </c>
      <c r="K9" s="1207" cm="1">
        <f t="array" ref="K9">_xlfn.LET(_xlpm.visRows,_xlfn._xlws.FILTER(ROW($M$6:$M$22),$N$6:$N$22&lt;&gt;0),_xlpm.allRows,_xlfn.VSTACK(_xlpm.visRows,23,24),_xlpm.pos,ROW()-5,IF(_xlpm.pos&gt;ROWS(_xlpm.allRows),"",_xlfn.LET(_xlpm.rn,INDEX(_xlpm.allRows,_xlpm.pos),_xlpm.val,INDEX($V:$V,_xlpm.rn),IF(INDEX($M:$M,_xlpm.rn)="Percentages",IF(_xlpm.val=0,"-",TEXT(_xlpm.val,"0%")),_xlpm.val))))</f>
        <v>0</v>
      </c>
      <c r="M9" s="673" t="str">
        <f>'BDO Prequal'!B41</f>
        <v>Machinery &amp; Equipment</v>
      </c>
      <c r="N9" s="674">
        <f>'BDO Prequal'!C41</f>
        <v>366285</v>
      </c>
      <c r="O9" s="675">
        <f>'BDO Prequal'!D41</f>
        <v>366285</v>
      </c>
      <c r="P9" s="676">
        <f>'BDO Prequal'!E41</f>
        <v>0</v>
      </c>
      <c r="Q9" s="676">
        <f>'BDO Prequal'!F41</f>
        <v>0</v>
      </c>
      <c r="R9" s="676">
        <f>'BDO Prequal'!G41</f>
        <v>0</v>
      </c>
      <c r="S9" s="676">
        <f>'BDO Prequal'!H41</f>
        <v>0</v>
      </c>
      <c r="T9" s="676">
        <f>'BDO Prequal'!I41</f>
        <v>0</v>
      </c>
      <c r="U9" s="676">
        <f>'BDO Prequal'!J41</f>
        <v>0</v>
      </c>
      <c r="V9" s="677">
        <f>'BDO Prequal'!K41</f>
        <v>0</v>
      </c>
    </row>
    <row r="10" spans="2:22" ht="13.8" x14ac:dyDescent="0.3">
      <c r="B10" s="1204" t="str" cm="1">
        <f t="array" ref="B10">_xlfn.LET(_xlpm.visRows,_xlfn._xlws.FILTER(ROW($M$6:$M$22),$N$6:$N$22&lt;&gt;0),_xlpm.allRows,_xlfn.VSTACK(_xlpm.visRows,23,24),_xlpm.pos,ROW()-5,IF(_xlpm.pos&lt;=ROWS(_xlpm.allRows),INDEX($M:$M,INDEX(_xlpm.allRows,_xlpm.pos)),""))</f>
        <v>Business Acquisition</v>
      </c>
      <c r="C10" s="1205" cm="1">
        <f t="array" ref="C10">_xlfn.LET(_xlpm.visRows,_xlfn._xlws.FILTER(ROW($M$6:$M$22),$N$6:$N$22&lt;&gt;0),_xlpm.allRows,_xlfn.VSTACK(_xlpm.visRows,23,24),_xlpm.pos,ROW()-5,IF(_xlpm.pos&gt;ROWS(_xlpm.allRows),"",_xlfn.LET(_xlpm.rn,INDEX(_xlpm.allRows,_xlpm.pos),_xlpm.val,INDEX($N:$N,_xlpm.rn),IF(INDEX($M:$M,_xlpm.rn)="Percentages",IF(_xlpm.val=0,"-",TEXT(_xlpm.val,"0%")),_xlpm.val))))</f>
        <v>2219000</v>
      </c>
      <c r="D10" s="1206" cm="1">
        <f t="array" ref="D10">_xlfn.LET(_xlpm.visRows,_xlfn._xlws.FILTER(ROW($M$6:$M$22),$N$6:$N$22&lt;&gt;0),_xlpm.allRows,_xlfn.VSTACK(_xlpm.visRows,23,24),_xlpm.pos,ROW()-5,IF(_xlpm.pos&gt;ROWS(_xlpm.allRows),"",_xlfn.LET(_xlpm.rn,INDEX(_xlpm.allRows,_xlpm.pos),_xlpm.val,INDEX($O:$O,_xlpm.rn),IF(INDEX($M:$M,_xlpm.rn)="Percentages",IF(_xlpm.val=0,"-",TEXT(_xlpm.val,"0%")),_xlpm.val))))</f>
        <v>225000</v>
      </c>
      <c r="E10" s="1207" cm="1">
        <f t="array" ref="E10">_xlfn.LET(_xlpm.visRows,_xlfn._xlws.FILTER(ROW($M$6:$M$22),$N$6:$N$22&lt;&gt;0),_xlpm.allRows,_xlfn.VSTACK(_xlpm.visRows,23,24),_xlpm.pos,ROW()-5,IF(_xlpm.pos&gt;ROWS(_xlpm.allRows),"",_xlfn.LET(_xlpm.rn,INDEX(_xlpm.allRows,_xlpm.pos),_xlpm.val,INDEX($P:$P,_xlpm.rn),IF(INDEX($M:$M,_xlpm.rn)="Percentages",IF(_xlpm.val=0,"-",TEXT(_xlpm.val,"0%")),_xlpm.val))))</f>
        <v>324000</v>
      </c>
      <c r="F10" s="1208" cm="1">
        <f t="array" ref="F10">_xlfn.LET(_xlpm.visRows,_xlfn._xlws.FILTER(ROW($M$6:$M$22),$N$6:$N$22&lt;&gt;0),_xlpm.allRows,_xlfn.VSTACK(_xlpm.visRows,23,24),_xlpm.pos,ROW()-5,IF(_xlpm.pos&gt;ROWS(_xlpm.allRows),"",_xlfn.LET(_xlpm.rn,INDEX(_xlpm.allRows,_xlpm.pos),_xlpm.val,INDEX($Q:$Q,_xlpm.rn),IF(INDEX($M:$M,_xlpm.rn)="Percentages",IF(_xlpm.val=0,"-",TEXT(_xlpm.val,"0%")),_xlpm.val))))</f>
        <v>0</v>
      </c>
      <c r="G10" s="1207" cm="1">
        <f t="array" ref="G10">_xlfn.LET(_xlpm.visRows,_xlfn._xlws.FILTER(ROW($M$6:$M$22),$N$6:$N$22&lt;&gt;0),_xlpm.allRows,_xlfn.VSTACK(_xlpm.visRows,23,24),_xlpm.pos,ROW()-5,IF(_xlpm.pos&gt;ROWS(_xlpm.allRows),"",_xlfn.LET(_xlpm.rn,INDEX(_xlpm.allRows,_xlpm.pos),_xlpm.val,INDEX($R:$R,_xlpm.rn),IF(INDEX($M:$M,_xlpm.rn)="Percentages",IF(_xlpm.val=0,"-",TEXT(_xlpm.val,"0%")),_xlpm.val))))</f>
        <v>1350000</v>
      </c>
      <c r="H10" s="1207" cm="1">
        <f t="array" ref="H10">_xlfn.LET(_xlpm.visRows,_xlfn._xlws.FILTER(ROW($M$6:$M$22),$N$6:$N$22&lt;&gt;0),_xlpm.allRows,_xlfn.VSTACK(_xlpm.visRows,23,24),_xlpm.pos,ROW()-5,IF(_xlpm.pos&gt;ROWS(_xlpm.allRows),"",_xlfn.LET(_xlpm.rn,INDEX(_xlpm.allRows,_xlpm.pos),_xlpm.val,INDEX($S:$S,_xlpm.rn),IF(INDEX($M:$M,_xlpm.rn)="Percentages",IF(_xlpm.val=0,"-",TEXT(_xlpm.val,"0%")),_xlpm.val))))</f>
        <v>320000</v>
      </c>
      <c r="I10" s="1207" cm="1">
        <f t="array" ref="I10">_xlfn.LET(_xlpm.visRows,_xlfn._xlws.FILTER(ROW($M$6:$M$22),$N$6:$N$22&lt;&gt;0),_xlpm.allRows,_xlfn.VSTACK(_xlpm.visRows,23,24),_xlpm.pos,ROW()-5,IF(_xlpm.pos&gt;ROWS(_xlpm.allRows),"",_xlfn.LET(_xlpm.rn,INDEX(_xlpm.allRows,_xlpm.pos),_xlpm.val,INDEX($T:$T,_xlpm.rn),IF(INDEX($M:$M,_xlpm.rn)="Percentages",IF(_xlpm.val=0,"-",TEXT(_xlpm.val,"0%")),_xlpm.val))))</f>
        <v>0</v>
      </c>
      <c r="J10" s="1207" cm="1">
        <f t="array" ref="J10">_xlfn.LET(_xlpm.visRows,_xlfn._xlws.FILTER(ROW($M$6:$M$22),$N$6:$N$22&lt;&gt;0),_xlpm.allRows,_xlfn.VSTACK(_xlpm.visRows,23,24),_xlpm.pos,ROW()-5,IF(_xlpm.pos&gt;ROWS(_xlpm.allRows),"",_xlfn.LET(_xlpm.rn,INDEX(_xlpm.allRows,_xlpm.pos),_xlpm.val,INDEX($U:$U,_xlpm.rn),IF(INDEX($M:$M,_xlpm.rn)="Percentages",IF(_xlpm.val=0,"-",TEXT(_xlpm.val,"0%")),_xlpm.val))))</f>
        <v>0</v>
      </c>
      <c r="K10" s="1207" cm="1">
        <f t="array" ref="K10">_xlfn.LET(_xlpm.visRows,_xlfn._xlws.FILTER(ROW($M$6:$M$22),$N$6:$N$22&lt;&gt;0),_xlpm.allRows,_xlfn.VSTACK(_xlpm.visRows,23,24),_xlpm.pos,ROW()-5,IF(_xlpm.pos&gt;ROWS(_xlpm.allRows),"",_xlfn.LET(_xlpm.rn,INDEX(_xlpm.allRows,_xlpm.pos),_xlpm.val,INDEX($V:$V,_xlpm.rn),IF(INDEX($M:$M,_xlpm.rn)="Percentages",IF(_xlpm.val=0,"-",TEXT(_xlpm.val,"0%")),_xlpm.val))))</f>
        <v>0</v>
      </c>
      <c r="M10" s="673" t="str">
        <f>'BDO Prequal'!B42</f>
        <v>Furniture &amp; Fixtures</v>
      </c>
      <c r="N10" s="674">
        <f>'BDO Prequal'!C42</f>
        <v>600000</v>
      </c>
      <c r="O10" s="675">
        <f>'BDO Prequal'!D42</f>
        <v>0</v>
      </c>
      <c r="P10" s="676">
        <f>'BDO Prequal'!E42</f>
        <v>0</v>
      </c>
      <c r="Q10" s="676">
        <f>'BDO Prequal'!F42</f>
        <v>600000</v>
      </c>
      <c r="R10" s="676">
        <f>'BDO Prequal'!G42</f>
        <v>0</v>
      </c>
      <c r="S10" s="676">
        <f>'BDO Prequal'!H42</f>
        <v>0</v>
      </c>
      <c r="T10" s="676">
        <f>'BDO Prequal'!I42</f>
        <v>0</v>
      </c>
      <c r="U10" s="676">
        <f>'BDO Prequal'!J42</f>
        <v>0</v>
      </c>
      <c r="V10" s="677">
        <f>'BDO Prequal'!K42</f>
        <v>0</v>
      </c>
    </row>
    <row r="11" spans="2:22" ht="13.8" x14ac:dyDescent="0.3">
      <c r="B11" s="1204" t="str" cm="1">
        <f t="array" ref="B11">_xlfn.LET(_xlpm.visRows,_xlfn._xlws.FILTER(ROW($M$6:$M$22),$N$6:$N$22&lt;&gt;0),_xlpm.allRows,_xlfn.VSTACK(_xlpm.visRows,23,24),_xlpm.pos,ROW()-5,IF(_xlpm.pos&lt;=ROWS(_xlpm.allRows),INDEX($M:$M,INDEX(_xlpm.allRows,_xlpm.pos)),""))</f>
        <v>Construction Hard Costs</v>
      </c>
      <c r="C11" s="1205" cm="1">
        <f t="array" ref="C11">_xlfn.LET(_xlpm.visRows,_xlfn._xlws.FILTER(ROW($M$6:$M$22),$N$6:$N$22&lt;&gt;0),_xlpm.allRows,_xlfn.VSTACK(_xlpm.visRows,23,24),_xlpm.pos,ROW()-5,IF(_xlpm.pos&gt;ROWS(_xlpm.allRows),"",_xlfn.LET(_xlpm.rn,INDEX(_xlpm.allRows,_xlpm.pos),_xlpm.val,INDEX($N:$N,_xlpm.rn),IF(INDEX($M:$M,_xlpm.rn)="Percentages",IF(_xlpm.val=0,"-",TEXT(_xlpm.val,"0%")),_xlpm.val))))</f>
        <v>4100000</v>
      </c>
      <c r="D11" s="1206" cm="1">
        <f t="array" ref="D11">_xlfn.LET(_xlpm.visRows,_xlfn._xlws.FILTER(ROW($M$6:$M$22),$N$6:$N$22&lt;&gt;0),_xlpm.allRows,_xlfn.VSTACK(_xlpm.visRows,23,24),_xlpm.pos,ROW()-5,IF(_xlpm.pos&gt;ROWS(_xlpm.allRows),"",_xlfn.LET(_xlpm.rn,INDEX(_xlpm.allRows,_xlpm.pos),_xlpm.val,INDEX($O:$O,_xlpm.rn),IF(INDEX($M:$M,_xlpm.rn)="Percentages",IF(_xlpm.val=0,"-",TEXT(_xlpm.val,"0%")),_xlpm.val))))</f>
        <v>276207</v>
      </c>
      <c r="E11" s="1207" cm="1">
        <f t="array" ref="E11">_xlfn.LET(_xlpm.visRows,_xlfn._xlws.FILTER(ROW($M$6:$M$22),$N$6:$N$22&lt;&gt;0),_xlpm.allRows,_xlfn.VSTACK(_xlpm.visRows,23,24),_xlpm.pos,ROW()-5,IF(_xlpm.pos&gt;ROWS(_xlpm.allRows),"",_xlfn.LET(_xlpm.rn,INDEX(_xlpm.allRows,_xlpm.pos),_xlpm.val,INDEX($P:$P,_xlpm.rn),IF(INDEX($M:$M,_xlpm.rn)="Percentages",IF(_xlpm.val=0,"-",TEXT(_xlpm.val,"0%")),_xlpm.val))))</f>
        <v>0</v>
      </c>
      <c r="F11" s="1208" cm="1">
        <f t="array" ref="F11">_xlfn.LET(_xlpm.visRows,_xlfn._xlws.FILTER(ROW($M$6:$M$22),$N$6:$N$22&lt;&gt;0),_xlpm.allRows,_xlfn.VSTACK(_xlpm.visRows,23,24),_xlpm.pos,ROW()-5,IF(_xlpm.pos&gt;ROWS(_xlpm.allRows),"",_xlfn.LET(_xlpm.rn,INDEX(_xlpm.allRows,_xlpm.pos),_xlpm.val,INDEX($Q:$Q,_xlpm.rn),IF(INDEX($M:$M,_xlpm.rn)="Percentages",IF(_xlpm.val=0,"-",TEXT(_xlpm.val,"0%")),_xlpm.val))))</f>
        <v>1951858</v>
      </c>
      <c r="G11" s="1207" cm="1">
        <f t="array" ref="G11">_xlfn.LET(_xlpm.visRows,_xlfn._xlws.FILTER(ROW($M$6:$M$22),$N$6:$N$22&lt;&gt;0),_xlpm.allRows,_xlfn.VSTACK(_xlpm.visRows,23,24),_xlpm.pos,ROW()-5,IF(_xlpm.pos&gt;ROWS(_xlpm.allRows),"",_xlfn.LET(_xlpm.rn,INDEX(_xlpm.allRows,_xlpm.pos),_xlpm.val,INDEX($R:$R,_xlpm.rn),IF(INDEX($M:$M,_xlpm.rn)="Percentages",IF(_xlpm.val=0,"-",TEXT(_xlpm.val,"0%")),_xlpm.val))))</f>
        <v>0</v>
      </c>
      <c r="H11" s="1207" cm="1">
        <f t="array" ref="H11">_xlfn.LET(_xlpm.visRows,_xlfn._xlws.FILTER(ROW($M$6:$M$22),$N$6:$N$22&lt;&gt;0),_xlpm.allRows,_xlfn.VSTACK(_xlpm.visRows,23,24),_xlpm.pos,ROW()-5,IF(_xlpm.pos&gt;ROWS(_xlpm.allRows),"",_xlfn.LET(_xlpm.rn,INDEX(_xlpm.allRows,_xlpm.pos),_xlpm.val,INDEX($S:$S,_xlpm.rn),IF(INDEX($M:$M,_xlpm.rn)="Percentages",IF(_xlpm.val=0,"-",TEXT(_xlpm.val,"0%")),_xlpm.val))))</f>
        <v>0</v>
      </c>
      <c r="I11" s="1207" cm="1">
        <f t="array" ref="I11">_xlfn.LET(_xlpm.visRows,_xlfn._xlws.FILTER(ROW($M$6:$M$22),$N$6:$N$22&lt;&gt;0),_xlpm.allRows,_xlfn.VSTACK(_xlpm.visRows,23,24),_xlpm.pos,ROW()-5,IF(_xlpm.pos&gt;ROWS(_xlpm.allRows),"",_xlfn.LET(_xlpm.rn,INDEX(_xlpm.allRows,_xlpm.pos),_xlpm.val,INDEX($T:$T,_xlpm.rn),IF(INDEX($M:$M,_xlpm.rn)="Percentages",IF(_xlpm.val=0,"-",TEXT(_xlpm.val,"0%")),_xlpm.val))))</f>
        <v>1871935</v>
      </c>
      <c r="J11" s="1207" cm="1">
        <f t="array" ref="J11">_xlfn.LET(_xlpm.visRows,_xlfn._xlws.FILTER(ROW($M$6:$M$22),$N$6:$N$22&lt;&gt;0),_xlpm.allRows,_xlfn.VSTACK(_xlpm.visRows,23,24),_xlpm.pos,ROW()-5,IF(_xlpm.pos&gt;ROWS(_xlpm.allRows),"",_xlfn.LET(_xlpm.rn,INDEX(_xlpm.allRows,_xlpm.pos),_xlpm.val,INDEX($U:$U,_xlpm.rn),IF(INDEX($M:$M,_xlpm.rn)="Percentages",IF(_xlpm.val=0,"-",TEXT(_xlpm.val,"0%")),_xlpm.val))))</f>
        <v>0</v>
      </c>
      <c r="K11" s="1207" cm="1">
        <f t="array" ref="K11">_xlfn.LET(_xlpm.visRows,_xlfn._xlws.FILTER(ROW($M$6:$M$22),$N$6:$N$22&lt;&gt;0),_xlpm.allRows,_xlfn.VSTACK(_xlpm.visRows,23,24),_xlpm.pos,ROW()-5,IF(_xlpm.pos&gt;ROWS(_xlpm.allRows),"",_xlfn.LET(_xlpm.rn,INDEX(_xlpm.allRows,_xlpm.pos),_xlpm.val,INDEX($V:$V,_xlpm.rn),IF(INDEX($M:$M,_xlpm.rn)="Percentages",IF(_xlpm.val=0,"-",TEXT(_xlpm.val,"0%")),_xlpm.val))))</f>
        <v>0</v>
      </c>
      <c r="M11" s="673" t="str">
        <f>'BDO Prequal'!B43</f>
        <v>Inventory</v>
      </c>
      <c r="N11" s="674">
        <f>'BDO Prequal'!C43</f>
        <v>0</v>
      </c>
      <c r="O11" s="675">
        <f>'BDO Prequal'!D43</f>
        <v>0</v>
      </c>
      <c r="P11" s="676">
        <f>'BDO Prequal'!E43</f>
        <v>0</v>
      </c>
      <c r="Q11" s="676">
        <f>'BDO Prequal'!F43</f>
        <v>0</v>
      </c>
      <c r="R11" s="676">
        <f>'BDO Prequal'!G43</f>
        <v>0</v>
      </c>
      <c r="S11" s="676">
        <f>'BDO Prequal'!H43</f>
        <v>0</v>
      </c>
      <c r="T11" s="676">
        <f>'BDO Prequal'!I43</f>
        <v>0</v>
      </c>
      <c r="U11" s="676">
        <f>'BDO Prequal'!J43</f>
        <v>0</v>
      </c>
      <c r="V11" s="677">
        <f>'BDO Prequal'!K43</f>
        <v>0</v>
      </c>
    </row>
    <row r="12" spans="2:22" ht="13.8" x14ac:dyDescent="0.3">
      <c r="B12" s="1204" t="str" cm="1">
        <f t="array" ref="B12">_xlfn.LET(_xlpm.visRows,_xlfn._xlws.FILTER(ROW($M$6:$M$22),$N$6:$N$22&lt;&gt;0),_xlpm.allRows,_xlfn.VSTACK(_xlpm.visRows,23,24),_xlpm.pos,ROW()-5,IF(_xlpm.pos&lt;=ROWS(_xlpm.allRows),INDEX($M:$M,INDEX(_xlpm.allRows,_xlpm.pos)),""))</f>
        <v>Construction Contingency - 10%</v>
      </c>
      <c r="C12" s="1205" cm="1">
        <f t="array" ref="C12">_xlfn.LET(_xlpm.visRows,_xlfn._xlws.FILTER(ROW($M$6:$M$22),$N$6:$N$22&lt;&gt;0),_xlpm.allRows,_xlfn.VSTACK(_xlpm.visRows,23,24),_xlpm.pos,ROW()-5,IF(_xlpm.pos&gt;ROWS(_xlpm.allRows),"",_xlfn.LET(_xlpm.rn,INDEX(_xlpm.allRows,_xlpm.pos),_xlpm.val,INDEX($N:$N,_xlpm.rn),IF(INDEX($M:$M,_xlpm.rn)="Percentages",IF(_xlpm.val=0,"-",TEXT(_xlpm.val,"0%")),_xlpm.val))))</f>
        <v>222807</v>
      </c>
      <c r="D12" s="1206" cm="1">
        <f t="array" ref="D12">_xlfn.LET(_xlpm.visRows,_xlfn._xlws.FILTER(ROW($M$6:$M$22),$N$6:$N$22&lt;&gt;0),_xlpm.allRows,_xlfn.VSTACK(_xlpm.visRows,23,24),_xlpm.pos,ROW()-5,IF(_xlpm.pos&gt;ROWS(_xlpm.allRows),"",_xlfn.LET(_xlpm.rn,INDEX(_xlpm.allRows,_xlpm.pos),_xlpm.val,INDEX($O:$O,_xlpm.rn),IF(INDEX($M:$M,_xlpm.rn)="Percentages",IF(_xlpm.val=0,"-",TEXT(_xlpm.val,"0%")),_xlpm.val))))</f>
        <v>0</v>
      </c>
      <c r="E12" s="1207" cm="1">
        <f t="array" ref="E12">_xlfn.LET(_xlpm.visRows,_xlfn._xlws.FILTER(ROW($M$6:$M$22),$N$6:$N$22&lt;&gt;0),_xlpm.allRows,_xlfn.VSTACK(_xlpm.visRows,23,24),_xlpm.pos,ROW()-5,IF(_xlpm.pos&gt;ROWS(_xlpm.allRows),"",_xlfn.LET(_xlpm.rn,INDEX(_xlpm.allRows,_xlpm.pos),_xlpm.val,INDEX($P:$P,_xlpm.rn),IF(INDEX($M:$M,_xlpm.rn)="Percentages",IF(_xlpm.val=0,"-",TEXT(_xlpm.val,"0%")),_xlpm.val))))</f>
        <v>222807</v>
      </c>
      <c r="F12" s="1208" cm="1">
        <f t="array" ref="F12">_xlfn.LET(_xlpm.visRows,_xlfn._xlws.FILTER(ROW($M$6:$M$22),$N$6:$N$22&lt;&gt;0),_xlpm.allRows,_xlfn.VSTACK(_xlpm.visRows,23,24),_xlpm.pos,ROW()-5,IF(_xlpm.pos&gt;ROWS(_xlpm.allRows),"",_xlfn.LET(_xlpm.rn,INDEX(_xlpm.allRows,_xlpm.pos),_xlpm.val,INDEX($Q:$Q,_xlpm.rn),IF(INDEX($M:$M,_xlpm.rn)="Percentages",IF(_xlpm.val=0,"-",TEXT(_xlpm.val,"0%")),_xlpm.val))))</f>
        <v>0</v>
      </c>
      <c r="G12" s="1207" cm="1">
        <f t="array" ref="G12">_xlfn.LET(_xlpm.visRows,_xlfn._xlws.FILTER(ROW($M$6:$M$22),$N$6:$N$22&lt;&gt;0),_xlpm.allRows,_xlfn.VSTACK(_xlpm.visRows,23,24),_xlpm.pos,ROW()-5,IF(_xlpm.pos&gt;ROWS(_xlpm.allRows),"",_xlfn.LET(_xlpm.rn,INDEX(_xlpm.allRows,_xlpm.pos),_xlpm.val,INDEX($R:$R,_xlpm.rn),IF(INDEX($M:$M,_xlpm.rn)="Percentages",IF(_xlpm.val=0,"-",TEXT(_xlpm.val,"0%")),_xlpm.val))))</f>
        <v>0</v>
      </c>
      <c r="H12" s="1207" cm="1">
        <f t="array" ref="H12">_xlfn.LET(_xlpm.visRows,_xlfn._xlws.FILTER(ROW($M$6:$M$22),$N$6:$N$22&lt;&gt;0),_xlpm.allRows,_xlfn.VSTACK(_xlpm.visRows,23,24),_xlpm.pos,ROW()-5,IF(_xlpm.pos&gt;ROWS(_xlpm.allRows),"",_xlfn.LET(_xlpm.rn,INDEX(_xlpm.allRows,_xlpm.pos),_xlpm.val,INDEX($S:$S,_xlpm.rn),IF(INDEX($M:$M,_xlpm.rn)="Percentages",IF(_xlpm.val=0,"-",TEXT(_xlpm.val,"0%")),_xlpm.val))))</f>
        <v>0</v>
      </c>
      <c r="I12" s="1207" cm="1">
        <f t="array" ref="I12">_xlfn.LET(_xlpm.visRows,_xlfn._xlws.FILTER(ROW($M$6:$M$22),$N$6:$N$22&lt;&gt;0),_xlpm.allRows,_xlfn.VSTACK(_xlpm.visRows,23,24),_xlpm.pos,ROW()-5,IF(_xlpm.pos&gt;ROWS(_xlpm.allRows),"",_xlfn.LET(_xlpm.rn,INDEX(_xlpm.allRows,_xlpm.pos),_xlpm.val,INDEX($T:$T,_xlpm.rn),IF(INDEX($M:$M,_xlpm.rn)="Percentages",IF(_xlpm.val=0,"-",TEXT(_xlpm.val,"0%")),_xlpm.val))))</f>
        <v>0</v>
      </c>
      <c r="J12" s="1207" cm="1">
        <f t="array" ref="J12">_xlfn.LET(_xlpm.visRows,_xlfn._xlws.FILTER(ROW($M$6:$M$22),$N$6:$N$22&lt;&gt;0),_xlpm.allRows,_xlfn.VSTACK(_xlpm.visRows,23,24),_xlpm.pos,ROW()-5,IF(_xlpm.pos&gt;ROWS(_xlpm.allRows),"",_xlfn.LET(_xlpm.rn,INDEX(_xlpm.allRows,_xlpm.pos),_xlpm.val,INDEX($U:$U,_xlpm.rn),IF(INDEX($M:$M,_xlpm.rn)="Percentages",IF(_xlpm.val=0,"-",TEXT(_xlpm.val,"0%")),_xlpm.val))))</f>
        <v>0</v>
      </c>
      <c r="K12" s="1207" cm="1">
        <f t="array" ref="K12">_xlfn.LET(_xlpm.visRows,_xlfn._xlws.FILTER(ROW($M$6:$M$22),$N$6:$N$22&lt;&gt;0),_xlpm.allRows,_xlfn.VSTACK(_xlpm.visRows,23,24),_xlpm.pos,ROW()-5,IF(_xlpm.pos&gt;ROWS(_xlpm.allRows),"",_xlfn.LET(_xlpm.rn,INDEX(_xlpm.allRows,_xlpm.pos),_xlpm.val,INDEX($V:$V,_xlpm.rn),IF(INDEX($M:$M,_xlpm.rn)="Percentages",IF(_xlpm.val=0,"-",TEXT(_xlpm.val,"0%")),_xlpm.val))))</f>
        <v>0</v>
      </c>
      <c r="M12" s="673" t="str">
        <f>'BDO Prequal'!B44</f>
        <v>Working Capital</v>
      </c>
      <c r="N12" s="674">
        <f>'BDO Prequal'!C44</f>
        <v>573500</v>
      </c>
      <c r="O12" s="675">
        <f>'BDO Prequal'!D44</f>
        <v>573500</v>
      </c>
      <c r="P12" s="676">
        <f>'BDO Prequal'!E44</f>
        <v>0</v>
      </c>
      <c r="Q12" s="676">
        <f>'BDO Prequal'!F44</f>
        <v>0</v>
      </c>
      <c r="R12" s="676">
        <f>'BDO Prequal'!G44</f>
        <v>0</v>
      </c>
      <c r="S12" s="676">
        <f>'BDO Prequal'!H44</f>
        <v>0</v>
      </c>
      <c r="T12" s="676">
        <f>'BDO Prequal'!I44</f>
        <v>0</v>
      </c>
      <c r="U12" s="676">
        <f>'BDO Prequal'!J44</f>
        <v>0</v>
      </c>
      <c r="V12" s="677">
        <f>'BDO Prequal'!K44</f>
        <v>0</v>
      </c>
    </row>
    <row r="13" spans="2:22" ht="13.8" x14ac:dyDescent="0.3">
      <c r="B13" s="1209" t="str" cm="1">
        <f t="array" ref="B13">_xlfn.LET(_xlpm.visRows,_xlfn._xlws.FILTER(ROW($M$6:$M$22),$N$6:$N$22&lt;&gt;0),_xlpm.allRows,_xlfn.VSTACK(_xlpm.visRows,23,24),_xlpm.pos,ROW()-5,IF(_xlpm.pos&lt;=ROWS(_xlpm.allRows),INDEX($M:$M,INDEX(_xlpm.allRows,_xlpm.pos)),""))</f>
        <v>Construction Soft Costs</v>
      </c>
      <c r="C13" s="1210" cm="1">
        <f t="array" ref="C13">_xlfn.LET(_xlpm.visRows,_xlfn._xlws.FILTER(ROW($M$6:$M$22),$N$6:$N$22&lt;&gt;0),_xlpm.allRows,_xlfn.VSTACK(_xlpm.visRows,23,24),_xlpm.pos,ROW()-5,IF(_xlpm.pos&gt;ROWS(_xlpm.allRows),"",_xlfn.LET(_xlpm.rn,INDEX(_xlpm.allRows,_xlpm.pos),_xlpm.val,INDEX($N:$N,_xlpm.rn),IF(INDEX($M:$M,_xlpm.rn)="Percentages",IF(_xlpm.val=0,"-",TEXT(_xlpm.val,"0%")),_xlpm.val))))</f>
        <v>173800</v>
      </c>
      <c r="D13" s="1211" cm="1">
        <f t="array" ref="D13">_xlfn.LET(_xlpm.visRows,_xlfn._xlws.FILTER(ROW($M$6:$M$22),$N$6:$N$22&lt;&gt;0),_xlpm.allRows,_xlfn.VSTACK(_xlpm.visRows,23,24),_xlpm.pos,ROW()-5,IF(_xlpm.pos&gt;ROWS(_xlpm.allRows),"",_xlfn.LET(_xlpm.rn,INDEX(_xlpm.allRows,_xlpm.pos),_xlpm.val,INDEX($O:$O,_xlpm.rn),IF(INDEX($M:$M,_xlpm.rn)="Percentages",IF(_xlpm.val=0,"-",TEXT(_xlpm.val,"0%")),_xlpm.val))))</f>
        <v>53800</v>
      </c>
      <c r="E13" s="1212" cm="1">
        <f t="array" ref="E13">_xlfn.LET(_xlpm.visRows,_xlfn._xlws.FILTER(ROW($M$6:$M$22),$N$6:$N$22&lt;&gt;0),_xlpm.allRows,_xlfn.VSTACK(_xlpm.visRows,23,24),_xlpm.pos,ROW()-5,IF(_xlpm.pos&gt;ROWS(_xlpm.allRows),"",_xlfn.LET(_xlpm.rn,INDEX(_xlpm.allRows,_xlpm.pos),_xlpm.val,INDEX($P:$P,_xlpm.rn),IF(INDEX($M:$M,_xlpm.rn)="Percentages",IF(_xlpm.val=0,"-",TEXT(_xlpm.val,"0%")),_xlpm.val))))</f>
        <v>0</v>
      </c>
      <c r="F13" s="1208" cm="1">
        <f t="array" ref="F13">_xlfn.LET(_xlpm.visRows,_xlfn._xlws.FILTER(ROW($M$6:$M$22),$N$6:$N$22&lt;&gt;0),_xlpm.allRows,_xlfn.VSTACK(_xlpm.visRows,23,24),_xlpm.pos,ROW()-5,IF(_xlpm.pos&gt;ROWS(_xlpm.allRows),"",_xlfn.LET(_xlpm.rn,INDEX(_xlpm.allRows,_xlpm.pos),_xlpm.val,INDEX($Q:$Q,_xlpm.rn),IF(INDEX($M:$M,_xlpm.rn)="Percentages",IF(_xlpm.val=0,"-",TEXT(_xlpm.val,"0%")),_xlpm.val))))</f>
        <v>120000</v>
      </c>
      <c r="G13" s="1207" cm="1">
        <f t="array" ref="G13">_xlfn.LET(_xlpm.visRows,_xlfn._xlws.FILTER(ROW($M$6:$M$22),$N$6:$N$22&lt;&gt;0),_xlpm.allRows,_xlfn.VSTACK(_xlpm.visRows,23,24),_xlpm.pos,ROW()-5,IF(_xlpm.pos&gt;ROWS(_xlpm.allRows),"",_xlfn.LET(_xlpm.rn,INDEX(_xlpm.allRows,_xlpm.pos),_xlpm.val,INDEX($R:$R,_xlpm.rn),IF(INDEX($M:$M,_xlpm.rn)="Percentages",IF(_xlpm.val=0,"-",TEXT(_xlpm.val,"0%")),_xlpm.val))))</f>
        <v>0</v>
      </c>
      <c r="H13" s="1207" cm="1">
        <f t="array" ref="H13">_xlfn.LET(_xlpm.visRows,_xlfn._xlws.FILTER(ROW($M$6:$M$22),$N$6:$N$22&lt;&gt;0),_xlpm.allRows,_xlfn.VSTACK(_xlpm.visRows,23,24),_xlpm.pos,ROW()-5,IF(_xlpm.pos&gt;ROWS(_xlpm.allRows),"",_xlfn.LET(_xlpm.rn,INDEX(_xlpm.allRows,_xlpm.pos),_xlpm.val,INDEX($S:$S,_xlpm.rn),IF(INDEX($M:$M,_xlpm.rn)="Percentages",IF(_xlpm.val=0,"-",TEXT(_xlpm.val,"0%")),_xlpm.val))))</f>
        <v>0</v>
      </c>
      <c r="I13" s="1207" cm="1">
        <f t="array" ref="I13">_xlfn.LET(_xlpm.visRows,_xlfn._xlws.FILTER(ROW($M$6:$M$22),$N$6:$N$22&lt;&gt;0),_xlpm.allRows,_xlfn.VSTACK(_xlpm.visRows,23,24),_xlpm.pos,ROW()-5,IF(_xlpm.pos&gt;ROWS(_xlpm.allRows),"",_xlfn.LET(_xlpm.rn,INDEX(_xlpm.allRows,_xlpm.pos),_xlpm.val,INDEX($T:$T,_xlpm.rn),IF(INDEX($M:$M,_xlpm.rn)="Percentages",IF(_xlpm.val=0,"-",TEXT(_xlpm.val,"0%")),_xlpm.val))))</f>
        <v>0</v>
      </c>
      <c r="J13" s="1207" cm="1">
        <f t="array" ref="J13">_xlfn.LET(_xlpm.visRows,_xlfn._xlws.FILTER(ROW($M$6:$M$22),$N$6:$N$22&lt;&gt;0),_xlpm.allRows,_xlfn.VSTACK(_xlpm.visRows,23,24),_xlpm.pos,ROW()-5,IF(_xlpm.pos&gt;ROWS(_xlpm.allRows),"",_xlfn.LET(_xlpm.rn,INDEX(_xlpm.allRows,_xlpm.pos),_xlpm.val,INDEX($U:$U,_xlpm.rn),IF(INDEX($M:$M,_xlpm.rn)="Percentages",IF(_xlpm.val=0,"-",TEXT(_xlpm.val,"0%")),_xlpm.val))))</f>
        <v>0</v>
      </c>
      <c r="K13" s="1207" cm="1">
        <f t="array" ref="K13">_xlfn.LET(_xlpm.visRows,_xlfn._xlws.FILTER(ROW($M$6:$M$22),$N$6:$N$22&lt;&gt;0),_xlpm.allRows,_xlfn.VSTACK(_xlpm.visRows,23,24),_xlpm.pos,ROW()-5,IF(_xlpm.pos&gt;ROWS(_xlpm.allRows),"",_xlfn.LET(_xlpm.rn,INDEX(_xlpm.allRows,_xlpm.pos),_xlpm.val,INDEX($V:$V,_xlpm.rn),IF(INDEX($M:$M,_xlpm.rn)="Percentages",IF(_xlpm.val=0,"-",TEXT(_xlpm.val,"0%")),_xlpm.val))))</f>
        <v>0</v>
      </c>
      <c r="M13" s="673" t="str">
        <f>'BDO Prequal'!B45</f>
        <v>Working Capital - Pre Opening</v>
      </c>
      <c r="N13" s="674">
        <f>'BDO Prequal'!C45</f>
        <v>77000</v>
      </c>
      <c r="O13" s="675">
        <f>'BDO Prequal'!D45</f>
        <v>77000</v>
      </c>
      <c r="P13" s="676">
        <f>'BDO Prequal'!E45</f>
        <v>0</v>
      </c>
      <c r="Q13" s="676">
        <f>'BDO Prequal'!F45</f>
        <v>0</v>
      </c>
      <c r="R13" s="676">
        <f>'BDO Prequal'!G45</f>
        <v>0</v>
      </c>
      <c r="S13" s="676">
        <f>'BDO Prequal'!H45</f>
        <v>0</v>
      </c>
      <c r="T13" s="676">
        <f>'BDO Prequal'!I45</f>
        <v>0</v>
      </c>
      <c r="U13" s="676">
        <f>'BDO Prequal'!J45</f>
        <v>0</v>
      </c>
      <c r="V13" s="677">
        <f>'BDO Prequal'!K45</f>
        <v>0</v>
      </c>
    </row>
    <row r="14" spans="2:22" ht="13.8" x14ac:dyDescent="0.3">
      <c r="B14" s="1204" t="str" cm="1">
        <f t="array" ref="B14">_xlfn.LET(_xlpm.visRows,_xlfn._xlws.FILTER(ROW($M$6:$M$22),$N$6:$N$22&lt;&gt;0),_xlpm.allRows,_xlfn.VSTACK(_xlpm.visRows,23,24),_xlpm.pos,ROW()-5,IF(_xlpm.pos&lt;=ROWS(_xlpm.allRows),INDEX($M:$M,INDEX(_xlpm.allRows,_xlpm.pos)),""))</f>
        <v>Closing Costs</v>
      </c>
      <c r="C14" s="1205" cm="1">
        <f t="array" ref="C14">_xlfn.LET(_xlpm.visRows,_xlfn._xlws.FILTER(ROW($M$6:$M$22),$N$6:$N$22&lt;&gt;0),_xlpm.allRows,_xlfn.VSTACK(_xlpm.visRows,23,24),_xlpm.pos,ROW()-5,IF(_xlpm.pos&gt;ROWS(_xlpm.allRows),"",_xlfn.LET(_xlpm.rn,INDEX(_xlpm.allRows,_xlpm.pos),_xlpm.val,INDEX($N:$N,_xlpm.rn),IF(INDEX($M:$M,_xlpm.rn)="Percentages",IF(_xlpm.val=0,"-",TEXT(_xlpm.val,"0%")),_xlpm.val))))</f>
        <v>52000</v>
      </c>
      <c r="D14" s="1206" cm="1">
        <f t="array" ref="D14">_xlfn.LET(_xlpm.visRows,_xlfn._xlws.FILTER(ROW($M$6:$M$22),$N$6:$N$22&lt;&gt;0),_xlpm.allRows,_xlfn.VSTACK(_xlpm.visRows,23,24),_xlpm.pos,ROW()-5,IF(_xlpm.pos&gt;ROWS(_xlpm.allRows),"",_xlfn.LET(_xlpm.rn,INDEX(_xlpm.allRows,_xlpm.pos),_xlpm.val,INDEX($O:$O,_xlpm.rn),IF(INDEX($M:$M,_xlpm.rn)="Percentages",IF(_xlpm.val=0,"-",TEXT(_xlpm.val,"0%")),_xlpm.val))))</f>
        <v>0</v>
      </c>
      <c r="E14" s="1207" cm="1">
        <f t="array" ref="E14">_xlfn.LET(_xlpm.visRows,_xlfn._xlws.FILTER(ROW($M$6:$M$22),$N$6:$N$22&lt;&gt;0),_xlpm.allRows,_xlfn.VSTACK(_xlpm.visRows,23,24),_xlpm.pos,ROW()-5,IF(_xlpm.pos&gt;ROWS(_xlpm.allRows),"",_xlfn.LET(_xlpm.rn,INDEX(_xlpm.allRows,_xlpm.pos),_xlpm.val,INDEX($P:$P,_xlpm.rn),IF(INDEX($M:$M,_xlpm.rn)="Percentages",IF(_xlpm.val=0,"-",TEXT(_xlpm.val,"0%")),_xlpm.val))))</f>
        <v>52000</v>
      </c>
      <c r="F14" s="1213" cm="1">
        <f t="array" ref="F14">_xlfn.LET(_xlpm.visRows,_xlfn._xlws.FILTER(ROW($M$6:$M$22),$N$6:$N$22&lt;&gt;0),_xlpm.allRows,_xlfn.VSTACK(_xlpm.visRows,23,24),_xlpm.pos,ROW()-5,IF(_xlpm.pos&gt;ROWS(_xlpm.allRows),"",_xlfn.LET(_xlpm.rn,INDEX(_xlpm.allRows,_xlpm.pos),_xlpm.val,INDEX($Q:$Q,_xlpm.rn),IF(INDEX($M:$M,_xlpm.rn)="Percentages",IF(_xlpm.val=0,"-",TEXT(_xlpm.val,"0%")),_xlpm.val))))</f>
        <v>0</v>
      </c>
      <c r="G14" s="1207" cm="1">
        <f t="array" ref="G14">_xlfn.LET(_xlpm.visRows,_xlfn._xlws.FILTER(ROW($M$6:$M$22),$N$6:$N$22&lt;&gt;0),_xlpm.allRows,_xlfn.VSTACK(_xlpm.visRows,23,24),_xlpm.pos,ROW()-5,IF(_xlpm.pos&gt;ROWS(_xlpm.allRows),"",_xlfn.LET(_xlpm.rn,INDEX(_xlpm.allRows,_xlpm.pos),_xlpm.val,INDEX($R:$R,_xlpm.rn),IF(INDEX($M:$M,_xlpm.rn)="Percentages",IF(_xlpm.val=0,"-",TEXT(_xlpm.val,"0%")),_xlpm.val))))</f>
        <v>0</v>
      </c>
      <c r="H14" s="1207" cm="1">
        <f t="array" ref="H14">_xlfn.LET(_xlpm.visRows,_xlfn._xlws.FILTER(ROW($M$6:$M$22),$N$6:$N$22&lt;&gt;0),_xlpm.allRows,_xlfn.VSTACK(_xlpm.visRows,23,24),_xlpm.pos,ROW()-5,IF(_xlpm.pos&gt;ROWS(_xlpm.allRows),"",_xlfn.LET(_xlpm.rn,INDEX(_xlpm.allRows,_xlpm.pos),_xlpm.val,INDEX($S:$S,_xlpm.rn),IF(INDEX($M:$M,_xlpm.rn)="Percentages",IF(_xlpm.val=0,"-",TEXT(_xlpm.val,"0%")),_xlpm.val))))</f>
        <v>0</v>
      </c>
      <c r="I14" s="1207" cm="1">
        <f t="array" ref="I14">_xlfn.LET(_xlpm.visRows,_xlfn._xlws.FILTER(ROW($M$6:$M$22),$N$6:$N$22&lt;&gt;0),_xlpm.allRows,_xlfn.VSTACK(_xlpm.visRows,23,24),_xlpm.pos,ROW()-5,IF(_xlpm.pos&gt;ROWS(_xlpm.allRows),"",_xlfn.LET(_xlpm.rn,INDEX(_xlpm.allRows,_xlpm.pos),_xlpm.val,INDEX($T:$T,_xlpm.rn),IF(INDEX($M:$M,_xlpm.rn)="Percentages",IF(_xlpm.val=0,"-",TEXT(_xlpm.val,"0%")),_xlpm.val))))</f>
        <v>0</v>
      </c>
      <c r="J14" s="1207" cm="1">
        <f t="array" ref="J14">_xlfn.LET(_xlpm.visRows,_xlfn._xlws.FILTER(ROW($M$6:$M$22),$N$6:$N$22&lt;&gt;0),_xlpm.allRows,_xlfn.VSTACK(_xlpm.visRows,23,24),_xlpm.pos,ROW()-5,IF(_xlpm.pos&gt;ROWS(_xlpm.allRows),"",_xlfn.LET(_xlpm.rn,INDEX(_xlpm.allRows,_xlpm.pos),_xlpm.val,INDEX($U:$U,_xlpm.rn),IF(INDEX($M:$M,_xlpm.rn)="Percentages",IF(_xlpm.val=0,"-",TEXT(_xlpm.val,"0%")),_xlpm.val))))</f>
        <v>0</v>
      </c>
      <c r="K14" s="1207" cm="1">
        <f t="array" ref="K14">_xlfn.LET(_xlpm.visRows,_xlfn._xlws.FILTER(ROW($M$6:$M$22),$N$6:$N$22&lt;&gt;0),_xlpm.allRows,_xlfn.VSTACK(_xlpm.visRows,23,24),_xlpm.pos,ROW()-5,IF(_xlpm.pos&gt;ROWS(_xlpm.allRows),"",_xlfn.LET(_xlpm.rn,INDEX(_xlpm.allRows,_xlpm.pos),_xlpm.val,INDEX($V:$V,_xlpm.rn),IF(INDEX($M:$M,_xlpm.rn)="Percentages",IF(_xlpm.val=0,"-",TEXT(_xlpm.val,"0%")),_xlpm.val))))</f>
        <v>0</v>
      </c>
      <c r="M14" s="673" t="str">
        <f>'BDO Prequal'!B46</f>
        <v>Business Acquisition</v>
      </c>
      <c r="N14" s="674">
        <f>'BDO Prequal'!C46</f>
        <v>2219000</v>
      </c>
      <c r="O14" s="675">
        <f>'BDO Prequal'!D46</f>
        <v>225000</v>
      </c>
      <c r="P14" s="676">
        <f>'BDO Prequal'!E46</f>
        <v>324000</v>
      </c>
      <c r="Q14" s="676">
        <f>'BDO Prequal'!F46</f>
        <v>0</v>
      </c>
      <c r="R14" s="676">
        <f>'BDO Prequal'!G46</f>
        <v>1350000</v>
      </c>
      <c r="S14" s="676">
        <f>'BDO Prequal'!H46</f>
        <v>320000</v>
      </c>
      <c r="T14" s="676">
        <f>'BDO Prequal'!I46</f>
        <v>0</v>
      </c>
      <c r="U14" s="676">
        <f>'BDO Prequal'!J46</f>
        <v>0</v>
      </c>
      <c r="V14" s="677">
        <f>'BDO Prequal'!K46</f>
        <v>0</v>
      </c>
    </row>
    <row r="15" spans="2:22" ht="13.8" x14ac:dyDescent="0.3">
      <c r="B15" s="1214" t="str" cm="1">
        <f t="array" ref="B15">_xlfn.LET(_xlpm.visRows,_xlfn._xlws.FILTER(ROW($M$6:$M$22),$N$6:$N$22&lt;&gt;0),_xlpm.allRows,_xlfn.VSTACK(_xlpm.visRows,23,24),_xlpm.pos,ROW()-5,IF(_xlpm.pos&lt;=ROWS(_xlpm.allRows),INDEX($M:$M,INDEX(_xlpm.allRows,_xlpm.pos)),""))</f>
        <v>SBA Gty Fee</v>
      </c>
      <c r="C15" s="1215" cm="1">
        <f t="array" ref="C15">_xlfn.LET(_xlpm.visRows,_xlfn._xlws.FILTER(ROW($M$6:$M$22),$N$6:$N$22&lt;&gt;0),_xlpm.allRows,_xlfn.VSTACK(_xlpm.visRows,23,24),_xlpm.pos,ROW()-5,IF(_xlpm.pos&gt;ROWS(_xlpm.allRows),"",_xlfn.LET(_xlpm.rn,INDEX(_xlpm.allRows,_xlpm.pos),_xlpm.val,INDEX($N:$N,_xlpm.rn),IF(INDEX($M:$M,_xlpm.rn)="Percentages",IF(_xlpm.val=0,"-",TEXT(_xlpm.val,"0%")),_xlpm.val))))</f>
        <v>88533</v>
      </c>
      <c r="D15" s="1216" cm="1">
        <f t="array" ref="D15">_xlfn.LET(_xlpm.visRows,_xlfn._xlws.FILTER(ROW($M$6:$M$22),$N$6:$N$22&lt;&gt;0),_xlpm.allRows,_xlfn.VSTACK(_xlpm.visRows,23,24),_xlpm.pos,ROW()-5,IF(_xlpm.pos&gt;ROWS(_xlpm.allRows),"",_xlfn.LET(_xlpm.rn,INDEX(_xlpm.allRows,_xlpm.pos),_xlpm.val,INDEX($O:$O,_xlpm.rn),IF(INDEX($M:$M,_xlpm.rn)="Percentages",IF(_xlpm.val=0,"-",TEXT(_xlpm.val,"0%")),_xlpm.val))))</f>
        <v>0</v>
      </c>
      <c r="E15" s="1217" cm="1">
        <f t="array" ref="E15">_xlfn.LET(_xlpm.visRows,_xlfn._xlws.FILTER(ROW($M$6:$M$22),$N$6:$N$22&lt;&gt;0),_xlpm.allRows,_xlfn.VSTACK(_xlpm.visRows,23,24),_xlpm.pos,ROW()-5,IF(_xlpm.pos&gt;ROWS(_xlpm.allRows),"",_xlfn.LET(_xlpm.rn,INDEX(_xlpm.allRows,_xlpm.pos),_xlpm.val,INDEX($P:$P,_xlpm.rn),IF(INDEX($M:$M,_xlpm.rn)="Percentages",IF(_xlpm.val=0,"-",TEXT(_xlpm.val,"0%")),_xlpm.val))))</f>
        <v>13784</v>
      </c>
      <c r="F15" s="1217" cm="1">
        <f t="array" ref="F15">_xlfn.LET(_xlpm.visRows,_xlfn._xlws.FILTER(ROW($M$6:$M$22),$N$6:$N$22&lt;&gt;0),_xlpm.allRows,_xlfn.VSTACK(_xlpm.visRows,23,24),_xlpm.pos,ROW()-5,IF(_xlpm.pos&gt;ROWS(_xlpm.allRows),"",_xlfn.LET(_xlpm.rn,INDEX(_xlpm.allRows,_xlpm.pos),_xlpm.val,INDEX($Q:$Q,_xlpm.rn),IF(INDEX($M:$M,_xlpm.rn)="Percentages",IF(_xlpm.val=0,"-",TEXT(_xlpm.val,"0%")),_xlpm.val))))</f>
        <v>74749</v>
      </c>
      <c r="G15" s="1207" cm="1">
        <f t="array" ref="G15">_xlfn.LET(_xlpm.visRows,_xlfn._xlws.FILTER(ROW($M$6:$M$22),$N$6:$N$22&lt;&gt;0),_xlpm.allRows,_xlfn.VSTACK(_xlpm.visRows,23,24),_xlpm.pos,ROW()-5,IF(_xlpm.pos&gt;ROWS(_xlpm.allRows),"",_xlfn.LET(_xlpm.rn,INDEX(_xlpm.allRows,_xlpm.pos),_xlpm.val,INDEX($R:$R,_xlpm.rn),IF(INDEX($M:$M,_xlpm.rn)="Percentages",IF(_xlpm.val=0,"-",TEXT(_xlpm.val,"0%")),_xlpm.val))))</f>
        <v>0</v>
      </c>
      <c r="H15" s="1207" cm="1">
        <f t="array" ref="H15">_xlfn.LET(_xlpm.visRows,_xlfn._xlws.FILTER(ROW($M$6:$M$22),$N$6:$N$22&lt;&gt;0),_xlpm.allRows,_xlfn.VSTACK(_xlpm.visRows,23,24),_xlpm.pos,ROW()-5,IF(_xlpm.pos&gt;ROWS(_xlpm.allRows),"",_xlfn.LET(_xlpm.rn,INDEX(_xlpm.allRows,_xlpm.pos),_xlpm.val,INDEX($S:$S,_xlpm.rn),IF(INDEX($M:$M,_xlpm.rn)="Percentages",IF(_xlpm.val=0,"-",TEXT(_xlpm.val,"0%")),_xlpm.val))))</f>
        <v>0</v>
      </c>
      <c r="I15" s="1207" cm="1">
        <f t="array" ref="I15">_xlfn.LET(_xlpm.visRows,_xlfn._xlws.FILTER(ROW($M$6:$M$22),$N$6:$N$22&lt;&gt;0),_xlpm.allRows,_xlfn.VSTACK(_xlpm.visRows,23,24),_xlpm.pos,ROW()-5,IF(_xlpm.pos&gt;ROWS(_xlpm.allRows),"",_xlfn.LET(_xlpm.rn,INDEX(_xlpm.allRows,_xlpm.pos),_xlpm.val,INDEX($T:$T,_xlpm.rn),IF(INDEX($M:$M,_xlpm.rn)="Percentages",IF(_xlpm.val=0,"-",TEXT(_xlpm.val,"0%")),_xlpm.val))))</f>
        <v>0</v>
      </c>
      <c r="J15" s="1207" cm="1">
        <f t="array" ref="J15">_xlfn.LET(_xlpm.visRows,_xlfn._xlws.FILTER(ROW($M$6:$M$22),$N$6:$N$22&lt;&gt;0),_xlpm.allRows,_xlfn.VSTACK(_xlpm.visRows,23,24),_xlpm.pos,ROW()-5,IF(_xlpm.pos&gt;ROWS(_xlpm.allRows),"",_xlfn.LET(_xlpm.rn,INDEX(_xlpm.allRows,_xlpm.pos),_xlpm.val,INDEX($U:$U,_xlpm.rn),IF(INDEX($M:$M,_xlpm.rn)="Percentages",IF(_xlpm.val=0,"-",TEXT(_xlpm.val,"0%")),_xlpm.val))))</f>
        <v>0</v>
      </c>
      <c r="K15" s="1207" cm="1">
        <f t="array" ref="K15">_xlfn.LET(_xlpm.visRows,_xlfn._xlws.FILTER(ROW($M$6:$M$22),$N$6:$N$22&lt;&gt;0),_xlpm.allRows,_xlfn.VSTACK(_xlpm.visRows,23,24),_xlpm.pos,ROW()-5,IF(_xlpm.pos&gt;ROWS(_xlpm.allRows),"",_xlfn.LET(_xlpm.rn,INDEX(_xlpm.allRows,_xlpm.pos),_xlpm.val,INDEX($V:$V,_xlpm.rn),IF(INDEX($M:$M,_xlpm.rn)="Percentages",IF(_xlpm.val=0,"-",TEXT(_xlpm.val,"0%")),_xlpm.val))))</f>
        <v>0</v>
      </c>
      <c r="M15" s="673" t="str">
        <f>'BDO Prequal'!B47</f>
        <v>Franchise Fees</v>
      </c>
      <c r="N15" s="674">
        <f>'BDO Prequal'!C47</f>
        <v>0</v>
      </c>
      <c r="O15" s="675">
        <f>'BDO Prequal'!D47</f>
        <v>0</v>
      </c>
      <c r="P15" s="676">
        <f>'BDO Prequal'!E47</f>
        <v>0</v>
      </c>
      <c r="Q15" s="676">
        <f>'BDO Prequal'!F47</f>
        <v>0</v>
      </c>
      <c r="R15" s="676">
        <f>'BDO Prequal'!G47</f>
        <v>0</v>
      </c>
      <c r="S15" s="676">
        <f>'BDO Prequal'!H47</f>
        <v>0</v>
      </c>
      <c r="T15" s="676">
        <f>'BDO Prequal'!I47</f>
        <v>0</v>
      </c>
      <c r="U15" s="676">
        <f>'BDO Prequal'!J47</f>
        <v>0</v>
      </c>
      <c r="V15" s="677">
        <f>'BDO Prequal'!K47</f>
        <v>0</v>
      </c>
    </row>
    <row r="16" spans="2:22" ht="13.8" x14ac:dyDescent="0.3">
      <c r="B16" s="1204" t="str" cm="1">
        <f t="array" ref="B16">_xlfn.LET(_xlpm.visRows,_xlfn._xlws.FILTER(ROW($M$6:$M$22),$N$6:$N$22&lt;&gt;0),_xlpm.allRows,_xlfn.VSTACK(_xlpm.visRows,23,24),_xlpm.pos,ROW()-5,IF(_xlpm.pos&lt;=ROWS(_xlpm.allRows),INDEX($M:$M,INDEX(_xlpm.allRows,_xlpm.pos)),""))</f>
        <v>Project Total</v>
      </c>
      <c r="C16" s="1205" cm="1">
        <f t="array" ref="C16">_xlfn.LET(_xlpm.visRows,_xlfn._xlws.FILTER(ROW($M$6:$M$22),$N$6:$N$22&lt;&gt;0),_xlpm.allRows,_xlfn.VSTACK(_xlpm.visRows,23,24),_xlpm.pos,ROW()-5,IF(_xlpm.pos&gt;ROWS(_xlpm.allRows),"",_xlfn.LET(_xlpm.rn,INDEX(_xlpm.allRows,_xlpm.pos),_xlpm.val,INDEX($N:$N,_xlpm.rn),IF(INDEX($M:$M,_xlpm.rn)="Percentages",IF(_xlpm.val=0,"-",TEXT(_xlpm.val,"0%")),_xlpm.val))))</f>
        <v>8472925</v>
      </c>
      <c r="D16" s="1206" cm="1">
        <f t="array" ref="D16">_xlfn.LET(_xlpm.visRows,_xlfn._xlws.FILTER(ROW($M$6:$M$22),$N$6:$N$22&lt;&gt;0),_xlpm.allRows,_xlfn.VSTACK(_xlpm.visRows,23,24),_xlpm.pos,ROW()-5,IF(_xlpm.pos&gt;ROWS(_xlpm.allRows),"",_xlfn.LET(_xlpm.rn,INDEX(_xlpm.allRows,_xlpm.pos),_xlpm.val,INDEX($O:$O,_xlpm.rn),IF(INDEX($M:$M,_xlpm.rn)="Percentages",IF(_xlpm.val=0,"-",TEXT(_xlpm.val,"0%")),_xlpm.val))))</f>
        <v>1571792</v>
      </c>
      <c r="E16" s="1207" cm="1">
        <f t="array" ref="E16">_xlfn.LET(_xlpm.visRows,_xlfn._xlws.FILTER(ROW($M$6:$M$22),$N$6:$N$22&lt;&gt;0),_xlpm.allRows,_xlfn.VSTACK(_xlpm.visRows,23,24),_xlpm.pos,ROW()-5,IF(_xlpm.pos&gt;ROWS(_xlpm.allRows),"",_xlfn.LET(_xlpm.rn,INDEX(_xlpm.allRows,_xlpm.pos),_xlpm.val,INDEX($P:$P,_xlpm.rn),IF(INDEX($M:$M,_xlpm.rn)="Percentages",IF(_xlpm.val=0,"-",TEXT(_xlpm.val,"0%")),_xlpm.val))))</f>
        <v>612591</v>
      </c>
      <c r="F16" s="1207" cm="1">
        <f t="array" ref="F16">_xlfn.LET(_xlpm.visRows,_xlfn._xlws.FILTER(ROW($M$6:$M$22),$N$6:$N$22&lt;&gt;0),_xlpm.allRows,_xlfn.VSTACK(_xlpm.visRows,23,24),_xlpm.pos,ROW()-5,IF(_xlpm.pos&gt;ROWS(_xlpm.allRows),"",_xlfn.LET(_xlpm.rn,INDEX(_xlpm.allRows,_xlpm.pos),_xlpm.val,INDEX($Q:$Q,_xlpm.rn),IF(INDEX($M:$M,_xlpm.rn)="Percentages",IF(_xlpm.val=0,"-",TEXT(_xlpm.val,"0%")),_xlpm.val))))</f>
        <v>2746607</v>
      </c>
      <c r="G16" s="1207" cm="1">
        <f t="array" ref="G16">_xlfn.LET(_xlpm.visRows,_xlfn._xlws.FILTER(ROW($M$6:$M$22),$N$6:$N$22&lt;&gt;0),_xlpm.allRows,_xlfn.VSTACK(_xlpm.visRows,23,24),_xlpm.pos,ROW()-5,IF(_xlpm.pos&gt;ROWS(_xlpm.allRows),"",_xlfn.LET(_xlpm.rn,INDEX(_xlpm.allRows,_xlpm.pos),_xlpm.val,INDEX($R:$R,_xlpm.rn),IF(INDEX($M:$M,_xlpm.rn)="Percentages",IF(_xlpm.val=0,"-",TEXT(_xlpm.val,"0%")),_xlpm.val))))</f>
        <v>1350000</v>
      </c>
      <c r="H16" s="1207" cm="1">
        <f t="array" ref="H16">_xlfn.LET(_xlpm.visRows,_xlfn._xlws.FILTER(ROW($M$6:$M$22),$N$6:$N$22&lt;&gt;0),_xlpm.allRows,_xlfn.VSTACK(_xlpm.visRows,23,24),_xlpm.pos,ROW()-5,IF(_xlpm.pos&gt;ROWS(_xlpm.allRows),"",_xlfn.LET(_xlpm.rn,INDEX(_xlpm.allRows,_xlpm.pos),_xlpm.val,INDEX($S:$S,_xlpm.rn),IF(INDEX($M:$M,_xlpm.rn)="Percentages",IF(_xlpm.val=0,"-",TEXT(_xlpm.val,"0%")),_xlpm.val))))</f>
        <v>320000</v>
      </c>
      <c r="I16" s="1207" cm="1">
        <f t="array" ref="I16">_xlfn.LET(_xlpm.visRows,_xlfn._xlws.FILTER(ROW($M$6:$M$22),$N$6:$N$22&lt;&gt;0),_xlpm.allRows,_xlfn.VSTACK(_xlpm.visRows,23,24),_xlpm.pos,ROW()-5,IF(_xlpm.pos&gt;ROWS(_xlpm.allRows),"",_xlfn.LET(_xlpm.rn,INDEX(_xlpm.allRows,_xlpm.pos),_xlpm.val,INDEX($T:$T,_xlpm.rn),IF(INDEX($M:$M,_xlpm.rn)="Percentages",IF(_xlpm.val=0,"-",TEXT(_xlpm.val,"0%")),_xlpm.val))))</f>
        <v>1871935</v>
      </c>
      <c r="J16" s="1207" cm="1">
        <f t="array" ref="J16">_xlfn.LET(_xlpm.visRows,_xlfn._xlws.FILTER(ROW($M$6:$M$22),$N$6:$N$22&lt;&gt;0),_xlpm.allRows,_xlfn.VSTACK(_xlpm.visRows,23,24),_xlpm.pos,ROW()-5,IF(_xlpm.pos&gt;ROWS(_xlpm.allRows),"",_xlfn.LET(_xlpm.rn,INDEX(_xlpm.allRows,_xlpm.pos),_xlpm.val,INDEX($U:$U,_xlpm.rn),IF(INDEX($M:$M,_xlpm.rn)="Percentages",IF(_xlpm.val=0,"-",TEXT(_xlpm.val,"0%")),_xlpm.val))))</f>
        <v>0</v>
      </c>
      <c r="K16" s="1207" cm="1">
        <f t="array" ref="K16">_xlfn.LET(_xlpm.visRows,_xlfn._xlws.FILTER(ROW($M$6:$M$22),$N$6:$N$22&lt;&gt;0),_xlpm.allRows,_xlfn.VSTACK(_xlpm.visRows,23,24),_xlpm.pos,ROW()-5,IF(_xlpm.pos&gt;ROWS(_xlpm.allRows),"",_xlfn.LET(_xlpm.rn,INDEX(_xlpm.allRows,_xlpm.pos),_xlpm.val,INDEX($V:$V,_xlpm.rn),IF(INDEX($M:$M,_xlpm.rn)="Percentages",IF(_xlpm.val=0,"-",TEXT(_xlpm.val,"0%")),_xlpm.val))))</f>
        <v>0</v>
      </c>
      <c r="M16" s="673" t="str">
        <f>'BDO Prequal'!B48</f>
        <v>Construction Hard Costs</v>
      </c>
      <c r="N16" s="674">
        <f>'BDO Prequal'!C48</f>
        <v>4100000</v>
      </c>
      <c r="O16" s="675">
        <f>'BDO Prequal'!D48</f>
        <v>276207</v>
      </c>
      <c r="P16" s="676">
        <f>'BDO Prequal'!E48</f>
        <v>0</v>
      </c>
      <c r="Q16" s="676">
        <f>'BDO Prequal'!F48</f>
        <v>1951858</v>
      </c>
      <c r="R16" s="676">
        <f>'BDO Prequal'!G48</f>
        <v>0</v>
      </c>
      <c r="S16" s="676">
        <f>'BDO Prequal'!H48</f>
        <v>0</v>
      </c>
      <c r="T16" s="676">
        <f>'BDO Prequal'!I48</f>
        <v>1871935</v>
      </c>
      <c r="U16" s="676">
        <f>'BDO Prequal'!J48</f>
        <v>0</v>
      </c>
      <c r="V16" s="677">
        <f>'BDO Prequal'!K48</f>
        <v>0</v>
      </c>
    </row>
    <row r="17" spans="2:22" ht="13.8" x14ac:dyDescent="0.3">
      <c r="B17" s="1204" t="str" cm="1">
        <f t="array" ref="B17">_xlfn.LET(_xlpm.visRows,_xlfn._xlws.FILTER(ROW($M$6:$M$22),$N$6:$N$22&lt;&gt;0),_xlpm.allRows,_xlfn.VSTACK(_xlpm.visRows,23,24),_xlpm.pos,ROW()-5,IF(_xlpm.pos&lt;=ROWS(_xlpm.allRows),INDEX($M:$M,INDEX(_xlpm.allRows,_xlpm.pos)),""))</f>
        <v>Percentages</v>
      </c>
      <c r="C17" s="1205" t="str" cm="1">
        <f t="array" ref="C17">_xlfn.LET(_xlpm.visRows,_xlfn._xlws.FILTER(ROW($M$6:$M$22),$N$6:$N$22&lt;&gt;0),_xlpm.allRows,_xlfn.VSTACK(_xlpm.visRows,23,24),_xlpm.pos,ROW()-5,IF(_xlpm.pos&gt;ROWS(_xlpm.allRows),"",_xlfn.LET(_xlpm.rn,INDEX(_xlpm.allRows,_xlpm.pos),_xlpm.val,INDEX($N:$N,_xlpm.rn),IF(INDEX($M:$M,_xlpm.rn)="Percentages",IF(_xlpm.val=0,"-",TEXT(_xlpm.val,"0%")),_xlpm.val))))</f>
        <v>100%</v>
      </c>
      <c r="D17" s="1206" t="str" cm="1">
        <f t="array" ref="D17">_xlfn.LET(_xlpm.visRows,_xlfn._xlws.FILTER(ROW($M$6:$M$22),$N$6:$N$22&lt;&gt;0),_xlpm.allRows,_xlfn.VSTACK(_xlpm.visRows,23,24),_xlpm.pos,ROW()-5,IF(_xlpm.pos&gt;ROWS(_xlpm.allRows),"",_xlfn.LET(_xlpm.rn,INDEX(_xlpm.allRows,_xlpm.pos),_xlpm.val,INDEX($O:$O,_xlpm.rn),IF(INDEX($M:$M,_xlpm.rn)="Percentages",IF(_xlpm.val=0,"-",TEXT(_xlpm.val,"0%")),_xlpm.val))))</f>
        <v>19%</v>
      </c>
      <c r="E17" s="1207" t="str" cm="1">
        <f t="array" ref="E17">_xlfn.LET(_xlpm.visRows,_xlfn._xlws.FILTER(ROW($M$6:$M$22),$N$6:$N$22&lt;&gt;0),_xlpm.allRows,_xlfn.VSTACK(_xlpm.visRows,23,24),_xlpm.pos,ROW()-5,IF(_xlpm.pos&gt;ROWS(_xlpm.allRows),"",_xlfn.LET(_xlpm.rn,INDEX(_xlpm.allRows,_xlpm.pos),_xlpm.val,INDEX($P:$P,_xlpm.rn),IF(INDEX($M:$M,_xlpm.rn)="Percentages",IF(_xlpm.val=0,"-",TEXT(_xlpm.val,"0%")),_xlpm.val))))</f>
        <v>7%</v>
      </c>
      <c r="F17" s="1207" t="str" cm="1">
        <f t="array" ref="F17">_xlfn.LET(_xlpm.visRows,_xlfn._xlws.FILTER(ROW($M$6:$M$22),$N$6:$N$22&lt;&gt;0),_xlpm.allRows,_xlfn.VSTACK(_xlpm.visRows,23,24),_xlpm.pos,ROW()-5,IF(_xlpm.pos&gt;ROWS(_xlpm.allRows),"",_xlfn.LET(_xlpm.rn,INDEX(_xlpm.allRows,_xlpm.pos),_xlpm.val,INDEX($Q:$Q,_xlpm.rn),IF(INDEX($M:$M,_xlpm.rn)="Percentages",IF(_xlpm.val=0,"-",TEXT(_xlpm.val,"0%")),_xlpm.val))))</f>
        <v>32%</v>
      </c>
      <c r="G17" s="1207" t="str" cm="1">
        <f t="array" ref="G17">_xlfn.LET(_xlpm.visRows,_xlfn._xlws.FILTER(ROW($M$6:$M$22),$N$6:$N$22&lt;&gt;0),_xlpm.allRows,_xlfn.VSTACK(_xlpm.visRows,23,24),_xlpm.pos,ROW()-5,IF(_xlpm.pos&gt;ROWS(_xlpm.allRows),"",_xlfn.LET(_xlpm.rn,INDEX(_xlpm.allRows,_xlpm.pos),_xlpm.val,INDEX($R:$R,_xlpm.rn),IF(INDEX($M:$M,_xlpm.rn)="Percentages",IF(_xlpm.val=0,"-",TEXT(_xlpm.val,"0%")),_xlpm.val))))</f>
        <v>16%</v>
      </c>
      <c r="H17" s="1207" t="str" cm="1">
        <f t="array" ref="H17">_xlfn.LET(_xlpm.visRows,_xlfn._xlws.FILTER(ROW($M$6:$M$22),$N$6:$N$22&lt;&gt;0),_xlpm.allRows,_xlfn.VSTACK(_xlpm.visRows,23,24),_xlpm.pos,ROW()-5,IF(_xlpm.pos&gt;ROWS(_xlpm.allRows),"",_xlfn.LET(_xlpm.rn,INDEX(_xlpm.allRows,_xlpm.pos),_xlpm.val,INDEX($S:$S,_xlpm.rn),IF(INDEX($M:$M,_xlpm.rn)="Percentages",IF(_xlpm.val=0,"-",TEXT(_xlpm.val,"0%")),_xlpm.val))))</f>
        <v>4%</v>
      </c>
      <c r="I17" s="1207" t="str" cm="1">
        <f t="array" ref="I17">_xlfn.LET(_xlpm.visRows,_xlfn._xlws.FILTER(ROW($M$6:$M$22),$N$6:$N$22&lt;&gt;0),_xlpm.allRows,_xlfn.VSTACK(_xlpm.visRows,23,24),_xlpm.pos,ROW()-5,IF(_xlpm.pos&gt;ROWS(_xlpm.allRows),"",_xlfn.LET(_xlpm.rn,INDEX(_xlpm.allRows,_xlpm.pos),_xlpm.val,INDEX($T:$T,_xlpm.rn),IF(INDEX($M:$M,_xlpm.rn)="Percentages",IF(_xlpm.val=0,"-",TEXT(_xlpm.val,"0%")),_xlpm.val))))</f>
        <v>22%</v>
      </c>
      <c r="J17" s="1207" t="str" cm="1">
        <f t="array" ref="J17">_xlfn.LET(_xlpm.visRows,_xlfn._xlws.FILTER(ROW($M$6:$M$22),$N$6:$N$22&lt;&gt;0),_xlpm.allRows,_xlfn.VSTACK(_xlpm.visRows,23,24),_xlpm.pos,ROW()-5,IF(_xlpm.pos&gt;ROWS(_xlpm.allRows),"",_xlfn.LET(_xlpm.rn,INDEX(_xlpm.allRows,_xlpm.pos),_xlpm.val,INDEX($U:$U,_xlpm.rn),IF(INDEX($M:$M,_xlpm.rn)="Percentages",IF(_xlpm.val=0,"-",TEXT(_xlpm.val,"0%")),_xlpm.val))))</f>
        <v>-</v>
      </c>
      <c r="K17" s="1207" t="str" cm="1">
        <f t="array" ref="K17">_xlfn.LET(_xlpm.visRows,_xlfn._xlws.FILTER(ROW($M$6:$M$22),$N$6:$N$22&lt;&gt;0),_xlpm.allRows,_xlfn.VSTACK(_xlpm.visRows,23,24),_xlpm.pos,ROW()-5,IF(_xlpm.pos&gt;ROWS(_xlpm.allRows),"",_xlfn.LET(_xlpm.rn,INDEX(_xlpm.allRows,_xlpm.pos),_xlpm.val,INDEX($V:$V,_xlpm.rn),IF(INDEX($M:$M,_xlpm.rn)="Percentages",IF(_xlpm.val=0,"-",TEXT(_xlpm.val,"0%")),_xlpm.val))))</f>
        <v>-</v>
      </c>
      <c r="M17" s="673" t="str">
        <f>'BDO Prequal'!B49</f>
        <v>Construction Contingency - 10%</v>
      </c>
      <c r="N17" s="674">
        <f>'BDO Prequal'!C49</f>
        <v>222807</v>
      </c>
      <c r="O17" s="675">
        <f>'BDO Prequal'!D49</f>
        <v>0</v>
      </c>
      <c r="P17" s="676">
        <f>'BDO Prequal'!E49</f>
        <v>222807</v>
      </c>
      <c r="Q17" s="676">
        <f>'BDO Prequal'!F49</f>
        <v>0</v>
      </c>
      <c r="R17" s="676">
        <f>'BDO Prequal'!G49</f>
        <v>0</v>
      </c>
      <c r="S17" s="676">
        <f>'BDO Prequal'!H49</f>
        <v>0</v>
      </c>
      <c r="T17" s="676">
        <f>'BDO Prequal'!I49</f>
        <v>0</v>
      </c>
      <c r="U17" s="676">
        <f>'BDO Prequal'!J49</f>
        <v>0</v>
      </c>
      <c r="V17" s="677">
        <f>'BDO Prequal'!K49</f>
        <v>0</v>
      </c>
    </row>
    <row r="18" spans="2:22" ht="13.8" x14ac:dyDescent="0.3">
      <c r="B18" s="1204" t="str" cm="1">
        <f t="array" ref="B18">_xlfn.LET(_xlpm.visRows,_xlfn._xlws.FILTER(ROW($M$6:$M$22),$N$6:$N$22&lt;&gt;0),_xlpm.allRows,_xlfn.VSTACK(_xlpm.visRows,23,24),_xlpm.pos,ROW()-5,IF(_xlpm.pos&lt;=ROWS(_xlpm.allRows),INDEX($M:$M,INDEX(_xlpm.allRows,_xlpm.pos)),""))</f>
        <v/>
      </c>
      <c r="C18" s="1205" t="str" cm="1">
        <f t="array" ref="C18">_xlfn.LET(_xlpm.visRows,_xlfn._xlws.FILTER(ROW($M$6:$M$22),$N$6:$N$22&lt;&gt;0),_xlpm.allRows,_xlfn.VSTACK(_xlpm.visRows,23,24),_xlpm.pos,ROW()-5,IF(_xlpm.pos&gt;ROWS(_xlpm.allRows),"",_xlfn.LET(_xlpm.rn,INDEX(_xlpm.allRows,_xlpm.pos),_xlpm.val,INDEX($N:$N,_xlpm.rn),IF(INDEX($M:$M,_xlpm.rn)="Percentages",IF(_xlpm.val=0,"-",TEXT(_xlpm.val,"0%")),_xlpm.val))))</f>
        <v/>
      </c>
      <c r="D18" s="1206" t="str" cm="1">
        <f t="array" ref="D18">_xlfn.LET(_xlpm.visRows,_xlfn._xlws.FILTER(ROW($M$6:$M$22),$N$6:$N$22&lt;&gt;0),_xlpm.allRows,_xlfn.VSTACK(_xlpm.visRows,23,24),_xlpm.pos,ROW()-5,IF(_xlpm.pos&gt;ROWS(_xlpm.allRows),"",_xlfn.LET(_xlpm.rn,INDEX(_xlpm.allRows,_xlpm.pos),_xlpm.val,INDEX($O:$O,_xlpm.rn),IF(INDEX($M:$M,_xlpm.rn)="Percentages",IF(_xlpm.val=0,"-",TEXT(_xlpm.val,"0%")),_xlpm.val))))</f>
        <v/>
      </c>
      <c r="E18" s="1207" t="str" cm="1">
        <f t="array" ref="E18">_xlfn.LET(_xlpm.visRows,_xlfn._xlws.FILTER(ROW($M$6:$M$22),$N$6:$N$22&lt;&gt;0),_xlpm.allRows,_xlfn.VSTACK(_xlpm.visRows,23,24),_xlpm.pos,ROW()-5,IF(_xlpm.pos&gt;ROWS(_xlpm.allRows),"",_xlfn.LET(_xlpm.rn,INDEX(_xlpm.allRows,_xlpm.pos),_xlpm.val,INDEX($P:$P,_xlpm.rn),IF(INDEX($M:$M,_xlpm.rn)="Percentages",IF(_xlpm.val=0,"-",TEXT(_xlpm.val,"0%")),_xlpm.val))))</f>
        <v/>
      </c>
      <c r="F18" s="1207" t="str" cm="1">
        <f t="array" ref="F18">_xlfn.LET(_xlpm.visRows,_xlfn._xlws.FILTER(ROW($M$6:$M$22),$N$6:$N$22&lt;&gt;0),_xlpm.allRows,_xlfn.VSTACK(_xlpm.visRows,23,24),_xlpm.pos,ROW()-5,IF(_xlpm.pos&gt;ROWS(_xlpm.allRows),"",_xlfn.LET(_xlpm.rn,INDEX(_xlpm.allRows,_xlpm.pos),_xlpm.val,INDEX($Q:$Q,_xlpm.rn),IF(INDEX($M:$M,_xlpm.rn)="Percentages",IF(_xlpm.val=0,"-",TEXT(_xlpm.val,"0%")),_xlpm.val))))</f>
        <v/>
      </c>
      <c r="G18" s="1207" t="str" cm="1">
        <f t="array" ref="G18">_xlfn.LET(_xlpm.visRows,_xlfn._xlws.FILTER(ROW($M$6:$M$22),$N$6:$N$22&lt;&gt;0),_xlpm.allRows,_xlfn.VSTACK(_xlpm.visRows,23,24),_xlpm.pos,ROW()-5,IF(_xlpm.pos&gt;ROWS(_xlpm.allRows),"",_xlfn.LET(_xlpm.rn,INDEX(_xlpm.allRows,_xlpm.pos),_xlpm.val,INDEX($R:$R,_xlpm.rn),IF(INDEX($M:$M,_xlpm.rn)="Percentages",IF(_xlpm.val=0,"-",TEXT(_xlpm.val,"0%")),_xlpm.val))))</f>
        <v/>
      </c>
      <c r="H18" s="1207" t="str" cm="1">
        <f t="array" ref="H18">_xlfn.LET(_xlpm.visRows,_xlfn._xlws.FILTER(ROW($M$6:$M$22),$N$6:$N$22&lt;&gt;0),_xlpm.allRows,_xlfn.VSTACK(_xlpm.visRows,23,24),_xlpm.pos,ROW()-5,IF(_xlpm.pos&gt;ROWS(_xlpm.allRows),"",_xlfn.LET(_xlpm.rn,INDEX(_xlpm.allRows,_xlpm.pos),_xlpm.val,INDEX($S:$S,_xlpm.rn),IF(INDEX($M:$M,_xlpm.rn)="Percentages",IF(_xlpm.val=0,"-",TEXT(_xlpm.val,"0%")),_xlpm.val))))</f>
        <v/>
      </c>
      <c r="I18" s="1207" t="str" cm="1">
        <f t="array" ref="I18">_xlfn.LET(_xlpm.visRows,_xlfn._xlws.FILTER(ROW($M$6:$M$22),$N$6:$N$22&lt;&gt;0),_xlpm.allRows,_xlfn.VSTACK(_xlpm.visRows,23,24),_xlpm.pos,ROW()-5,IF(_xlpm.pos&gt;ROWS(_xlpm.allRows),"",_xlfn.LET(_xlpm.rn,INDEX(_xlpm.allRows,_xlpm.pos),_xlpm.val,INDEX($T:$T,_xlpm.rn),IF(INDEX($M:$M,_xlpm.rn)="Percentages",IF(_xlpm.val=0,"-",TEXT(_xlpm.val,"0%")),_xlpm.val))))</f>
        <v/>
      </c>
      <c r="J18" s="1207" t="str" cm="1">
        <f t="array" ref="J18">_xlfn.LET(_xlpm.visRows,_xlfn._xlws.FILTER(ROW($M$6:$M$22),$N$6:$N$22&lt;&gt;0),_xlpm.allRows,_xlfn.VSTACK(_xlpm.visRows,23,24),_xlpm.pos,ROW()-5,IF(_xlpm.pos&gt;ROWS(_xlpm.allRows),"",_xlfn.LET(_xlpm.rn,INDEX(_xlpm.allRows,_xlpm.pos),_xlpm.val,INDEX($U:$U,_xlpm.rn),IF(INDEX($M:$M,_xlpm.rn)="Percentages",IF(_xlpm.val=0,"-",TEXT(_xlpm.val,"0%")),_xlpm.val))))</f>
        <v/>
      </c>
      <c r="K18" s="1207" t="str" cm="1">
        <f t="array" ref="K18">_xlfn.LET(_xlpm.visRows,_xlfn._xlws.FILTER(ROW($M$6:$M$22),$N$6:$N$22&lt;&gt;0),_xlpm.allRows,_xlfn.VSTACK(_xlpm.visRows,23,24),_xlpm.pos,ROW()-5,IF(_xlpm.pos&gt;ROWS(_xlpm.allRows),"",_xlfn.LET(_xlpm.rn,INDEX(_xlpm.allRows,_xlpm.pos),_xlpm.val,INDEX($V:$V,_xlpm.rn),IF(INDEX($M:$M,_xlpm.rn)="Percentages",IF(_xlpm.val=0,"-",TEXT(_xlpm.val,"0%")),_xlpm.val))))</f>
        <v/>
      </c>
      <c r="M18" s="673" t="str">
        <f>'BDO Prequal'!B50</f>
        <v>Interest Reserve - 3 Mos</v>
      </c>
      <c r="N18" s="674">
        <f>'BDO Prequal'!C50</f>
        <v>0</v>
      </c>
      <c r="O18" s="675">
        <f>'BDO Prequal'!D50</f>
        <v>0</v>
      </c>
      <c r="P18" s="676">
        <f>'BDO Prequal'!E50</f>
        <v>0</v>
      </c>
      <c r="Q18" s="676">
        <f>'BDO Prequal'!F50</f>
        <v>0</v>
      </c>
      <c r="R18" s="676">
        <f>'BDO Prequal'!G50</f>
        <v>0</v>
      </c>
      <c r="S18" s="676">
        <f>'BDO Prequal'!H50</f>
        <v>0</v>
      </c>
      <c r="T18" s="676">
        <f>'BDO Prequal'!I50</f>
        <v>0</v>
      </c>
      <c r="U18" s="676">
        <f>'BDO Prequal'!J50</f>
        <v>0</v>
      </c>
      <c r="V18" s="677">
        <f>'BDO Prequal'!K50</f>
        <v>0</v>
      </c>
    </row>
    <row r="19" spans="2:22" ht="13.8" x14ac:dyDescent="0.3">
      <c r="B19" s="1204" t="str" cm="1">
        <f t="array" ref="B19">_xlfn.LET(_xlpm.visRows,_xlfn._xlws.FILTER(ROW($M$6:$M$22),$N$6:$N$22&lt;&gt;0),_xlpm.allRows,_xlfn.VSTACK(_xlpm.visRows,23,24),_xlpm.pos,ROW()-5,IF(_xlpm.pos&lt;=ROWS(_xlpm.allRows),INDEX($M:$M,INDEX(_xlpm.allRows,_xlpm.pos)),""))</f>
        <v/>
      </c>
      <c r="C19" s="1205" t="str" cm="1">
        <f t="array" ref="C19">_xlfn.LET(_xlpm.visRows,_xlfn._xlws.FILTER(ROW($M$6:$M$22),$N$6:$N$22&lt;&gt;0),_xlpm.allRows,_xlfn.VSTACK(_xlpm.visRows,23,24),_xlpm.pos,ROW()-5,IF(_xlpm.pos&gt;ROWS(_xlpm.allRows),"",_xlfn.LET(_xlpm.rn,INDEX(_xlpm.allRows,_xlpm.pos),_xlpm.val,INDEX($N:$N,_xlpm.rn),IF(INDEX($M:$M,_xlpm.rn)="Percentages",IF(_xlpm.val=0,"-",TEXT(_xlpm.val,"0%")),_xlpm.val))))</f>
        <v/>
      </c>
      <c r="D19" s="1206" t="str" cm="1">
        <f t="array" ref="D19">_xlfn.LET(_xlpm.visRows,_xlfn._xlws.FILTER(ROW($M$6:$M$22),$N$6:$N$22&lt;&gt;0),_xlpm.allRows,_xlfn.VSTACK(_xlpm.visRows,23,24),_xlpm.pos,ROW()-5,IF(_xlpm.pos&gt;ROWS(_xlpm.allRows),"",_xlfn.LET(_xlpm.rn,INDEX(_xlpm.allRows,_xlpm.pos),_xlpm.val,INDEX($O:$O,_xlpm.rn),IF(INDEX($M:$M,_xlpm.rn)="Percentages",IF(_xlpm.val=0,"-",TEXT(_xlpm.val,"0%")),_xlpm.val))))</f>
        <v/>
      </c>
      <c r="E19" s="1207" t="str" cm="1">
        <f t="array" ref="E19">_xlfn.LET(_xlpm.visRows,_xlfn._xlws.FILTER(ROW($M$6:$M$22),$N$6:$N$22&lt;&gt;0),_xlpm.allRows,_xlfn.VSTACK(_xlpm.visRows,23,24),_xlpm.pos,ROW()-5,IF(_xlpm.pos&gt;ROWS(_xlpm.allRows),"",_xlfn.LET(_xlpm.rn,INDEX(_xlpm.allRows,_xlpm.pos),_xlpm.val,INDEX($P:$P,_xlpm.rn),IF(INDEX($M:$M,_xlpm.rn)="Percentages",IF(_xlpm.val=0,"-",TEXT(_xlpm.val,"0%")),_xlpm.val))))</f>
        <v/>
      </c>
      <c r="F19" s="1207" t="str" cm="1">
        <f t="array" ref="F19">_xlfn.LET(_xlpm.visRows,_xlfn._xlws.FILTER(ROW($M$6:$M$22),$N$6:$N$22&lt;&gt;0),_xlpm.allRows,_xlfn.VSTACK(_xlpm.visRows,23,24),_xlpm.pos,ROW()-5,IF(_xlpm.pos&gt;ROWS(_xlpm.allRows),"",_xlfn.LET(_xlpm.rn,INDEX(_xlpm.allRows,_xlpm.pos),_xlpm.val,INDEX($Q:$Q,_xlpm.rn),IF(INDEX($M:$M,_xlpm.rn)="Percentages",IF(_xlpm.val=0,"-",TEXT(_xlpm.val,"0%")),_xlpm.val))))</f>
        <v/>
      </c>
      <c r="G19" s="1207" t="str" cm="1">
        <f t="array" ref="G19">_xlfn.LET(_xlpm.visRows,_xlfn._xlws.FILTER(ROW($M$6:$M$22),$N$6:$N$22&lt;&gt;0),_xlpm.allRows,_xlfn.VSTACK(_xlpm.visRows,23,24),_xlpm.pos,ROW()-5,IF(_xlpm.pos&gt;ROWS(_xlpm.allRows),"",_xlfn.LET(_xlpm.rn,INDEX(_xlpm.allRows,_xlpm.pos),_xlpm.val,INDEX($R:$R,_xlpm.rn),IF(INDEX($M:$M,_xlpm.rn)="Percentages",IF(_xlpm.val=0,"-",TEXT(_xlpm.val,"0%")),_xlpm.val))))</f>
        <v/>
      </c>
      <c r="H19" s="1207" t="str" cm="1">
        <f t="array" ref="H19">_xlfn.LET(_xlpm.visRows,_xlfn._xlws.FILTER(ROW($M$6:$M$22),$N$6:$N$22&lt;&gt;0),_xlpm.allRows,_xlfn.VSTACK(_xlpm.visRows,23,24),_xlpm.pos,ROW()-5,IF(_xlpm.pos&gt;ROWS(_xlpm.allRows),"",_xlfn.LET(_xlpm.rn,INDEX(_xlpm.allRows,_xlpm.pos),_xlpm.val,INDEX($S:$S,_xlpm.rn),IF(INDEX($M:$M,_xlpm.rn)="Percentages",IF(_xlpm.val=0,"-",TEXT(_xlpm.val,"0%")),_xlpm.val))))</f>
        <v/>
      </c>
      <c r="I19" s="1207" t="str" cm="1">
        <f t="array" ref="I19">_xlfn.LET(_xlpm.visRows,_xlfn._xlws.FILTER(ROW($M$6:$M$22),$N$6:$N$22&lt;&gt;0),_xlpm.allRows,_xlfn.VSTACK(_xlpm.visRows,23,24),_xlpm.pos,ROW()-5,IF(_xlpm.pos&gt;ROWS(_xlpm.allRows),"",_xlfn.LET(_xlpm.rn,INDEX(_xlpm.allRows,_xlpm.pos),_xlpm.val,INDEX($T:$T,_xlpm.rn),IF(INDEX($M:$M,_xlpm.rn)="Percentages",IF(_xlpm.val=0,"-",TEXT(_xlpm.val,"0%")),_xlpm.val))))</f>
        <v/>
      </c>
      <c r="J19" s="1207" t="str" cm="1">
        <f t="array" ref="J19">_xlfn.LET(_xlpm.visRows,_xlfn._xlws.FILTER(ROW($M$6:$M$22),$N$6:$N$22&lt;&gt;0),_xlpm.allRows,_xlfn.VSTACK(_xlpm.visRows,23,24),_xlpm.pos,ROW()-5,IF(_xlpm.pos&gt;ROWS(_xlpm.allRows),"",_xlfn.LET(_xlpm.rn,INDEX(_xlpm.allRows,_xlpm.pos),_xlpm.val,INDEX($U:$U,_xlpm.rn),IF(INDEX($M:$M,_xlpm.rn)="Percentages",IF(_xlpm.val=0,"-",TEXT(_xlpm.val,"0%")),_xlpm.val))))</f>
        <v/>
      </c>
      <c r="K19" s="1207" t="str" cm="1">
        <f t="array" ref="K19">_xlfn.LET(_xlpm.visRows,_xlfn._xlws.FILTER(ROW($M$6:$M$22),$N$6:$N$22&lt;&gt;0),_xlpm.allRows,_xlfn.VSTACK(_xlpm.visRows,23,24),_xlpm.pos,ROW()-5,IF(_xlpm.pos&gt;ROWS(_xlpm.allRows),"",_xlfn.LET(_xlpm.rn,INDEX(_xlpm.allRows,_xlpm.pos),_xlpm.val,INDEX($V:$V,_xlpm.rn),IF(INDEX($M:$M,_xlpm.rn)="Percentages",IF(_xlpm.val=0,"-",TEXT(_xlpm.val,"0%")),_xlpm.val))))</f>
        <v/>
      </c>
      <c r="M19" s="673" t="str">
        <f>'BDO Prequal'!B51</f>
        <v>Construction Soft Costs</v>
      </c>
      <c r="N19" s="674">
        <f>'BDO Prequal'!C51</f>
        <v>173800</v>
      </c>
      <c r="O19" s="675">
        <f>'BDO Prequal'!D51</f>
        <v>53800</v>
      </c>
      <c r="P19" s="676">
        <f>'BDO Prequal'!E51</f>
        <v>0</v>
      </c>
      <c r="Q19" s="676">
        <f>'BDO Prequal'!F51</f>
        <v>120000</v>
      </c>
      <c r="R19" s="676">
        <f>'BDO Prequal'!G51</f>
        <v>0</v>
      </c>
      <c r="S19" s="676">
        <f>'BDO Prequal'!H51</f>
        <v>0</v>
      </c>
      <c r="T19" s="676">
        <f>'BDO Prequal'!I51</f>
        <v>0</v>
      </c>
      <c r="U19" s="676">
        <f>'BDO Prequal'!J51</f>
        <v>0</v>
      </c>
      <c r="V19" s="677">
        <f>'BDO Prequal'!K51</f>
        <v>0</v>
      </c>
    </row>
    <row r="20" spans="2:22" ht="13.8" x14ac:dyDescent="0.3">
      <c r="B20" s="1204" t="str" cm="1">
        <f t="array" ref="B20">_xlfn.LET(_xlpm.visRows,_xlfn._xlws.FILTER(ROW($M$6:$M$22),$N$6:$N$22&lt;&gt;0),_xlpm.allRows,_xlfn.VSTACK(_xlpm.visRows,23,24),_xlpm.pos,ROW()-5,IF(_xlpm.pos&lt;=ROWS(_xlpm.allRows),INDEX($M:$M,INDEX(_xlpm.allRows,_xlpm.pos)),""))</f>
        <v/>
      </c>
      <c r="C20" s="1205" t="str" cm="1">
        <f t="array" ref="C20">_xlfn.LET(_xlpm.visRows,_xlfn._xlws.FILTER(ROW($M$6:$M$22),$N$6:$N$22&lt;&gt;0),_xlpm.allRows,_xlfn.VSTACK(_xlpm.visRows,23,24),_xlpm.pos,ROW()-5,IF(_xlpm.pos&gt;ROWS(_xlpm.allRows),"",_xlfn.LET(_xlpm.rn,INDEX(_xlpm.allRows,_xlpm.pos),_xlpm.val,INDEX($N:$N,_xlpm.rn),IF(INDEX($M:$M,_xlpm.rn)="Percentages",IF(_xlpm.val=0,"-",TEXT(_xlpm.val,"0%")),_xlpm.val))))</f>
        <v/>
      </c>
      <c r="D20" s="1206" t="str" cm="1">
        <f t="array" ref="D20">_xlfn.LET(_xlpm.visRows,_xlfn._xlws.FILTER(ROW($M$6:$M$22),$N$6:$N$22&lt;&gt;0),_xlpm.allRows,_xlfn.VSTACK(_xlpm.visRows,23,24),_xlpm.pos,ROW()-5,IF(_xlpm.pos&gt;ROWS(_xlpm.allRows),"",_xlfn.LET(_xlpm.rn,INDEX(_xlpm.allRows,_xlpm.pos),_xlpm.val,INDEX($O:$O,_xlpm.rn),IF(INDEX($M:$M,_xlpm.rn)="Percentages",IF(_xlpm.val=0,"-",TEXT(_xlpm.val,"0%")),_xlpm.val))))</f>
        <v/>
      </c>
      <c r="E20" s="1207" t="str" cm="1">
        <f t="array" ref="E20">_xlfn.LET(_xlpm.visRows,_xlfn._xlws.FILTER(ROW($M$6:$M$22),$N$6:$N$22&lt;&gt;0),_xlpm.allRows,_xlfn.VSTACK(_xlpm.visRows,23,24),_xlpm.pos,ROW()-5,IF(_xlpm.pos&gt;ROWS(_xlpm.allRows),"",_xlfn.LET(_xlpm.rn,INDEX(_xlpm.allRows,_xlpm.pos),_xlpm.val,INDEX($P:$P,_xlpm.rn),IF(INDEX($M:$M,_xlpm.rn)="Percentages",IF(_xlpm.val=0,"-",TEXT(_xlpm.val,"0%")),_xlpm.val))))</f>
        <v/>
      </c>
      <c r="F20" s="1207" t="str" cm="1">
        <f t="array" ref="F20">_xlfn.LET(_xlpm.visRows,_xlfn._xlws.FILTER(ROW($M$6:$M$22),$N$6:$N$22&lt;&gt;0),_xlpm.allRows,_xlfn.VSTACK(_xlpm.visRows,23,24),_xlpm.pos,ROW()-5,IF(_xlpm.pos&gt;ROWS(_xlpm.allRows),"",_xlfn.LET(_xlpm.rn,INDEX(_xlpm.allRows,_xlpm.pos),_xlpm.val,INDEX($Q:$Q,_xlpm.rn),IF(INDEX($M:$M,_xlpm.rn)="Percentages",IF(_xlpm.val=0,"-",TEXT(_xlpm.val,"0%")),_xlpm.val))))</f>
        <v/>
      </c>
      <c r="G20" s="1207" t="str" cm="1">
        <f t="array" ref="G20">_xlfn.LET(_xlpm.visRows,_xlfn._xlws.FILTER(ROW($M$6:$M$22),$N$6:$N$22&lt;&gt;0),_xlpm.allRows,_xlfn.VSTACK(_xlpm.visRows,23,24),_xlpm.pos,ROW()-5,IF(_xlpm.pos&gt;ROWS(_xlpm.allRows),"",_xlfn.LET(_xlpm.rn,INDEX(_xlpm.allRows,_xlpm.pos),_xlpm.val,INDEX($R:$R,_xlpm.rn),IF(INDEX($M:$M,_xlpm.rn)="Percentages",IF(_xlpm.val=0,"-",TEXT(_xlpm.val,"0%")),_xlpm.val))))</f>
        <v/>
      </c>
      <c r="H20" s="1207" t="str" cm="1">
        <f t="array" ref="H20">_xlfn.LET(_xlpm.visRows,_xlfn._xlws.FILTER(ROW($M$6:$M$22),$N$6:$N$22&lt;&gt;0),_xlpm.allRows,_xlfn.VSTACK(_xlpm.visRows,23,24),_xlpm.pos,ROW()-5,IF(_xlpm.pos&gt;ROWS(_xlpm.allRows),"",_xlfn.LET(_xlpm.rn,INDEX(_xlpm.allRows,_xlpm.pos),_xlpm.val,INDEX($S:$S,_xlpm.rn),IF(INDEX($M:$M,_xlpm.rn)="Percentages",IF(_xlpm.val=0,"-",TEXT(_xlpm.val,"0%")),_xlpm.val))))</f>
        <v/>
      </c>
      <c r="I20" s="1207" t="str" cm="1">
        <f t="array" ref="I20">_xlfn.LET(_xlpm.visRows,_xlfn._xlws.FILTER(ROW($M$6:$M$22),$N$6:$N$22&lt;&gt;0),_xlpm.allRows,_xlfn.VSTACK(_xlpm.visRows,23,24),_xlpm.pos,ROW()-5,IF(_xlpm.pos&gt;ROWS(_xlpm.allRows),"",_xlfn.LET(_xlpm.rn,INDEX(_xlpm.allRows,_xlpm.pos),_xlpm.val,INDEX($T:$T,_xlpm.rn),IF(INDEX($M:$M,_xlpm.rn)="Percentages",IF(_xlpm.val=0,"-",TEXT(_xlpm.val,"0%")),_xlpm.val))))</f>
        <v/>
      </c>
      <c r="J20" s="1207" t="str" cm="1">
        <f t="array" ref="J20">_xlfn.LET(_xlpm.visRows,_xlfn._xlws.FILTER(ROW($M$6:$M$22),$N$6:$N$22&lt;&gt;0),_xlpm.allRows,_xlfn.VSTACK(_xlpm.visRows,23,24),_xlpm.pos,ROW()-5,IF(_xlpm.pos&gt;ROWS(_xlpm.allRows),"",_xlfn.LET(_xlpm.rn,INDEX(_xlpm.allRows,_xlpm.pos),_xlpm.val,INDEX($U:$U,_xlpm.rn),IF(INDEX($M:$M,_xlpm.rn)="Percentages",IF(_xlpm.val=0,"-",TEXT(_xlpm.val,"0%")),_xlpm.val))))</f>
        <v/>
      </c>
      <c r="K20" s="1207" t="str" cm="1">
        <f t="array" ref="K20">_xlfn.LET(_xlpm.visRows,_xlfn._xlws.FILTER(ROW($M$6:$M$22),$N$6:$N$22&lt;&gt;0),_xlpm.allRows,_xlfn.VSTACK(_xlpm.visRows,23,24),_xlpm.pos,ROW()-5,IF(_xlpm.pos&gt;ROWS(_xlpm.allRows),"",_xlfn.LET(_xlpm.rn,INDEX(_xlpm.allRows,_xlpm.pos),_xlpm.val,INDEX($V:$V,_xlpm.rn),IF(INDEX($M:$M,_xlpm.rn)="Percentages",IF(_xlpm.val=0,"-",TEXT(_xlpm.val,"0%")),_xlpm.val))))</f>
        <v/>
      </c>
      <c r="M20" s="673" t="str">
        <f>'BDO Prequal'!B52</f>
        <v>Closing Costs</v>
      </c>
      <c r="N20" s="674">
        <f>'BDO Prequal'!C52</f>
        <v>52000</v>
      </c>
      <c r="O20" s="675">
        <f>'BDO Prequal'!D52</f>
        <v>0</v>
      </c>
      <c r="P20" s="676">
        <f>'BDO Prequal'!E52</f>
        <v>52000</v>
      </c>
      <c r="Q20" s="676">
        <f>'BDO Prequal'!F52</f>
        <v>0</v>
      </c>
      <c r="R20" s="676">
        <f>'BDO Prequal'!G52</f>
        <v>0</v>
      </c>
      <c r="S20" s="676">
        <f>'BDO Prequal'!H52</f>
        <v>0</v>
      </c>
      <c r="T20" s="676">
        <f>'BDO Prequal'!I52</f>
        <v>0</v>
      </c>
      <c r="U20" s="676">
        <f>'BDO Prequal'!J52</f>
        <v>0</v>
      </c>
      <c r="V20" s="677">
        <f>'BDO Prequal'!K52</f>
        <v>0</v>
      </c>
    </row>
    <row r="21" spans="2:22" ht="13.8" x14ac:dyDescent="0.3">
      <c r="B21" s="1204" t="str" cm="1">
        <f t="array" ref="B21">_xlfn.LET(_xlpm.visRows,_xlfn._xlws.FILTER(ROW($M$6:$M$22),$N$6:$N$22&lt;&gt;0),_xlpm.allRows,_xlfn.VSTACK(_xlpm.visRows,23,24),_xlpm.pos,ROW()-5,IF(_xlpm.pos&lt;=ROWS(_xlpm.allRows),INDEX($M:$M,INDEX(_xlpm.allRows,_xlpm.pos)),""))</f>
        <v/>
      </c>
      <c r="C21" s="1205" t="str" cm="1">
        <f t="array" ref="C21">_xlfn.LET(_xlpm.visRows,_xlfn._xlws.FILTER(ROW($M$6:$M$22),$N$6:$N$22&lt;&gt;0),_xlpm.allRows,_xlfn.VSTACK(_xlpm.visRows,23,24),_xlpm.pos,ROW()-5,IF(_xlpm.pos&gt;ROWS(_xlpm.allRows),"",_xlfn.LET(_xlpm.rn,INDEX(_xlpm.allRows,_xlpm.pos),_xlpm.val,INDEX($N:$N,_xlpm.rn),IF(INDEX($M:$M,_xlpm.rn)="Percentages",IF(_xlpm.val=0,"-",TEXT(_xlpm.val,"0%")),_xlpm.val))))</f>
        <v/>
      </c>
      <c r="D21" s="1206" t="str" cm="1">
        <f t="array" ref="D21">_xlfn.LET(_xlpm.visRows,_xlfn._xlws.FILTER(ROW($M$6:$M$22),$N$6:$N$22&lt;&gt;0),_xlpm.allRows,_xlfn.VSTACK(_xlpm.visRows,23,24),_xlpm.pos,ROW()-5,IF(_xlpm.pos&gt;ROWS(_xlpm.allRows),"",_xlfn.LET(_xlpm.rn,INDEX(_xlpm.allRows,_xlpm.pos),_xlpm.val,INDEX($O:$O,_xlpm.rn),IF(INDEX($M:$M,_xlpm.rn)="Percentages",IF(_xlpm.val=0,"-",TEXT(_xlpm.val,"0%")),_xlpm.val))))</f>
        <v/>
      </c>
      <c r="E21" s="1207" t="str" cm="1">
        <f t="array" ref="E21">_xlfn.LET(_xlpm.visRows,_xlfn._xlws.FILTER(ROW($M$6:$M$22),$N$6:$N$22&lt;&gt;0),_xlpm.allRows,_xlfn.VSTACK(_xlpm.visRows,23,24),_xlpm.pos,ROW()-5,IF(_xlpm.pos&gt;ROWS(_xlpm.allRows),"",_xlfn.LET(_xlpm.rn,INDEX(_xlpm.allRows,_xlpm.pos),_xlpm.val,INDEX($P:$P,_xlpm.rn),IF(INDEX($M:$M,_xlpm.rn)="Percentages",IF(_xlpm.val=0,"-",TEXT(_xlpm.val,"0%")),_xlpm.val))))</f>
        <v/>
      </c>
      <c r="F21" s="1207" t="str" cm="1">
        <f t="array" ref="F21">_xlfn.LET(_xlpm.visRows,_xlfn._xlws.FILTER(ROW($M$6:$M$22),$N$6:$N$22&lt;&gt;0),_xlpm.allRows,_xlfn.VSTACK(_xlpm.visRows,23,24),_xlpm.pos,ROW()-5,IF(_xlpm.pos&gt;ROWS(_xlpm.allRows),"",_xlfn.LET(_xlpm.rn,INDEX(_xlpm.allRows,_xlpm.pos),_xlpm.val,INDEX($Q:$Q,_xlpm.rn),IF(INDEX($M:$M,_xlpm.rn)="Percentages",IF(_xlpm.val=0,"-",TEXT(_xlpm.val,"0%")),_xlpm.val))))</f>
        <v/>
      </c>
      <c r="G21" s="1207" t="str" cm="1">
        <f t="array" ref="G21">_xlfn.LET(_xlpm.visRows,_xlfn._xlws.FILTER(ROW($M$6:$M$22),$N$6:$N$22&lt;&gt;0),_xlpm.allRows,_xlfn.VSTACK(_xlpm.visRows,23,24),_xlpm.pos,ROW()-5,IF(_xlpm.pos&gt;ROWS(_xlpm.allRows),"",_xlfn.LET(_xlpm.rn,INDEX(_xlpm.allRows,_xlpm.pos),_xlpm.val,INDEX($R:$R,_xlpm.rn),IF(INDEX($M:$M,_xlpm.rn)="Percentages",IF(_xlpm.val=0,"-",TEXT(_xlpm.val,"0%")),_xlpm.val))))</f>
        <v/>
      </c>
      <c r="H21" s="1207" t="str" cm="1">
        <f t="array" ref="H21">_xlfn.LET(_xlpm.visRows,_xlfn._xlws.FILTER(ROW($M$6:$M$22),$N$6:$N$22&lt;&gt;0),_xlpm.allRows,_xlfn.VSTACK(_xlpm.visRows,23,24),_xlpm.pos,ROW()-5,IF(_xlpm.pos&gt;ROWS(_xlpm.allRows),"",_xlfn.LET(_xlpm.rn,INDEX(_xlpm.allRows,_xlpm.pos),_xlpm.val,INDEX($S:$S,_xlpm.rn),IF(INDEX($M:$M,_xlpm.rn)="Percentages",IF(_xlpm.val=0,"-",TEXT(_xlpm.val,"0%")),_xlpm.val))))</f>
        <v/>
      </c>
      <c r="I21" s="1207" t="str" cm="1">
        <f t="array" ref="I21">_xlfn.LET(_xlpm.visRows,_xlfn._xlws.FILTER(ROW($M$6:$M$22),$N$6:$N$22&lt;&gt;0),_xlpm.allRows,_xlfn.VSTACK(_xlpm.visRows,23,24),_xlpm.pos,ROW()-5,IF(_xlpm.pos&gt;ROWS(_xlpm.allRows),"",_xlfn.LET(_xlpm.rn,INDEX(_xlpm.allRows,_xlpm.pos),_xlpm.val,INDEX($T:$T,_xlpm.rn),IF(INDEX($M:$M,_xlpm.rn)="Percentages",IF(_xlpm.val=0,"-",TEXT(_xlpm.val,"0%")),_xlpm.val))))</f>
        <v/>
      </c>
      <c r="J21" s="1207" t="str" cm="1">
        <f t="array" ref="J21">_xlfn.LET(_xlpm.visRows,_xlfn._xlws.FILTER(ROW($M$6:$M$22),$N$6:$N$22&lt;&gt;0),_xlpm.allRows,_xlfn.VSTACK(_xlpm.visRows,23,24),_xlpm.pos,ROW()-5,IF(_xlpm.pos&gt;ROWS(_xlpm.allRows),"",_xlfn.LET(_xlpm.rn,INDEX(_xlpm.allRows,_xlpm.pos),_xlpm.val,INDEX($U:$U,_xlpm.rn),IF(INDEX($M:$M,_xlpm.rn)="Percentages",IF(_xlpm.val=0,"-",TEXT(_xlpm.val,"0%")),_xlpm.val))))</f>
        <v/>
      </c>
      <c r="K21" s="1207" t="str" cm="1">
        <f t="array" ref="K21">_xlfn.LET(_xlpm.visRows,_xlfn._xlws.FILTER(ROW($M$6:$M$22),$N$6:$N$22&lt;&gt;0),_xlpm.allRows,_xlfn.VSTACK(_xlpm.visRows,23,24),_xlpm.pos,ROW()-5,IF(_xlpm.pos&gt;ROWS(_xlpm.allRows),"",_xlfn.LET(_xlpm.rn,INDEX(_xlpm.allRows,_xlpm.pos),_xlpm.val,INDEX($V:$V,_xlpm.rn),IF(INDEX($M:$M,_xlpm.rn)="Percentages",IF(_xlpm.val=0,"-",TEXT(_xlpm.val,"0%")),_xlpm.val))))</f>
        <v/>
      </c>
      <c r="M21" s="673" t="str">
        <f>'BDO Prequal'!B53</f>
        <v>SBA Gty Fee</v>
      </c>
      <c r="N21" s="674">
        <f>'BDO Prequal'!C53</f>
        <v>88533</v>
      </c>
      <c r="O21" s="675">
        <f>'BDO Prequal'!D53</f>
        <v>0</v>
      </c>
      <c r="P21" s="676">
        <f>'BDO Prequal'!E53</f>
        <v>13784</v>
      </c>
      <c r="Q21" s="676">
        <f>'BDO Prequal'!F53</f>
        <v>74749</v>
      </c>
      <c r="R21" s="676">
        <f>'BDO Prequal'!G53</f>
        <v>0</v>
      </c>
      <c r="S21" s="676">
        <f>'BDO Prequal'!H53</f>
        <v>0</v>
      </c>
      <c r="T21" s="676">
        <f>'BDO Prequal'!I53</f>
        <v>0</v>
      </c>
      <c r="U21" s="676">
        <f>'BDO Prequal'!J53</f>
        <v>0</v>
      </c>
      <c r="V21" s="677">
        <f>'BDO Prequal'!K53</f>
        <v>0</v>
      </c>
    </row>
    <row r="22" spans="2:22" ht="13.8" x14ac:dyDescent="0.3">
      <c r="B22" s="1204" t="str" cm="1">
        <f t="array" ref="B22">_xlfn.LET(_xlpm.visRows,_xlfn._xlws.FILTER(ROW($M$6:$M$22),$N$6:$N$22&lt;&gt;0),_xlpm.allRows,_xlfn.VSTACK(_xlpm.visRows,23,24),_xlpm.pos,ROW()-5,IF(_xlpm.pos&lt;=ROWS(_xlpm.allRows),INDEX($M:$M,INDEX(_xlpm.allRows,_xlpm.pos)),""))</f>
        <v/>
      </c>
      <c r="C22" s="1205" t="str" cm="1">
        <f t="array" ref="C22">_xlfn.LET(_xlpm.visRows,_xlfn._xlws.FILTER(ROW($M$6:$M$22),$N$6:$N$22&lt;&gt;0),_xlpm.allRows,_xlfn.VSTACK(_xlpm.visRows,23,24),_xlpm.pos,ROW()-5,IF(_xlpm.pos&gt;ROWS(_xlpm.allRows),"",_xlfn.LET(_xlpm.rn,INDEX(_xlpm.allRows,_xlpm.pos),_xlpm.val,INDEX($N:$N,_xlpm.rn),IF(INDEX($M:$M,_xlpm.rn)="Percentages",IF(_xlpm.val=0,"-",TEXT(_xlpm.val,"0%")),_xlpm.val))))</f>
        <v/>
      </c>
      <c r="D22" s="1206" t="str" cm="1">
        <f t="array" ref="D22">_xlfn.LET(_xlpm.visRows,_xlfn._xlws.FILTER(ROW($M$6:$M$22),$N$6:$N$22&lt;&gt;0),_xlpm.allRows,_xlfn.VSTACK(_xlpm.visRows,23,24),_xlpm.pos,ROW()-5,IF(_xlpm.pos&gt;ROWS(_xlpm.allRows),"",_xlfn.LET(_xlpm.rn,INDEX(_xlpm.allRows,_xlpm.pos),_xlpm.val,INDEX($O:$O,_xlpm.rn),IF(INDEX($M:$M,_xlpm.rn)="Percentages",IF(_xlpm.val=0,"-",TEXT(_xlpm.val,"0%")),_xlpm.val))))</f>
        <v/>
      </c>
      <c r="E22" s="1207" t="str" cm="1">
        <f t="array" ref="E22">_xlfn.LET(_xlpm.visRows,_xlfn._xlws.FILTER(ROW($M$6:$M$22),$N$6:$N$22&lt;&gt;0),_xlpm.allRows,_xlfn.VSTACK(_xlpm.visRows,23,24),_xlpm.pos,ROW()-5,IF(_xlpm.pos&gt;ROWS(_xlpm.allRows),"",_xlfn.LET(_xlpm.rn,INDEX(_xlpm.allRows,_xlpm.pos),_xlpm.val,INDEX($P:$P,_xlpm.rn),IF(INDEX($M:$M,_xlpm.rn)="Percentages",IF(_xlpm.val=0,"-",TEXT(_xlpm.val,"0%")),_xlpm.val))))</f>
        <v/>
      </c>
      <c r="F22" s="1207" t="str" cm="1">
        <f t="array" ref="F22">_xlfn.LET(_xlpm.visRows,_xlfn._xlws.FILTER(ROW($M$6:$M$22),$N$6:$N$22&lt;&gt;0),_xlpm.allRows,_xlfn.VSTACK(_xlpm.visRows,23,24),_xlpm.pos,ROW()-5,IF(_xlpm.pos&gt;ROWS(_xlpm.allRows),"",_xlfn.LET(_xlpm.rn,INDEX(_xlpm.allRows,_xlpm.pos),_xlpm.val,INDEX($Q:$Q,_xlpm.rn),IF(INDEX($M:$M,_xlpm.rn)="Percentages",IF(_xlpm.val=0,"-",TEXT(_xlpm.val,"0%")),_xlpm.val))))</f>
        <v/>
      </c>
      <c r="G22" s="1207" t="str" cm="1">
        <f t="array" ref="G22">_xlfn.LET(_xlpm.visRows,_xlfn._xlws.FILTER(ROW($M$6:$M$22),$N$6:$N$22&lt;&gt;0),_xlpm.allRows,_xlfn.VSTACK(_xlpm.visRows,23,24),_xlpm.pos,ROW()-5,IF(_xlpm.pos&gt;ROWS(_xlpm.allRows),"",_xlfn.LET(_xlpm.rn,INDEX(_xlpm.allRows,_xlpm.pos),_xlpm.val,INDEX($R:$R,_xlpm.rn),IF(INDEX($M:$M,_xlpm.rn)="Percentages",IF(_xlpm.val=0,"-",TEXT(_xlpm.val,"0%")),_xlpm.val))))</f>
        <v/>
      </c>
      <c r="H22" s="1207" t="str" cm="1">
        <f t="array" ref="H22">_xlfn.LET(_xlpm.visRows,_xlfn._xlws.FILTER(ROW($M$6:$M$22),$N$6:$N$22&lt;&gt;0),_xlpm.allRows,_xlfn.VSTACK(_xlpm.visRows,23,24),_xlpm.pos,ROW()-5,IF(_xlpm.pos&gt;ROWS(_xlpm.allRows),"",_xlfn.LET(_xlpm.rn,INDEX(_xlpm.allRows,_xlpm.pos),_xlpm.val,INDEX($S:$S,_xlpm.rn),IF(INDEX($M:$M,_xlpm.rn)="Percentages",IF(_xlpm.val=0,"-",TEXT(_xlpm.val,"0%")),_xlpm.val))))</f>
        <v/>
      </c>
      <c r="I22" s="1207" t="str" cm="1">
        <f t="array" ref="I22">_xlfn.LET(_xlpm.visRows,_xlfn._xlws.FILTER(ROW($M$6:$M$22),$N$6:$N$22&lt;&gt;0),_xlpm.allRows,_xlfn.VSTACK(_xlpm.visRows,23,24),_xlpm.pos,ROW()-5,IF(_xlpm.pos&gt;ROWS(_xlpm.allRows),"",_xlfn.LET(_xlpm.rn,INDEX(_xlpm.allRows,_xlpm.pos),_xlpm.val,INDEX($T:$T,_xlpm.rn),IF(INDEX($M:$M,_xlpm.rn)="Percentages",IF(_xlpm.val=0,"-",TEXT(_xlpm.val,"0%")),_xlpm.val))))</f>
        <v/>
      </c>
      <c r="J22" s="1207" t="str" cm="1">
        <f t="array" ref="J22">_xlfn.LET(_xlpm.visRows,_xlfn._xlws.FILTER(ROW($M$6:$M$22),$N$6:$N$22&lt;&gt;0),_xlpm.allRows,_xlfn.VSTACK(_xlpm.visRows,23,24),_xlpm.pos,ROW()-5,IF(_xlpm.pos&gt;ROWS(_xlpm.allRows),"",_xlfn.LET(_xlpm.rn,INDEX(_xlpm.allRows,_xlpm.pos),_xlpm.val,INDEX($U:$U,_xlpm.rn),IF(INDEX($M:$M,_xlpm.rn)="Percentages",IF(_xlpm.val=0,"-",TEXT(_xlpm.val,"0%")),_xlpm.val))))</f>
        <v/>
      </c>
      <c r="K22" s="1207" t="str" cm="1">
        <f t="array" ref="K22">_xlfn.LET(_xlpm.visRows,_xlfn._xlws.FILTER(ROW($M$6:$M$22),$N$6:$N$22&lt;&gt;0),_xlpm.allRows,_xlfn.VSTACK(_xlpm.visRows,23,24),_xlpm.pos,ROW()-5,IF(_xlpm.pos&gt;ROWS(_xlpm.allRows),"",_xlfn.LET(_xlpm.rn,INDEX(_xlpm.allRows,_xlpm.pos),_xlpm.val,INDEX($V:$V,_xlpm.rn),IF(INDEX($M:$M,_xlpm.rn)="Percentages",IF(_xlpm.val=0,"-",TEXT(_xlpm.val,"0%")),_xlpm.val))))</f>
        <v/>
      </c>
      <c r="M22" s="673" t="str">
        <f>'BDO Prequal'!B54</f>
        <v>USDA Gty Fee</v>
      </c>
      <c r="N22" s="674">
        <f>'BDO Prequal'!C54</f>
        <v>0</v>
      </c>
      <c r="O22" s="675">
        <f>'BDO Prequal'!D54</f>
        <v>0</v>
      </c>
      <c r="P22" s="676">
        <f>'BDO Prequal'!E54</f>
        <v>0</v>
      </c>
      <c r="Q22" s="676">
        <f>'BDO Prequal'!F54</f>
        <v>0</v>
      </c>
      <c r="R22" s="676">
        <f>'BDO Prequal'!G54</f>
        <v>0</v>
      </c>
      <c r="S22" s="676">
        <f>'BDO Prequal'!H54</f>
        <v>0</v>
      </c>
      <c r="T22" s="676">
        <f>'BDO Prequal'!I54</f>
        <v>0</v>
      </c>
      <c r="U22" s="676">
        <f>'BDO Prequal'!J54</f>
        <v>0</v>
      </c>
      <c r="V22" s="677">
        <f>'BDO Prequal'!K54</f>
        <v>0</v>
      </c>
    </row>
    <row r="23" spans="2:22" ht="13.8" x14ac:dyDescent="0.3">
      <c r="B23" s="1204" t="str" cm="1">
        <f t="array" ref="B23">_xlfn.LET(_xlpm.visRows,_xlfn._xlws.FILTER(ROW($M$6:$M$22),$N$6:$N$22&lt;&gt;0),_xlpm.allRows,_xlfn.VSTACK(_xlpm.visRows,23,24),_xlpm.pos,ROW()-5,IF(_xlpm.pos&lt;=ROWS(_xlpm.allRows),INDEX($M:$M,INDEX(_xlpm.allRows,_xlpm.pos)),""))</f>
        <v/>
      </c>
      <c r="C23" s="1205" t="str" cm="1">
        <f t="array" ref="C23">_xlfn.LET(_xlpm.visRows,_xlfn._xlws.FILTER(ROW($M$6:$M$22),$N$6:$N$22&lt;&gt;0),_xlpm.allRows,_xlfn.VSTACK(_xlpm.visRows,23,24),_xlpm.pos,ROW()-5,IF(_xlpm.pos&gt;ROWS(_xlpm.allRows),"",_xlfn.LET(_xlpm.rn,INDEX(_xlpm.allRows,_xlpm.pos),_xlpm.val,INDEX($N:$N,_xlpm.rn),IF(INDEX($M:$M,_xlpm.rn)="Percentages",IF(_xlpm.val=0,"-",TEXT(_xlpm.val,"0%")),_xlpm.val))))</f>
        <v/>
      </c>
      <c r="D23" s="1206" t="str" cm="1">
        <f t="array" ref="D23">_xlfn.LET(_xlpm.visRows,_xlfn._xlws.FILTER(ROW($M$6:$M$22),$N$6:$N$22&lt;&gt;0),_xlpm.allRows,_xlfn.VSTACK(_xlpm.visRows,23,24),_xlpm.pos,ROW()-5,IF(_xlpm.pos&gt;ROWS(_xlpm.allRows),"",_xlfn.LET(_xlpm.rn,INDEX(_xlpm.allRows,_xlpm.pos),_xlpm.val,INDEX($O:$O,_xlpm.rn),IF(INDEX($M:$M,_xlpm.rn)="Percentages",IF(_xlpm.val=0,"-",TEXT(_xlpm.val,"0%")),_xlpm.val))))</f>
        <v/>
      </c>
      <c r="E23" s="1207" t="str" cm="1">
        <f t="array" ref="E23">_xlfn.LET(_xlpm.visRows,_xlfn._xlws.FILTER(ROW($M$6:$M$22),$N$6:$N$22&lt;&gt;0),_xlpm.allRows,_xlfn.VSTACK(_xlpm.visRows,23,24),_xlpm.pos,ROW()-5,IF(_xlpm.pos&gt;ROWS(_xlpm.allRows),"",_xlfn.LET(_xlpm.rn,INDEX(_xlpm.allRows,_xlpm.pos),_xlpm.val,INDEX($P:$P,_xlpm.rn),IF(INDEX($M:$M,_xlpm.rn)="Percentages",IF(_xlpm.val=0,"-",TEXT(_xlpm.val,"0%")),_xlpm.val))))</f>
        <v/>
      </c>
      <c r="F23" s="1207" t="str" cm="1">
        <f t="array" ref="F23">_xlfn.LET(_xlpm.visRows,_xlfn._xlws.FILTER(ROW($M$6:$M$22),$N$6:$N$22&lt;&gt;0),_xlpm.allRows,_xlfn.VSTACK(_xlpm.visRows,23,24),_xlpm.pos,ROW()-5,IF(_xlpm.pos&gt;ROWS(_xlpm.allRows),"",_xlfn.LET(_xlpm.rn,INDEX(_xlpm.allRows,_xlpm.pos),_xlpm.val,INDEX($Q:$Q,_xlpm.rn),IF(INDEX($M:$M,_xlpm.rn)="Percentages",IF(_xlpm.val=0,"-",TEXT(_xlpm.val,"0%")),_xlpm.val))))</f>
        <v/>
      </c>
      <c r="G23" s="1207" t="str" cm="1">
        <f t="array" ref="G23">_xlfn.LET(_xlpm.visRows,_xlfn._xlws.FILTER(ROW($M$6:$M$22),$N$6:$N$22&lt;&gt;0),_xlpm.allRows,_xlfn.VSTACK(_xlpm.visRows,23,24),_xlpm.pos,ROW()-5,IF(_xlpm.pos&gt;ROWS(_xlpm.allRows),"",_xlfn.LET(_xlpm.rn,INDEX(_xlpm.allRows,_xlpm.pos),_xlpm.val,INDEX($R:$R,_xlpm.rn),IF(INDEX($M:$M,_xlpm.rn)="Percentages",IF(_xlpm.val=0,"-",TEXT(_xlpm.val,"0%")),_xlpm.val))))</f>
        <v/>
      </c>
      <c r="H23" s="1207" t="str" cm="1">
        <f t="array" ref="H23">_xlfn.LET(_xlpm.visRows,_xlfn._xlws.FILTER(ROW($M$6:$M$22),$N$6:$N$22&lt;&gt;0),_xlpm.allRows,_xlfn.VSTACK(_xlpm.visRows,23,24),_xlpm.pos,ROW()-5,IF(_xlpm.pos&gt;ROWS(_xlpm.allRows),"",_xlfn.LET(_xlpm.rn,INDEX(_xlpm.allRows,_xlpm.pos),_xlpm.val,INDEX($S:$S,_xlpm.rn),IF(INDEX($M:$M,_xlpm.rn)="Percentages",IF(_xlpm.val=0,"-",TEXT(_xlpm.val,"0%")),_xlpm.val))))</f>
        <v/>
      </c>
      <c r="I23" s="1207" t="str" cm="1">
        <f t="array" ref="I23">_xlfn.LET(_xlpm.visRows,_xlfn._xlws.FILTER(ROW($M$6:$M$22),$N$6:$N$22&lt;&gt;0),_xlpm.allRows,_xlfn.VSTACK(_xlpm.visRows,23,24),_xlpm.pos,ROW()-5,IF(_xlpm.pos&gt;ROWS(_xlpm.allRows),"",_xlfn.LET(_xlpm.rn,INDEX(_xlpm.allRows,_xlpm.pos),_xlpm.val,INDEX($T:$T,_xlpm.rn),IF(INDEX($M:$M,_xlpm.rn)="Percentages",IF(_xlpm.val=0,"-",TEXT(_xlpm.val,"0%")),_xlpm.val))))</f>
        <v/>
      </c>
      <c r="J23" s="1207" t="str" cm="1">
        <f t="array" ref="J23">_xlfn.LET(_xlpm.visRows,_xlfn._xlws.FILTER(ROW($M$6:$M$22),$N$6:$N$22&lt;&gt;0),_xlpm.allRows,_xlfn.VSTACK(_xlpm.visRows,23,24),_xlpm.pos,ROW()-5,IF(_xlpm.pos&gt;ROWS(_xlpm.allRows),"",_xlfn.LET(_xlpm.rn,INDEX(_xlpm.allRows,_xlpm.pos),_xlpm.val,INDEX($U:$U,_xlpm.rn),IF(INDEX($M:$M,_xlpm.rn)="Percentages",IF(_xlpm.val=0,"-",TEXT(_xlpm.val,"0%")),_xlpm.val))))</f>
        <v/>
      </c>
      <c r="K23" s="1207" t="str" cm="1">
        <f t="array" ref="K23">_xlfn.LET(_xlpm.visRows,_xlfn._xlws.FILTER(ROW($M$6:$M$22),$N$6:$N$22&lt;&gt;0),_xlpm.allRows,_xlfn.VSTACK(_xlpm.visRows,23,24),_xlpm.pos,ROW()-5,IF(_xlpm.pos&gt;ROWS(_xlpm.allRows),"",_xlfn.LET(_xlpm.rn,INDEX(_xlpm.allRows,_xlpm.pos),_xlpm.val,INDEX($V:$V,_xlpm.rn),IF(INDEX($M:$M,_xlpm.rn)="Percentages",IF(_xlpm.val=0,"-",TEXT(_xlpm.val,"0%")),_xlpm.val))))</f>
        <v/>
      </c>
      <c r="M23" s="678" t="s">
        <v>247</v>
      </c>
      <c r="N23" s="679">
        <f>'BDO Prequal'!C55</f>
        <v>8472925</v>
      </c>
      <c r="O23" s="680">
        <f>'BDO Prequal'!D55</f>
        <v>1571792</v>
      </c>
      <c r="P23" s="681">
        <f>'BDO Prequal'!E55</f>
        <v>612591</v>
      </c>
      <c r="Q23" s="681">
        <f>'BDO Prequal'!F55</f>
        <v>2746607</v>
      </c>
      <c r="R23" s="681">
        <f>'BDO Prequal'!G55</f>
        <v>1350000</v>
      </c>
      <c r="S23" s="681">
        <f>'BDO Prequal'!H55</f>
        <v>320000</v>
      </c>
      <c r="T23" s="681">
        <f>'BDO Prequal'!I55</f>
        <v>1871935</v>
      </c>
      <c r="U23" s="681">
        <f>'BDO Prequal'!J55</f>
        <v>0</v>
      </c>
      <c r="V23" s="682">
        <f>'BDO Prequal'!K55</f>
        <v>0</v>
      </c>
    </row>
    <row r="24" spans="2:22" ht="14.4" thickBot="1" x14ac:dyDescent="0.35">
      <c r="B24" s="1218" t="str" cm="1">
        <f t="array" ref="B24">_xlfn.LET(_xlpm.visRows,_xlfn._xlws.FILTER(ROW($M$6:$M$22),$N$6:$N$22&lt;&gt;0),_xlpm.allRows,_xlfn.VSTACK(_xlpm.visRows,23,24),_xlpm.pos,ROW()-5,IF(_xlpm.pos&lt;=ROWS(_xlpm.allRows),INDEX($M:$M,INDEX(_xlpm.allRows,_xlpm.pos)),""))</f>
        <v/>
      </c>
      <c r="C24" s="1219" t="str" cm="1">
        <f t="array" ref="C24">_xlfn.LET(_xlpm.visRows,_xlfn._xlws.FILTER(ROW($M$6:$M$22),$N$6:$N$22&lt;&gt;0),_xlpm.allRows,_xlfn.VSTACK(_xlpm.visRows,23,24),_xlpm.pos,ROW()-5,IF(_xlpm.pos&gt;ROWS(_xlpm.allRows),"",_xlfn.LET(_xlpm.rn,INDEX(_xlpm.allRows,_xlpm.pos),_xlpm.val,INDEX($N:$N,_xlpm.rn),IF(INDEX($M:$M,_xlpm.rn)="Percentages",IF(_xlpm.val=0,"-",TEXT(_xlpm.val,"0%")),_xlpm.val))))</f>
        <v/>
      </c>
      <c r="D24" s="1220" t="str" cm="1">
        <f t="array" ref="D24">_xlfn.LET(_xlpm.visRows,_xlfn._xlws.FILTER(ROW($M$6:$M$22),$N$6:$N$22&lt;&gt;0),_xlpm.allRows,_xlfn.VSTACK(_xlpm.visRows,23,24),_xlpm.pos,ROW()-5,IF(_xlpm.pos&gt;ROWS(_xlpm.allRows),"",_xlfn.LET(_xlpm.rn,INDEX(_xlpm.allRows,_xlpm.pos),_xlpm.val,INDEX($O:$O,_xlpm.rn),IF(INDEX($M:$M,_xlpm.rn)="Percentages",IF(_xlpm.val=0,"-",TEXT(_xlpm.val,"0%")),_xlpm.val))))</f>
        <v/>
      </c>
      <c r="E24" s="1221" t="str" cm="1">
        <f t="array" ref="E24">_xlfn.LET(_xlpm.visRows,_xlfn._xlws.FILTER(ROW($M$6:$M$22),$N$6:$N$22&lt;&gt;0),_xlpm.allRows,_xlfn.VSTACK(_xlpm.visRows,23,24),_xlpm.pos,ROW()-5,IF(_xlpm.pos&gt;ROWS(_xlpm.allRows),"",_xlfn.LET(_xlpm.rn,INDEX(_xlpm.allRows,_xlpm.pos),_xlpm.val,INDEX($P:$P,_xlpm.rn),IF(INDEX($M:$M,_xlpm.rn)="Percentages",IF(_xlpm.val=0,"-",TEXT(_xlpm.val,"0%")),_xlpm.val))))</f>
        <v/>
      </c>
      <c r="F24" s="1221" t="str" cm="1">
        <f t="array" ref="F24">_xlfn.LET(_xlpm.visRows,_xlfn._xlws.FILTER(ROW($M$6:$M$22),$N$6:$N$22&lt;&gt;0),_xlpm.allRows,_xlfn.VSTACK(_xlpm.visRows,23,24),_xlpm.pos,ROW()-5,IF(_xlpm.pos&gt;ROWS(_xlpm.allRows),"",_xlfn.LET(_xlpm.rn,INDEX(_xlpm.allRows,_xlpm.pos),_xlpm.val,INDEX($Q:$Q,_xlpm.rn),IF(INDEX($M:$M,_xlpm.rn)="Percentages",IF(_xlpm.val=0,"-",TEXT(_xlpm.val,"0%")),_xlpm.val))))</f>
        <v/>
      </c>
      <c r="G24" s="1212" t="str" cm="1">
        <f t="array" ref="G24">_xlfn.LET(_xlpm.visRows,_xlfn._xlws.FILTER(ROW($M$6:$M$22),$N$6:$N$22&lt;&gt;0),_xlpm.allRows,_xlfn.VSTACK(_xlpm.visRows,23,24),_xlpm.pos,ROW()-5,IF(_xlpm.pos&gt;ROWS(_xlpm.allRows),"",_xlfn.LET(_xlpm.rn,INDEX(_xlpm.allRows,_xlpm.pos),_xlpm.val,INDEX($R:$R,_xlpm.rn),IF(INDEX($M:$M,_xlpm.rn)="Percentages",IF(_xlpm.val=0,"-",TEXT(_xlpm.val,"0%")),_xlpm.val))))</f>
        <v/>
      </c>
      <c r="H24" s="1212" t="str" cm="1">
        <f t="array" ref="H24">_xlfn.LET(_xlpm.visRows,_xlfn._xlws.FILTER(ROW($M$6:$M$22),$N$6:$N$22&lt;&gt;0),_xlpm.allRows,_xlfn.VSTACK(_xlpm.visRows,23,24),_xlpm.pos,ROW()-5,IF(_xlpm.pos&gt;ROWS(_xlpm.allRows),"",_xlfn.LET(_xlpm.rn,INDEX(_xlpm.allRows,_xlpm.pos),_xlpm.val,INDEX($S:$S,_xlpm.rn),IF(INDEX($M:$M,_xlpm.rn)="Percentages",IF(_xlpm.val=0,"-",TEXT(_xlpm.val,"0%")),_xlpm.val))))</f>
        <v/>
      </c>
      <c r="I24" s="1212" t="str" cm="1">
        <f t="array" ref="I24">_xlfn.LET(_xlpm.visRows,_xlfn._xlws.FILTER(ROW($M$6:$M$22),$N$6:$N$22&lt;&gt;0),_xlpm.allRows,_xlfn.VSTACK(_xlpm.visRows,23,24),_xlpm.pos,ROW()-5,IF(_xlpm.pos&gt;ROWS(_xlpm.allRows),"",_xlfn.LET(_xlpm.rn,INDEX(_xlpm.allRows,_xlpm.pos),_xlpm.val,INDEX($T:$T,_xlpm.rn),IF(INDEX($M:$M,_xlpm.rn)="Percentages",IF(_xlpm.val=0,"-",TEXT(_xlpm.val,"0%")),_xlpm.val))))</f>
        <v/>
      </c>
      <c r="J24" s="1212" t="str" cm="1">
        <f t="array" ref="J24">_xlfn.LET(_xlpm.visRows,_xlfn._xlws.FILTER(ROW($M$6:$M$22),$N$6:$N$22&lt;&gt;0),_xlpm.allRows,_xlfn.VSTACK(_xlpm.visRows,23,24),_xlpm.pos,ROW()-5,IF(_xlpm.pos&gt;ROWS(_xlpm.allRows),"",_xlfn.LET(_xlpm.rn,INDEX(_xlpm.allRows,_xlpm.pos),_xlpm.val,INDEX($U:$U,_xlpm.rn),IF(INDEX($M:$M,_xlpm.rn)="Percentages",IF(_xlpm.val=0,"-",TEXT(_xlpm.val,"0%")),_xlpm.val))))</f>
        <v/>
      </c>
      <c r="K24" s="1212" t="str" cm="1">
        <f t="array" ref="K24">_xlfn.LET(_xlpm.visRows,_xlfn._xlws.FILTER(ROW($M$6:$M$22),$N$6:$N$22&lt;&gt;0),_xlpm.allRows,_xlfn.VSTACK(_xlpm.visRows,23,24),_xlpm.pos,ROW()-5,IF(_xlpm.pos&gt;ROWS(_xlpm.allRows),"",_xlfn.LET(_xlpm.rn,INDEX(_xlpm.allRows,_xlpm.pos),_xlpm.val,INDEX($V:$V,_xlpm.rn),IF(INDEX($M:$M,_xlpm.rn)="Percentages",IF(_xlpm.val=0,"-",TEXT(_xlpm.val,"0%")),_xlpm.val))))</f>
        <v/>
      </c>
      <c r="M24" s="683" t="s">
        <v>248</v>
      </c>
      <c r="N24" s="684">
        <f>'BDO Prequal'!C56</f>
        <v>1</v>
      </c>
      <c r="O24" s="685">
        <f>'BDO Prequal'!D56</f>
        <v>0.18550760215628015</v>
      </c>
      <c r="P24" s="686">
        <f>'BDO Prequal'!E56</f>
        <v>7.229982562102226E-2</v>
      </c>
      <c r="Q24" s="686">
        <f>'BDO Prequal'!F56</f>
        <v>0.32416278911945995</v>
      </c>
      <c r="R24" s="686">
        <f>'BDO Prequal'!G56</f>
        <v>0.15933104565424572</v>
      </c>
      <c r="S24" s="686">
        <f>'BDO Prequal'!H56</f>
        <v>3.7767358969895283E-2</v>
      </c>
      <c r="T24" s="686">
        <f>'BDO Prequal'!I56</f>
        <v>0.22093137847909666</v>
      </c>
      <c r="U24" s="686">
        <f>'BDO Prequal'!J56</f>
        <v>0</v>
      </c>
      <c r="V24" s="687">
        <f>'BDO Prequal'!K56</f>
        <v>0</v>
      </c>
    </row>
    <row r="25" spans="2:22" ht="13.8" x14ac:dyDescent="0.3"/>
    <row r="26" spans="2:22" ht="14.4" thickBot="1" x14ac:dyDescent="0.35"/>
    <row r="27" spans="2:22" ht="13.8" x14ac:dyDescent="0.3">
      <c r="B27" s="1068" t="s">
        <v>249</v>
      </c>
      <c r="C27" s="662"/>
      <c r="D27" s="662"/>
      <c r="E27" s="663"/>
      <c r="F27" s="663"/>
      <c r="G27" s="663"/>
      <c r="H27" s="663"/>
      <c r="I27" s="663"/>
    </row>
    <row r="28" spans="2:22" ht="13.8" x14ac:dyDescent="0.3">
      <c r="B28" s="1069"/>
      <c r="C28" s="665"/>
      <c r="D28" s="665"/>
      <c r="E28" s="666"/>
      <c r="F28" s="666"/>
      <c r="G28" s="666"/>
      <c r="H28" s="666"/>
      <c r="I28" s="666"/>
    </row>
    <row r="29" spans="2:22" ht="13.8" x14ac:dyDescent="0.3">
      <c r="B29" s="1073"/>
      <c r="C29" s="1074" t="str">
        <f>'BDO Prequal'!E17</f>
        <v>SBA 7(a)</v>
      </c>
      <c r="D29" s="1075" t="str">
        <f>'BDO Prequal'!F17</f>
        <v>SBA 7(a)</v>
      </c>
      <c r="E29" s="1074" t="str">
        <f>'BDO Prequal'!G17</f>
        <v>SBA 504</v>
      </c>
      <c r="F29" s="1074" t="str">
        <f>'BDO Prequal'!H17</f>
        <v>Seller Note</v>
      </c>
      <c r="G29" s="1074" t="str">
        <f>'BDO Prequal'!I17</f>
        <v>Debenture</v>
      </c>
      <c r="H29" s="1074" t="str">
        <f>'BDO Prequal'!J17</f>
        <v>N/A</v>
      </c>
      <c r="I29" s="1076" t="str">
        <f>'BDO Prequal'!K17</f>
        <v>N/A</v>
      </c>
    </row>
    <row r="30" spans="2:22" ht="15" customHeight="1" thickBot="1" x14ac:dyDescent="0.35">
      <c r="B30" s="1071" t="s">
        <v>64</v>
      </c>
      <c r="C30" s="689">
        <f>'BDO Prequal'!E18</f>
        <v>612591</v>
      </c>
      <c r="D30" s="689">
        <f>'BDO Prequal'!F18</f>
        <v>2746607</v>
      </c>
      <c r="E30" s="689">
        <f>'BDO Prequal'!G18</f>
        <v>1350000</v>
      </c>
      <c r="F30" s="689">
        <f>'BDO Prequal'!H18</f>
        <v>320000</v>
      </c>
      <c r="G30" s="689">
        <f>'BDO Prequal'!I18</f>
        <v>1871935</v>
      </c>
      <c r="H30" s="689">
        <f>'BDO Prequal'!J18</f>
        <v>0</v>
      </c>
      <c r="I30" s="690">
        <f>'BDO Prequal'!K18</f>
        <v>0</v>
      </c>
      <c r="M30" s="1064" t="s">
        <v>530</v>
      </c>
    </row>
    <row r="31" spans="2:22" ht="14.4" customHeight="1" thickTop="1" x14ac:dyDescent="0.3">
      <c r="B31" s="1071" t="str">
        <f>'BDO Prequal'!C19</f>
        <v>Base Rate</v>
      </c>
      <c r="C31" s="691">
        <f>'BDO Prequal'!E19</f>
        <v>6.7500000000000004E-2</v>
      </c>
      <c r="D31" s="691">
        <f>'BDO Prequal'!F19</f>
        <v>5.9400000000000001E-2</v>
      </c>
      <c r="E31" s="691">
        <f>'BDO Prequal'!G19</f>
        <v>6.7500000000000004E-2</v>
      </c>
      <c r="F31" s="691">
        <f>'BDO Prequal'!H19</f>
        <v>0.05</v>
      </c>
      <c r="G31" s="691">
        <f>'BDO Prequal'!I19</f>
        <v>0.05</v>
      </c>
      <c r="H31" s="691">
        <f>'BDO Prequal'!J19</f>
        <v>6.7500000000000004E-2</v>
      </c>
      <c r="I31" s="692">
        <f>'BDO Prequal'!K19</f>
        <v>0</v>
      </c>
      <c r="M31" s="1311" t="s">
        <v>528</v>
      </c>
      <c r="N31" s="1312"/>
      <c r="O31" s="1312"/>
      <c r="P31" s="1313"/>
    </row>
    <row r="32" spans="2:22" ht="14.4" customHeight="1" thickBot="1" x14ac:dyDescent="0.35">
      <c r="B32" s="1071" t="str">
        <f>'BDO Prequal'!C20</f>
        <v>Spread</v>
      </c>
      <c r="C32" s="691">
        <f>'BDO Prequal'!E20</f>
        <v>1.4999999999999999E-2</v>
      </c>
      <c r="D32" s="691">
        <f>'BDO Prequal'!F20</f>
        <v>0</v>
      </c>
      <c r="E32" s="691">
        <f>'BDO Prequal'!G20</f>
        <v>2.75E-2</v>
      </c>
      <c r="F32" s="691">
        <f>'BDO Prequal'!H20</f>
        <v>0</v>
      </c>
      <c r="G32" s="691">
        <f>'BDO Prequal'!I20</f>
        <v>0.01</v>
      </c>
      <c r="H32" s="691">
        <f>'BDO Prequal'!J20</f>
        <v>0.03</v>
      </c>
      <c r="I32" s="692">
        <f>'BDO Prequal'!K20</f>
        <v>0</v>
      </c>
      <c r="M32" s="1314"/>
      <c r="N32" s="1315"/>
      <c r="O32" s="1315"/>
      <c r="P32" s="1316"/>
    </row>
    <row r="33" spans="1:16" ht="14.4" thickTop="1" x14ac:dyDescent="0.3">
      <c r="B33" s="1071" t="str">
        <f>'BDO Prequal'!C21</f>
        <v>Indicative Rate</v>
      </c>
      <c r="C33" s="691">
        <f>'BDO Prequal'!E21</f>
        <v>8.2500000000000004E-2</v>
      </c>
      <c r="D33" s="691">
        <f>'BDO Prequal'!F21</f>
        <v>5.9400000000000001E-2</v>
      </c>
      <c r="E33" s="691">
        <f>'BDO Prequal'!G21</f>
        <v>9.5000000000000001E-2</v>
      </c>
      <c r="F33" s="691">
        <f>'BDO Prequal'!H21</f>
        <v>0.05</v>
      </c>
      <c r="G33" s="691">
        <f>'BDO Prequal'!I21</f>
        <v>6.0000000000000005E-2</v>
      </c>
      <c r="H33" s="691">
        <f>'BDO Prequal'!J21</f>
        <v>9.7500000000000003E-2</v>
      </c>
      <c r="I33" s="692">
        <f>'BDO Prequal'!K21</f>
        <v>0</v>
      </c>
      <c r="M33" s="1064" t="s">
        <v>529</v>
      </c>
    </row>
    <row r="34" spans="1:16" ht="13.8" x14ac:dyDescent="0.3">
      <c r="B34" s="1071" t="s">
        <v>250</v>
      </c>
      <c r="C34" s="689" t="s">
        <v>251</v>
      </c>
      <c r="D34" s="693" t="s">
        <v>252</v>
      </c>
      <c r="E34" s="689" t="s">
        <v>252</v>
      </c>
      <c r="F34" s="689" t="s">
        <v>252</v>
      </c>
      <c r="G34" s="689" t="s">
        <v>252</v>
      </c>
      <c r="H34" s="689" t="s">
        <v>252</v>
      </c>
      <c r="I34" s="690" t="s">
        <v>252</v>
      </c>
    </row>
    <row r="35" spans="1:16" ht="13.8" x14ac:dyDescent="0.3">
      <c r="B35" s="1071" t="str">
        <f>'BDO Prequal'!C23</f>
        <v>Term (years)</v>
      </c>
      <c r="C35" s="694">
        <f>'BDO Prequal'!E23</f>
        <v>10</v>
      </c>
      <c r="D35" s="694">
        <f>'BDO Prequal'!F23</f>
        <v>10</v>
      </c>
      <c r="E35" s="693">
        <f>'BDO Prequal'!G23</f>
        <v>10</v>
      </c>
      <c r="F35" s="693">
        <f>'BDO Prequal'!H23</f>
        <v>7</v>
      </c>
      <c r="G35" s="693">
        <f>'BDO Prequal'!I23</f>
        <v>3</v>
      </c>
      <c r="H35" s="693">
        <f>'BDO Prequal'!J23</f>
        <v>5</v>
      </c>
      <c r="I35" s="695">
        <f>'BDO Prequal'!K23</f>
        <v>0</v>
      </c>
    </row>
    <row r="36" spans="1:16" ht="14.4" thickBot="1" x14ac:dyDescent="0.35">
      <c r="B36" s="1071" t="str">
        <f>'BDO Prequal'!C25</f>
        <v>Estimated Payment</v>
      </c>
      <c r="C36" s="1072">
        <f ca="1">'BDO Prequal'!E25</f>
        <v>7515.7978922910297</v>
      </c>
      <c r="D36" s="1072">
        <f ca="1">'BDO Prequal'!F25</f>
        <v>30417.001209321479</v>
      </c>
      <c r="E36" s="1072">
        <f ca="1">'BDO Prequal'!G25</f>
        <v>17474.442107317682</v>
      </c>
      <c r="F36" s="696">
        <f ca="1">'BDO Prequal'!H25</f>
        <v>4523.4394305464957</v>
      </c>
      <c r="G36" s="696">
        <f ca="1">'BDO Prequal'!I25</f>
        <v>56952.537141593348</v>
      </c>
      <c r="H36" s="696">
        <f ca="1">'BDO Prequal'!J25</f>
        <v>0</v>
      </c>
      <c r="I36" s="697">
        <f ca="1">'BDO Prequal'!K25</f>
        <v>0</v>
      </c>
    </row>
    <row r="37" spans="1:16" ht="13.8" x14ac:dyDescent="0.3">
      <c r="B37" s="800"/>
    </row>
    <row r="38" spans="1:16" ht="14.4" thickBot="1" x14ac:dyDescent="0.35">
      <c r="B38" s="800"/>
    </row>
    <row r="39" spans="1:16" ht="14.4" x14ac:dyDescent="0.3">
      <c r="A39" s="171"/>
      <c r="B39" s="661" t="s">
        <v>520</v>
      </c>
      <c r="C39" s="1059"/>
      <c r="D39" s="1059"/>
      <c r="E39" s="1060"/>
      <c r="F39" s="171"/>
      <c r="G39" s="171"/>
      <c r="H39" s="171"/>
      <c r="I39" s="171"/>
      <c r="J39" s="171"/>
      <c r="K39" s="171"/>
      <c r="L39" s="171"/>
      <c r="M39" s="661" t="s">
        <v>520</v>
      </c>
      <c r="N39" s="1023"/>
      <c r="O39" s="1023"/>
      <c r="P39" s="1024"/>
    </row>
    <row r="40" spans="1:16" ht="15" thickBot="1" x14ac:dyDescent="0.35">
      <c r="A40" s="171"/>
      <c r="B40" s="664"/>
      <c r="C40" s="664"/>
      <c r="D40" s="664"/>
      <c r="E40" s="1053"/>
      <c r="F40" s="171"/>
      <c r="G40" s="171"/>
      <c r="H40" s="171"/>
      <c r="I40" s="171"/>
      <c r="J40" s="171"/>
      <c r="K40" s="171"/>
      <c r="L40" s="171"/>
      <c r="M40" s="664"/>
      <c r="N40" s="664"/>
      <c r="O40" s="664"/>
      <c r="P40" s="1025"/>
    </row>
    <row r="41" spans="1:16" ht="14.4" x14ac:dyDescent="0.3">
      <c r="A41" s="171"/>
      <c r="B41" s="1073"/>
      <c r="C41" s="1077" t="str">
        <f>N41</f>
        <v>Cost</v>
      </c>
      <c r="D41" s="1077" t="str">
        <f>O41</f>
        <v>Quantity</v>
      </c>
      <c r="E41" s="1077" t="str">
        <f>P41</f>
        <v>Total</v>
      </c>
      <c r="F41" s="171"/>
      <c r="G41" s="171"/>
      <c r="H41" s="171"/>
      <c r="I41" s="171"/>
      <c r="J41" s="171"/>
      <c r="K41" s="171"/>
      <c r="L41" s="171"/>
      <c r="M41" s="688"/>
      <c r="N41" s="1026" t="str">
        <f>'BDO Prequal'!O14</f>
        <v>Cost</v>
      </c>
      <c r="O41" s="1026" t="str">
        <f>'BDO Prequal'!P14</f>
        <v>Quantity</v>
      </c>
      <c r="P41" s="1034" t="str">
        <f>'BDO Prequal'!Q14</f>
        <v>Total</v>
      </c>
    </row>
    <row r="42" spans="1:16" ht="14.4" x14ac:dyDescent="0.3">
      <c r="A42" s="171"/>
      <c r="B42" s="1222" t="str" cm="1">
        <f t="array" ref="B42">_xlfn.LET(_xlpm.visRows,_xlfn._xlws.FILTER(ROW($M$42:$M$57),$P$42:$P$57&lt;&gt;0),_xlpm.allRows,_xlfn.VSTACK(_xlpm.visRows,58),_xlpm.pos,ROW()-41,IF(_xlpm.pos&lt;=ROWS(_xlpm.allRows),INDEX($M:$M,INDEX(_xlpm.allRows,_xlpm.pos)),""))</f>
        <v>Business Valuation</v>
      </c>
      <c r="C42" s="1062" cm="1">
        <f t="array" ref="C42">_xlfn.LET(_xlpm.visRows,_xlfn._xlws.FILTER(ROW($M$42:$M$57),$P$42:$P$57&lt;&gt;0),_xlpm.allRows,_xlfn.VSTACK(_xlpm.visRows,58),_xlpm.pos,ROW()-41,IF(_xlpm.pos&gt;ROWS(_xlpm.allRows),"",INDEX($N:$N,INDEX(_xlpm.allRows,_xlpm.pos))))</f>
        <v>2500</v>
      </c>
      <c r="D42" s="1063" cm="1">
        <f t="array" ref="D42">_xlfn.LET(_xlpm.visRows,_xlfn._xlws.FILTER(ROW($M$42:$M$57),$P$42:$P$57&lt;&gt;0),_xlpm.allRows,_xlfn.VSTACK(_xlpm.visRows,58),_xlpm.pos,ROW()-41,IF(_xlpm.pos&gt;ROWS(_xlpm.allRows),"",INDEX($O:$O,INDEX(_xlpm.allRows,_xlpm.pos))))</f>
        <v>1</v>
      </c>
      <c r="E42" s="1062" cm="1">
        <f t="array" ref="E42">_xlfn.LET(_xlpm.visRows,_xlfn._xlws.FILTER(ROW($M$42:$M$57),$P$42:$P$57&lt;&gt;0),_xlpm.allRows,_xlfn.VSTACK(_xlpm.visRows,58),_xlpm.pos,ROW()-41,IF(_xlpm.pos&gt;ROWS(_xlpm.allRows),"",INDEX($P:$P,INDEX(_xlpm.allRows,_xlpm.pos))))</f>
        <v>2500</v>
      </c>
      <c r="F42" s="171"/>
      <c r="G42" s="171"/>
      <c r="H42" s="171"/>
      <c r="I42" s="171"/>
      <c r="J42" s="171"/>
      <c r="K42" s="171"/>
      <c r="L42" s="171"/>
      <c r="M42" s="673" t="str">
        <f>'BDO Prequal'!N15</f>
        <v>Title Insurance</v>
      </c>
      <c r="N42" s="1027">
        <f>'BDO Prequal'!O15</f>
        <v>0</v>
      </c>
      <c r="O42" s="1028">
        <f>'BDO Prequal'!P15</f>
        <v>0</v>
      </c>
      <c r="P42" s="1035">
        <f>'BDO Prequal'!Q15</f>
        <v>0</v>
      </c>
    </row>
    <row r="43" spans="1:16" ht="14.4" x14ac:dyDescent="0.3">
      <c r="A43" s="171"/>
      <c r="B43" s="1223" t="str" cm="1">
        <f t="array" ref="B43">_xlfn.LET(_xlpm.visRows,_xlfn._xlws.FILTER(ROW($M$42:$M$57),$P$42:$P$57&lt;&gt;0),_xlpm.allRows,_xlfn.VSTACK(_xlpm.visRows,58),_xlpm.pos,ROW()-41,IF(_xlpm.pos&lt;=ROWS(_xlpm.allRows),INDEX($M:$M,INDEX(_xlpm.allRows,_xlpm.pos)),""))</f>
        <v>Loan Packaging Fee</v>
      </c>
      <c r="C43" s="1050" cm="1">
        <f t="array" ref="C43">_xlfn.LET(_xlpm.visRows,_xlfn._xlws.FILTER(ROW($M$42:$M$57),$P$42:$P$57&lt;&gt;0),_xlpm.allRows,_xlfn.VSTACK(_xlpm.visRows,58),_xlpm.pos,ROW()-41,IF(_xlpm.pos&gt;ROWS(_xlpm.allRows),"",INDEX($N:$N,INDEX(_xlpm.allRows,_xlpm.pos))))</f>
        <v>2500</v>
      </c>
      <c r="D43" s="1058" cm="1">
        <f t="array" ref="D43">_xlfn.LET(_xlpm.visRows,_xlfn._xlws.FILTER(ROW($M$42:$M$57),$P$42:$P$57&lt;&gt;0),_xlpm.allRows,_xlfn.VSTACK(_xlpm.visRows,58),_xlpm.pos,ROW()-41,IF(_xlpm.pos&gt;ROWS(_xlpm.allRows),"",INDEX($O:$O,INDEX(_xlpm.allRows,_xlpm.pos))))</f>
        <v>1</v>
      </c>
      <c r="E43" s="1050" cm="1">
        <f t="array" ref="E43">_xlfn.LET(_xlpm.visRows,_xlfn._xlws.FILTER(ROW($M$42:$M$57),$P$42:$P$57&lt;&gt;0),_xlpm.allRows,_xlfn.VSTACK(_xlpm.visRows,58),_xlpm.pos,ROW()-41,IF(_xlpm.pos&gt;ROWS(_xlpm.allRows),"",INDEX($P:$P,INDEX(_xlpm.allRows,_xlpm.pos))))</f>
        <v>2500</v>
      </c>
      <c r="F43" s="171"/>
      <c r="G43" s="171"/>
      <c r="H43" s="171"/>
      <c r="I43" s="171"/>
      <c r="J43" s="171"/>
      <c r="K43" s="171"/>
      <c r="L43" s="171"/>
      <c r="M43" s="673" t="str">
        <f>'BDO Prequal'!N16</f>
        <v>Real Estate Tax Fee</v>
      </c>
      <c r="N43" s="1027">
        <f>'BDO Prequal'!O16</f>
        <v>0</v>
      </c>
      <c r="O43" s="1028">
        <f>'BDO Prequal'!P16</f>
        <v>0</v>
      </c>
      <c r="P43" s="1035">
        <f>'BDO Prequal'!Q16</f>
        <v>0</v>
      </c>
    </row>
    <row r="44" spans="1:16" ht="14.4" x14ac:dyDescent="0.3">
      <c r="A44" s="171"/>
      <c r="B44" s="1223" t="str" cm="1">
        <f t="array" ref="B44">_xlfn.LET(_xlpm.visRows,_xlfn._xlws.FILTER(ROW($M$42:$M$57),$P$42:$P$57&lt;&gt;0),_xlpm.allRows,_xlfn.VSTACK(_xlpm.visRows,58),_xlpm.pos,ROW()-41,IF(_xlpm.pos&lt;=ROWS(_xlpm.allRows),INDEX($M:$M,INDEX(_xlpm.allRows,_xlpm.pos)),""))</f>
        <v>Interim Loan Fee / Origination</v>
      </c>
      <c r="C44" s="1050" cm="1">
        <f t="array" ref="C44">_xlfn.LET(_xlpm.visRows,_xlfn._xlws.FILTER(ROW($M$42:$M$57),$P$42:$P$57&lt;&gt;0),_xlpm.allRows,_xlfn.VSTACK(_xlpm.visRows,58),_xlpm.pos,ROW()-41,IF(_xlpm.pos&gt;ROWS(_xlpm.allRows),"",INDEX($N:$N,INDEX(_xlpm.allRows,_xlpm.pos))))</f>
        <v>112000</v>
      </c>
      <c r="D44" s="1058" cm="1">
        <f t="array" ref="D44">_xlfn.LET(_xlpm.visRows,_xlfn._xlws.FILTER(ROW($M$42:$M$57),$P$42:$P$57&lt;&gt;0),_xlpm.allRows,_xlfn.VSTACK(_xlpm.visRows,58),_xlpm.pos,ROW()-41,IF(_xlpm.pos&gt;ROWS(_xlpm.allRows),"",INDEX($O:$O,INDEX(_xlpm.allRows,_xlpm.pos))))</f>
        <v>1</v>
      </c>
      <c r="E44" s="1050" cm="1">
        <f t="array" ref="E44">_xlfn.LET(_xlpm.visRows,_xlfn._xlws.FILTER(ROW($M$42:$M$57),$P$42:$P$57&lt;&gt;0),_xlpm.allRows,_xlfn.VSTACK(_xlpm.visRows,58),_xlpm.pos,ROW()-41,IF(_xlpm.pos&gt;ROWS(_xlpm.allRows),"",INDEX($P:$P,INDEX(_xlpm.allRows,_xlpm.pos))))</f>
        <v>112000</v>
      </c>
      <c r="F44" s="171"/>
      <c r="G44" s="171"/>
      <c r="H44" s="171"/>
      <c r="I44" s="171"/>
      <c r="J44" s="171"/>
      <c r="K44" s="171"/>
      <c r="L44" s="171"/>
      <c r="M44" s="673" t="str">
        <f>'BDO Prequal'!N17</f>
        <v>Survey Charges</v>
      </c>
      <c r="N44" s="1027">
        <f>'BDO Prequal'!O17</f>
        <v>3000</v>
      </c>
      <c r="O44" s="1028">
        <f>'BDO Prequal'!P17</f>
        <v>0</v>
      </c>
      <c r="P44" s="1035">
        <f>'BDO Prequal'!Q17</f>
        <v>0</v>
      </c>
    </row>
    <row r="45" spans="1:16" ht="14.4" x14ac:dyDescent="0.3">
      <c r="A45" s="171"/>
      <c r="B45" s="1223" t="str" cm="1">
        <f t="array" ref="B45">_xlfn.LET(_xlpm.visRows,_xlfn._xlws.FILTER(ROW($M$42:$M$57),$P$42:$P$57&lt;&gt;0),_xlpm.allRows,_xlfn.VSTACK(_xlpm.visRows,58),_xlpm.pos,ROW()-41,IF(_xlpm.pos&lt;=ROWS(_xlpm.allRows),INDEX($M:$M,INDEX(_xlpm.allRows,_xlpm.pos)),""))</f>
        <v>Rounding</v>
      </c>
      <c r="C45" s="1050" cm="1">
        <f t="array" ref="C45">_xlfn.LET(_xlpm.visRows,_xlfn._xlws.FILTER(ROW($M$42:$M$57),$P$42:$P$57&lt;&gt;0),_xlpm.allRows,_xlfn.VSTACK(_xlpm.visRows,58),_xlpm.pos,ROW()-41,IF(_xlpm.pos&gt;ROWS(_xlpm.allRows),"",INDEX($N:$N,INDEX(_xlpm.allRows,_xlpm.pos))))</f>
        <v>200</v>
      </c>
      <c r="D45" s="1058" cm="1">
        <f t="array" ref="D45">_xlfn.LET(_xlpm.visRows,_xlfn._xlws.FILTER(ROW($M$42:$M$57),$P$42:$P$57&lt;&gt;0),_xlpm.allRows,_xlfn.VSTACK(_xlpm.visRows,58),_xlpm.pos,ROW()-41,IF(_xlpm.pos&gt;ROWS(_xlpm.allRows),"",INDEX($O:$O,INDEX(_xlpm.allRows,_xlpm.pos))))</f>
        <v>1</v>
      </c>
      <c r="E45" s="1050" cm="1">
        <f t="array" ref="E45">_xlfn.LET(_xlpm.visRows,_xlfn._xlws.FILTER(ROW($M$42:$M$57),$P$42:$P$57&lt;&gt;0),_xlpm.allRows,_xlfn.VSTACK(_xlpm.visRows,58),_xlpm.pos,ROW()-41,IF(_xlpm.pos&gt;ROWS(_xlpm.allRows),"",INDEX($P:$P,INDEX(_xlpm.allRows,_xlpm.pos))))</f>
        <v>200</v>
      </c>
      <c r="F45" s="171"/>
      <c r="G45" s="171"/>
      <c r="H45" s="171"/>
      <c r="I45" s="171"/>
      <c r="J45" s="171"/>
      <c r="K45" s="171"/>
      <c r="L45" s="171"/>
      <c r="M45" s="673" t="str">
        <f>'BDO Prequal'!N18</f>
        <v>CRE Appraisal</v>
      </c>
      <c r="N45" s="1027">
        <f>'BDO Prequal'!O18</f>
        <v>3500</v>
      </c>
      <c r="O45" s="1028">
        <f>'BDO Prequal'!P18</f>
        <v>0</v>
      </c>
      <c r="P45" s="1035">
        <f>'BDO Prequal'!Q18</f>
        <v>0</v>
      </c>
    </row>
    <row r="46" spans="1:16" ht="14.4" x14ac:dyDescent="0.3">
      <c r="A46" s="171"/>
      <c r="B46" s="1223" t="str" cm="1">
        <f t="array" ref="B46">_xlfn.LET(_xlpm.visRows,_xlfn._xlws.FILTER(ROW($M$42:$M$57),$P$42:$P$57&lt;&gt;0),_xlpm.allRows,_xlfn.VSTACK(_xlpm.visRows,58),_xlpm.pos,ROW()-41,IF(_xlpm.pos&lt;=ROWS(_xlpm.allRows),INDEX($M:$M,INDEX(_xlpm.allRows,_xlpm.pos)),""))</f>
        <v>Other:  UCCs and Misc Closing</v>
      </c>
      <c r="C46" s="1050" cm="1">
        <f t="array" ref="C46">_xlfn.LET(_xlpm.visRows,_xlfn._xlws.FILTER(ROW($M$42:$M$57),$P$42:$P$57&lt;&gt;0),_xlpm.allRows,_xlfn.VSTACK(_xlpm.visRows,58),_xlpm.pos,ROW()-41,IF(_xlpm.pos&gt;ROWS(_xlpm.allRows),"",INDEX($N:$N,INDEX(_xlpm.allRows,_xlpm.pos))))</f>
        <v>0</v>
      </c>
      <c r="D46" s="1058" cm="1">
        <f t="array" ref="D46">_xlfn.LET(_xlpm.visRows,_xlfn._xlws.FILTER(ROW($M$42:$M$57),$P$42:$P$57&lt;&gt;0),_xlpm.allRows,_xlfn.VSTACK(_xlpm.visRows,58),_xlpm.pos,ROW()-41,IF(_xlpm.pos&gt;ROWS(_xlpm.allRows),"",INDEX($O:$O,INDEX(_xlpm.allRows,_xlpm.pos))))</f>
        <v>0</v>
      </c>
      <c r="E46" s="1050" cm="1">
        <f t="array" ref="E46">_xlfn.LET(_xlpm.visRows,_xlfn._xlws.FILTER(ROW($M$42:$M$57),$P$42:$P$57&lt;&gt;0),_xlpm.allRows,_xlfn.VSTACK(_xlpm.visRows,58),_xlpm.pos,ROW()-41,IF(_xlpm.pos&gt;ROWS(_xlpm.allRows),"",INDEX($P:$P,INDEX(_xlpm.allRows,_xlpm.pos))))</f>
        <v>800</v>
      </c>
      <c r="F46" s="171"/>
      <c r="G46" s="171"/>
      <c r="H46" s="171"/>
      <c r="I46" s="171"/>
      <c r="J46" s="171"/>
      <c r="K46" s="171"/>
      <c r="L46" s="171"/>
      <c r="M46" s="673" t="str">
        <f>'BDO Prequal'!N19</f>
        <v>Environmental Investigation</v>
      </c>
      <c r="N46" s="1027">
        <f>'BDO Prequal'!O19</f>
        <v>2500</v>
      </c>
      <c r="O46" s="1028">
        <f>'BDO Prequal'!P19</f>
        <v>0</v>
      </c>
      <c r="P46" s="1035">
        <f>'BDO Prequal'!Q19</f>
        <v>0</v>
      </c>
    </row>
    <row r="47" spans="1:16" ht="14.4" x14ac:dyDescent="0.3">
      <c r="A47" s="171"/>
      <c r="B47" s="1223" t="str" cm="1">
        <f t="array" ref="B47">_xlfn.LET(_xlpm.visRows,_xlfn._xlws.FILTER(ROW($M$42:$M$57),$P$42:$P$57&lt;&gt;0),_xlpm.allRows,_xlfn.VSTACK(_xlpm.visRows,58),_xlpm.pos,ROW()-41,IF(_xlpm.pos&lt;=ROWS(_xlpm.allRows),INDEX($M:$M,INDEX(_xlpm.allRows,_xlpm.pos)),""))</f>
        <v>Total Estimated Closing Costs</v>
      </c>
      <c r="C47" s="1050" cm="1">
        <f t="array" ref="C47">_xlfn.LET(_xlpm.visRows,_xlfn._xlws.FILTER(ROW($M$42:$M$57),$P$42:$P$57&lt;&gt;0),_xlpm.allRows,_xlfn.VSTACK(_xlpm.visRows,58),_xlpm.pos,ROW()-41,IF(_xlpm.pos&gt;ROWS(_xlpm.allRows),"",INDEX($N:$N,INDEX(_xlpm.allRows,_xlpm.pos))))</f>
        <v>0</v>
      </c>
      <c r="D47" s="1058" cm="1">
        <f t="array" ref="D47">_xlfn.LET(_xlpm.visRows,_xlfn._xlws.FILTER(ROW($M$42:$M$57),$P$42:$P$57&lt;&gt;0),_xlpm.allRows,_xlfn.VSTACK(_xlpm.visRows,58),_xlpm.pos,ROW()-41,IF(_xlpm.pos&gt;ROWS(_xlpm.allRows),"",INDEX($O:$O,INDEX(_xlpm.allRows,_xlpm.pos))))</f>
        <v>0</v>
      </c>
      <c r="E47" s="1050" cm="1">
        <f t="array" ref="E47">_xlfn.LET(_xlpm.visRows,_xlfn._xlws.FILTER(ROW($M$42:$M$57),$P$42:$P$57&lt;&gt;0),_xlpm.allRows,_xlfn.VSTACK(_xlpm.visRows,58),_xlpm.pos,ROW()-41,IF(_xlpm.pos&gt;ROWS(_xlpm.allRows),"",INDEX($P:$P,INDEX(_xlpm.allRows,_xlpm.pos))))</f>
        <v>118000</v>
      </c>
      <c r="F47" s="171"/>
      <c r="G47" s="171"/>
      <c r="H47" s="171"/>
      <c r="I47" s="171"/>
      <c r="J47" s="171"/>
      <c r="K47" s="171"/>
      <c r="L47" s="171"/>
      <c r="M47" s="673" t="str">
        <f>'BDO Prequal'!N20</f>
        <v>Residential Appr / Valuation</v>
      </c>
      <c r="N47" s="1027">
        <f>'BDO Prequal'!O20</f>
        <v>500</v>
      </c>
      <c r="O47" s="1028">
        <f>'BDO Prequal'!P20</f>
        <v>0</v>
      </c>
      <c r="P47" s="1035">
        <f>'BDO Prequal'!Q20</f>
        <v>0</v>
      </c>
    </row>
    <row r="48" spans="1:16" ht="14.4" x14ac:dyDescent="0.3">
      <c r="A48" s="171"/>
      <c r="B48" s="1223" t="str" cm="1">
        <f t="array" ref="B48">_xlfn.LET(_xlpm.visRows,_xlfn._xlws.FILTER(ROW($M$42:$M$57),$P$42:$P$57&lt;&gt;0),_xlpm.allRows,_xlfn.VSTACK(_xlpm.visRows,58),_xlpm.pos,ROW()-41,IF(_xlpm.pos&lt;=ROWS(_xlpm.allRows),INDEX($M:$M,INDEX(_xlpm.allRows,_xlpm.pos)),""))</f>
        <v/>
      </c>
      <c r="C48" s="1050" t="str" cm="1">
        <f t="array" ref="C48">_xlfn.LET(_xlpm.visRows,_xlfn._xlws.FILTER(ROW($M$42:$M$57),$P$42:$P$57&lt;&gt;0),_xlpm.allRows,_xlfn.VSTACK(_xlpm.visRows,58),_xlpm.pos,ROW()-41,IF(_xlpm.pos&gt;ROWS(_xlpm.allRows),"",INDEX($N:$N,INDEX(_xlpm.allRows,_xlpm.pos))))</f>
        <v/>
      </c>
      <c r="D48" s="1058" t="str" cm="1">
        <f t="array" ref="D48">_xlfn.LET(_xlpm.visRows,_xlfn._xlws.FILTER(ROW($M$42:$M$57),$P$42:$P$57&lt;&gt;0),_xlpm.allRows,_xlfn.VSTACK(_xlpm.visRows,58),_xlpm.pos,ROW()-41,IF(_xlpm.pos&gt;ROWS(_xlpm.allRows),"",INDEX($O:$O,INDEX(_xlpm.allRows,_xlpm.pos))))</f>
        <v/>
      </c>
      <c r="E48" s="1050" t="str" cm="1">
        <f t="array" ref="E48">_xlfn.LET(_xlpm.visRows,_xlfn._xlws.FILTER(ROW($M$42:$M$57),$P$42:$P$57&lt;&gt;0),_xlpm.allRows,_xlfn.VSTACK(_xlpm.visRows,58),_xlpm.pos,ROW()-41,IF(_xlpm.pos&gt;ROWS(_xlpm.allRows),"",INDEX($P:$P,INDEX(_xlpm.allRows,_xlpm.pos))))</f>
        <v/>
      </c>
      <c r="F48" s="171"/>
      <c r="G48" s="171"/>
      <c r="H48" s="171"/>
      <c r="I48" s="171"/>
      <c r="J48" s="171"/>
      <c r="K48" s="171"/>
      <c r="L48" s="171"/>
      <c r="M48" s="673" t="str">
        <f>'BDO Prequal'!N21</f>
        <v>Business Valuation</v>
      </c>
      <c r="N48" s="1027">
        <f>'BDO Prequal'!O21</f>
        <v>2500</v>
      </c>
      <c r="O48" s="1028">
        <f>'BDO Prequal'!P21</f>
        <v>1</v>
      </c>
      <c r="P48" s="1035">
        <f>'BDO Prequal'!Q21</f>
        <v>2500</v>
      </c>
    </row>
    <row r="49" spans="1:16" ht="14.4" x14ac:dyDescent="0.3">
      <c r="A49" s="171"/>
      <c r="B49" s="1223" t="str" cm="1">
        <f t="array" ref="B49">_xlfn.LET(_xlpm.visRows,_xlfn._xlws.FILTER(ROW($M$42:$M$57),$P$42:$P$57&lt;&gt;0),_xlpm.allRows,_xlfn.VSTACK(_xlpm.visRows,58),_xlpm.pos,ROW()-41,IF(_xlpm.pos&lt;=ROWS(_xlpm.allRows),INDEX($M:$M,INDEX(_xlpm.allRows,_xlpm.pos)),""))</f>
        <v/>
      </c>
      <c r="C49" s="1050" t="str" cm="1">
        <f t="array" ref="C49">_xlfn.LET(_xlpm.visRows,_xlfn._xlws.FILTER(ROW($M$42:$M$57),$P$42:$P$57&lt;&gt;0),_xlpm.allRows,_xlfn.VSTACK(_xlpm.visRows,58),_xlpm.pos,ROW()-41,IF(_xlpm.pos&gt;ROWS(_xlpm.allRows),"",INDEX($N:$N,INDEX(_xlpm.allRows,_xlpm.pos))))</f>
        <v/>
      </c>
      <c r="D49" s="1058" t="str" cm="1">
        <f t="array" ref="D49">_xlfn.LET(_xlpm.visRows,_xlfn._xlws.FILTER(ROW($M$42:$M$57),$P$42:$P$57&lt;&gt;0),_xlpm.allRows,_xlfn.VSTACK(_xlpm.visRows,58),_xlpm.pos,ROW()-41,IF(_xlpm.pos&gt;ROWS(_xlpm.allRows),"",INDEX($O:$O,INDEX(_xlpm.allRows,_xlpm.pos))))</f>
        <v/>
      </c>
      <c r="E49" s="1050" t="str" cm="1">
        <f t="array" ref="E49">_xlfn.LET(_xlpm.visRows,_xlfn._xlws.FILTER(ROW($M$42:$M$57),$P$42:$P$57&lt;&gt;0),_xlpm.allRows,_xlfn.VSTACK(_xlpm.visRows,58),_xlpm.pos,ROW()-41,IF(_xlpm.pos&gt;ROWS(_xlpm.allRows),"",INDEX($P:$P,INDEX(_xlpm.allRows,_xlpm.pos))))</f>
        <v/>
      </c>
      <c r="F49" s="171"/>
      <c r="G49" s="171"/>
      <c r="H49" s="171"/>
      <c r="I49" s="171"/>
      <c r="J49" s="171"/>
      <c r="K49" s="171"/>
      <c r="L49" s="171"/>
      <c r="M49" s="673" t="str">
        <f>'BDO Prequal'!N22</f>
        <v>Equipment Appraisal</v>
      </c>
      <c r="N49" s="1027">
        <f>'BDO Prequal'!O22</f>
        <v>0</v>
      </c>
      <c r="O49" s="1028">
        <f>'BDO Prequal'!P22</f>
        <v>0</v>
      </c>
      <c r="P49" s="1035">
        <f>'BDO Prequal'!Q22</f>
        <v>0</v>
      </c>
    </row>
    <row r="50" spans="1:16" ht="14.4" x14ac:dyDescent="0.3">
      <c r="A50" s="171"/>
      <c r="B50" s="1223" t="str" cm="1">
        <f t="array" ref="B50">_xlfn.LET(_xlpm.visRows,_xlfn._xlws.FILTER(ROW($M$42:$M$57),$P$42:$P$57&lt;&gt;0),_xlpm.allRows,_xlfn.VSTACK(_xlpm.visRows,58),_xlpm.pos,ROW()-41,IF(_xlpm.pos&lt;=ROWS(_xlpm.allRows),INDEX($M:$M,INDEX(_xlpm.allRows,_xlpm.pos)),""))</f>
        <v/>
      </c>
      <c r="C50" s="1050" t="str" cm="1">
        <f t="array" ref="C50">_xlfn.LET(_xlpm.visRows,_xlfn._xlws.FILTER(ROW($M$42:$M$57),$P$42:$P$57&lt;&gt;0),_xlpm.allRows,_xlfn.VSTACK(_xlpm.visRows,58),_xlpm.pos,ROW()-41,IF(_xlpm.pos&gt;ROWS(_xlpm.allRows),"",INDEX($N:$N,INDEX(_xlpm.allRows,_xlpm.pos))))</f>
        <v/>
      </c>
      <c r="D50" s="1058" t="str" cm="1">
        <f t="array" ref="D50">_xlfn.LET(_xlpm.visRows,_xlfn._xlws.FILTER(ROW($M$42:$M$57),$P$42:$P$57&lt;&gt;0),_xlpm.allRows,_xlfn.VSTACK(_xlpm.visRows,58),_xlpm.pos,ROW()-41,IF(_xlpm.pos&gt;ROWS(_xlpm.allRows),"",INDEX($O:$O,INDEX(_xlpm.allRows,_xlpm.pos))))</f>
        <v/>
      </c>
      <c r="E50" s="1050" t="str" cm="1">
        <f t="array" ref="E50">_xlfn.LET(_xlpm.visRows,_xlfn._xlws.FILTER(ROW($M$42:$M$57),$P$42:$P$57&lt;&gt;0),_xlpm.allRows,_xlfn.VSTACK(_xlpm.visRows,58),_xlpm.pos,ROW()-41,IF(_xlpm.pos&gt;ROWS(_xlpm.allRows),"",INDEX($P:$P,INDEX(_xlpm.allRows,_xlpm.pos))))</f>
        <v/>
      </c>
      <c r="F50" s="171"/>
      <c r="G50" s="171"/>
      <c r="H50" s="171"/>
      <c r="I50" s="171"/>
      <c r="J50" s="171"/>
      <c r="K50" s="171"/>
      <c r="L50" s="171"/>
      <c r="M50" s="673" t="str">
        <f>'BDO Prequal'!N23</f>
        <v>Site Visit</v>
      </c>
      <c r="N50" s="1027">
        <f>'BDO Prequal'!O23</f>
        <v>350</v>
      </c>
      <c r="O50" s="1028">
        <f>'BDO Prequal'!P23</f>
        <v>0</v>
      </c>
      <c r="P50" s="1035">
        <f>'BDO Prequal'!Q23</f>
        <v>0</v>
      </c>
    </row>
    <row r="51" spans="1:16" ht="14.4" x14ac:dyDescent="0.3">
      <c r="A51" s="171"/>
      <c r="B51" s="1223" t="str" cm="1">
        <f t="array" ref="B51">_xlfn.LET(_xlpm.visRows,_xlfn._xlws.FILTER(ROW($M$42:$M$57),$P$42:$P$57&lt;&gt;0),_xlpm.allRows,_xlfn.VSTACK(_xlpm.visRows,58),_xlpm.pos,ROW()-41,IF(_xlpm.pos&lt;=ROWS(_xlpm.allRows),INDEX($M:$M,INDEX(_xlpm.allRows,_xlpm.pos)),""))</f>
        <v/>
      </c>
      <c r="C51" s="1050" t="str" cm="1">
        <f t="array" ref="C51">_xlfn.LET(_xlpm.visRows,_xlfn._xlws.FILTER(ROW($M$42:$M$57),$P$42:$P$57&lt;&gt;0),_xlpm.allRows,_xlfn.VSTACK(_xlpm.visRows,58),_xlpm.pos,ROW()-41,IF(_xlpm.pos&gt;ROWS(_xlpm.allRows),"",INDEX($N:$N,INDEX(_xlpm.allRows,_xlpm.pos))))</f>
        <v/>
      </c>
      <c r="D51" s="1058" t="str" cm="1">
        <f t="array" ref="D51">_xlfn.LET(_xlpm.visRows,_xlfn._xlws.FILTER(ROW($M$42:$M$57),$P$42:$P$57&lt;&gt;0),_xlpm.allRows,_xlfn.VSTACK(_xlpm.visRows,58),_xlpm.pos,ROW()-41,IF(_xlpm.pos&gt;ROWS(_xlpm.allRows),"",INDEX($O:$O,INDEX(_xlpm.allRows,_xlpm.pos))))</f>
        <v/>
      </c>
      <c r="E51" s="1050" t="str" cm="1">
        <f t="array" ref="E51">_xlfn.LET(_xlpm.visRows,_xlfn._xlws.FILTER(ROW($M$42:$M$57),$P$42:$P$57&lt;&gt;0),_xlpm.allRows,_xlfn.VSTACK(_xlpm.visRows,58),_xlpm.pos,ROW()-41,IF(_xlpm.pos&gt;ROWS(_xlpm.allRows),"",INDEX($P:$P,INDEX(_xlpm.allRows,_xlpm.pos))))</f>
        <v/>
      </c>
      <c r="F51" s="171"/>
      <c r="G51" s="171"/>
      <c r="H51" s="171"/>
      <c r="I51" s="171"/>
      <c r="J51" s="171"/>
      <c r="K51" s="171"/>
      <c r="L51" s="171"/>
      <c r="M51" s="673" t="str">
        <f>'BDO Prequal'!N24</f>
        <v>Construction Monitoring</v>
      </c>
      <c r="N51" s="1027">
        <f>'BDO Prequal'!O24</f>
        <v>0</v>
      </c>
      <c r="O51" s="1028">
        <f>'BDO Prequal'!P24</f>
        <v>0</v>
      </c>
      <c r="P51" s="1035">
        <f>'BDO Prequal'!Q24</f>
        <v>0</v>
      </c>
    </row>
    <row r="52" spans="1:16" ht="14.4" x14ac:dyDescent="0.3">
      <c r="A52" s="171"/>
      <c r="B52" s="1223" t="str" cm="1">
        <f t="array" ref="B52">_xlfn.LET(_xlpm.visRows,_xlfn._xlws.FILTER(ROW($M$42:$M$57),$P$42:$P$57&lt;&gt;0),_xlpm.allRows,_xlfn.VSTACK(_xlpm.visRows,58),_xlpm.pos,ROW()-41,IF(_xlpm.pos&lt;=ROWS(_xlpm.allRows),INDEX($M:$M,INDEX(_xlpm.allRows,_xlpm.pos)),""))</f>
        <v/>
      </c>
      <c r="C52" s="1050" t="str" cm="1">
        <f t="array" ref="C52">_xlfn.LET(_xlpm.visRows,_xlfn._xlws.FILTER(ROW($M$42:$M$57),$P$42:$P$57&lt;&gt;0),_xlpm.allRows,_xlfn.VSTACK(_xlpm.visRows,58),_xlpm.pos,ROW()-41,IF(_xlpm.pos&gt;ROWS(_xlpm.allRows),"",INDEX($N:$N,INDEX(_xlpm.allRows,_xlpm.pos))))</f>
        <v/>
      </c>
      <c r="D52" s="1058" t="str" cm="1">
        <f t="array" ref="D52">_xlfn.LET(_xlpm.visRows,_xlfn._xlws.FILTER(ROW($M$42:$M$57),$P$42:$P$57&lt;&gt;0),_xlpm.allRows,_xlfn.VSTACK(_xlpm.visRows,58),_xlpm.pos,ROW()-41,IF(_xlpm.pos&gt;ROWS(_xlpm.allRows),"",INDEX($O:$O,INDEX(_xlpm.allRows,_xlpm.pos))))</f>
        <v/>
      </c>
      <c r="E52" s="1050" t="str" cm="1">
        <f t="array" ref="E52">_xlfn.LET(_xlpm.visRows,_xlfn._xlws.FILTER(ROW($M$42:$M$57),$P$42:$P$57&lt;&gt;0),_xlpm.allRows,_xlfn.VSTACK(_xlpm.visRows,58),_xlpm.pos,ROW()-41,IF(_xlpm.pos&gt;ROWS(_xlpm.allRows),"",INDEX($P:$P,INDEX(_xlpm.allRows,_xlpm.pos))))</f>
        <v/>
      </c>
      <c r="F52" s="171"/>
      <c r="G52" s="171"/>
      <c r="H52" s="171"/>
      <c r="I52" s="171"/>
      <c r="J52" s="171"/>
      <c r="K52" s="171"/>
      <c r="L52" s="171"/>
      <c r="M52" s="673" t="str">
        <f>'BDO Prequal'!N25</f>
        <v>Loan Packaging Fee</v>
      </c>
      <c r="N52" s="1027">
        <f>'BDO Prequal'!O25</f>
        <v>2500</v>
      </c>
      <c r="O52" s="1028">
        <f>'BDO Prequal'!P25</f>
        <v>1</v>
      </c>
      <c r="P52" s="1035">
        <f>'BDO Prequal'!Q25</f>
        <v>2500</v>
      </c>
    </row>
    <row r="53" spans="1:16" ht="14.4" x14ac:dyDescent="0.3">
      <c r="A53" s="171"/>
      <c r="B53" s="1223" t="str" cm="1">
        <f t="array" ref="B53">_xlfn.LET(_xlpm.visRows,_xlfn._xlws.FILTER(ROW($M$42:$M$57),$P$42:$P$57&lt;&gt;0),_xlpm.allRows,_xlfn.VSTACK(_xlpm.visRows,58),_xlpm.pos,ROW()-41,IF(_xlpm.pos&lt;=ROWS(_xlpm.allRows),INDEX($M:$M,INDEX(_xlpm.allRows,_xlpm.pos)),""))</f>
        <v/>
      </c>
      <c r="C53" s="1050" t="str" cm="1">
        <f t="array" ref="C53">_xlfn.LET(_xlpm.visRows,_xlfn._xlws.FILTER(ROW($M$42:$M$57),$P$42:$P$57&lt;&gt;0),_xlpm.allRows,_xlfn.VSTACK(_xlpm.visRows,58),_xlpm.pos,ROW()-41,IF(_xlpm.pos&gt;ROWS(_xlpm.allRows),"",INDEX($N:$N,INDEX(_xlpm.allRows,_xlpm.pos))))</f>
        <v/>
      </c>
      <c r="D53" s="1058" t="str" cm="1">
        <f t="array" ref="D53">_xlfn.LET(_xlpm.visRows,_xlfn._xlws.FILTER(ROW($M$42:$M$57),$P$42:$P$57&lt;&gt;0),_xlpm.allRows,_xlfn.VSTACK(_xlpm.visRows,58),_xlpm.pos,ROW()-41,IF(_xlpm.pos&gt;ROWS(_xlpm.allRows),"",INDEX($O:$O,INDEX(_xlpm.allRows,_xlpm.pos))))</f>
        <v/>
      </c>
      <c r="E53" s="1050" t="str" cm="1">
        <f t="array" ref="E53">_xlfn.LET(_xlpm.visRows,_xlfn._xlws.FILTER(ROW($M$42:$M$57),$P$42:$P$57&lt;&gt;0),_xlpm.allRows,_xlfn.VSTACK(_xlpm.visRows,58),_xlpm.pos,ROW()-41,IF(_xlpm.pos&gt;ROWS(_xlpm.allRows),"",INDEX($P:$P,INDEX(_xlpm.allRows,_xlpm.pos))))</f>
        <v/>
      </c>
      <c r="F53" s="171"/>
      <c r="G53" s="171"/>
      <c r="H53" s="171"/>
      <c r="I53" s="171"/>
      <c r="J53" s="171"/>
      <c r="K53" s="171"/>
      <c r="L53" s="171"/>
      <c r="M53" s="673" t="str">
        <f>'BDO Prequal'!N26</f>
        <v>Closing Doc Prep</v>
      </c>
      <c r="N53" s="1027">
        <f>'BDO Prequal'!O26</f>
        <v>7000</v>
      </c>
      <c r="O53" s="1028">
        <f>'BDO Prequal'!P26</f>
        <v>0</v>
      </c>
      <c r="P53" s="1035">
        <f>'BDO Prequal'!Q26</f>
        <v>0</v>
      </c>
    </row>
    <row r="54" spans="1:16" ht="14.4" x14ac:dyDescent="0.3">
      <c r="A54" s="171"/>
      <c r="B54" s="1223" t="str" cm="1">
        <f t="array" ref="B54">_xlfn.LET(_xlpm.visRows,_xlfn._xlws.FILTER(ROW($M$42:$M$57),$P$42:$P$57&lt;&gt;0),_xlpm.allRows,_xlfn.VSTACK(_xlpm.visRows,58),_xlpm.pos,ROW()-41,IF(_xlpm.pos&lt;=ROWS(_xlpm.allRows),INDEX($M:$M,INDEX(_xlpm.allRows,_xlpm.pos)),""))</f>
        <v/>
      </c>
      <c r="C54" s="1050" t="str" cm="1">
        <f t="array" ref="C54">_xlfn.LET(_xlpm.visRows,_xlfn._xlws.FILTER(ROW($M$42:$M$57),$P$42:$P$57&lt;&gt;0),_xlpm.allRows,_xlfn.VSTACK(_xlpm.visRows,58),_xlpm.pos,ROW()-41,IF(_xlpm.pos&gt;ROWS(_xlpm.allRows),"",INDEX($N:$N,INDEX(_xlpm.allRows,_xlpm.pos))))</f>
        <v/>
      </c>
      <c r="D54" s="1058" t="str" cm="1">
        <f t="array" ref="D54">_xlfn.LET(_xlpm.visRows,_xlfn._xlws.FILTER(ROW($M$42:$M$57),$P$42:$P$57&lt;&gt;0),_xlpm.allRows,_xlfn.VSTACK(_xlpm.visRows,58),_xlpm.pos,ROW()-41,IF(_xlpm.pos&gt;ROWS(_xlpm.allRows),"",INDEX($O:$O,INDEX(_xlpm.allRows,_xlpm.pos))))</f>
        <v/>
      </c>
      <c r="E54" s="1050" t="str" cm="1">
        <f t="array" ref="E54">_xlfn.LET(_xlpm.visRows,_xlfn._xlws.FILTER(ROW($M$42:$M$57),$P$42:$P$57&lt;&gt;0),_xlpm.allRows,_xlfn.VSTACK(_xlpm.visRows,58),_xlpm.pos,ROW()-41,IF(_xlpm.pos&gt;ROWS(_xlpm.allRows),"",INDEX($P:$P,INDEX(_xlpm.allRows,_xlpm.pos))))</f>
        <v/>
      </c>
      <c r="F54" s="171"/>
      <c r="G54" s="171"/>
      <c r="H54" s="171"/>
      <c r="I54" s="171"/>
      <c r="J54" s="171"/>
      <c r="K54" s="171"/>
      <c r="L54" s="171"/>
      <c r="M54" s="673" t="str">
        <f>'BDO Prequal'!N27</f>
        <v>Interim Loan Fee / Origination</v>
      </c>
      <c r="N54" s="1027">
        <f>'BDO Prequal'!O27</f>
        <v>112000</v>
      </c>
      <c r="O54" s="1028">
        <f>'BDO Prequal'!P27</f>
        <v>1</v>
      </c>
      <c r="P54" s="1035">
        <f>'BDO Prequal'!Q27</f>
        <v>112000</v>
      </c>
    </row>
    <row r="55" spans="1:16" ht="14.4" x14ac:dyDescent="0.3">
      <c r="A55" s="171"/>
      <c r="B55" s="1223" t="str" cm="1">
        <f t="array" ref="B55">_xlfn.LET(_xlpm.visRows,_xlfn._xlws.FILTER(ROW($M$42:$M$57),$P$42:$P$57&lt;&gt;0),_xlpm.allRows,_xlfn.VSTACK(_xlpm.visRows,58),_xlpm.pos,ROW()-41,IF(_xlpm.pos&lt;=ROWS(_xlpm.allRows),INDEX($M:$M,INDEX(_xlpm.allRows,_xlpm.pos)),""))</f>
        <v/>
      </c>
      <c r="C55" s="1050" t="str" cm="1">
        <f t="array" ref="C55">_xlfn.LET(_xlpm.visRows,_xlfn._xlws.FILTER(ROW($M$42:$M$57),$P$42:$P$57&lt;&gt;0),_xlpm.allRows,_xlfn.VSTACK(_xlpm.visRows,58),_xlpm.pos,ROW()-41,IF(_xlpm.pos&gt;ROWS(_xlpm.allRows),"",INDEX($N:$N,INDEX(_xlpm.allRows,_xlpm.pos))))</f>
        <v/>
      </c>
      <c r="D55" s="1058" t="str" cm="1">
        <f t="array" ref="D55">_xlfn.LET(_xlpm.visRows,_xlfn._xlws.FILTER(ROW($M$42:$M$57),$P$42:$P$57&lt;&gt;0),_xlpm.allRows,_xlfn.VSTACK(_xlpm.visRows,58),_xlpm.pos,ROW()-41,IF(_xlpm.pos&gt;ROWS(_xlpm.allRows),"",INDEX($O:$O,INDEX(_xlpm.allRows,_xlpm.pos))))</f>
        <v/>
      </c>
      <c r="E55" s="1050" t="str" cm="1">
        <f t="array" ref="E55">_xlfn.LET(_xlpm.visRows,_xlfn._xlws.FILTER(ROW($M$42:$M$57),$P$42:$P$57&lt;&gt;0),_xlpm.allRows,_xlfn.VSTACK(_xlpm.visRows,58),_xlpm.pos,ROW()-41,IF(_xlpm.pos&gt;ROWS(_xlpm.allRows),"",INDEX($P:$P,INDEX(_xlpm.allRows,_xlpm.pos))))</f>
        <v/>
      </c>
      <c r="F55" s="171"/>
      <c r="G55" s="171"/>
      <c r="H55" s="171"/>
      <c r="I55" s="171"/>
      <c r="J55" s="171"/>
      <c r="K55" s="171"/>
      <c r="L55" s="171"/>
      <c r="M55" s="673" t="str">
        <f>'BDO Prequal'!N28</f>
        <v>SBA TPL Fee (Third Party Lender)</v>
      </c>
      <c r="N55" s="1027">
        <f>'BDO Prequal'!O28</f>
        <v>0</v>
      </c>
      <c r="O55" s="1028">
        <f>'BDO Prequal'!P28</f>
        <v>0</v>
      </c>
      <c r="P55" s="1035">
        <f>'BDO Prequal'!Q28</f>
        <v>0</v>
      </c>
    </row>
    <row r="56" spans="1:16" ht="14.4" x14ac:dyDescent="0.3">
      <c r="A56" s="171"/>
      <c r="B56" s="1223" t="str" cm="1">
        <f t="array" ref="B56">_xlfn.LET(_xlpm.visRows,_xlfn._xlws.FILTER(ROW($M$42:$M$57),$P$42:$P$57&lt;&gt;0),_xlpm.allRows,_xlfn.VSTACK(_xlpm.visRows,58),_xlpm.pos,ROW()-41,IF(_xlpm.pos&lt;=ROWS(_xlpm.allRows),INDEX($M:$M,INDEX(_xlpm.allRows,_xlpm.pos)),""))</f>
        <v/>
      </c>
      <c r="C56" s="1050" t="str" cm="1">
        <f t="array" ref="C56">_xlfn.LET(_xlpm.visRows,_xlfn._xlws.FILTER(ROW($M$42:$M$57),$P$42:$P$57&lt;&gt;0),_xlpm.allRows,_xlfn.VSTACK(_xlpm.visRows,58),_xlpm.pos,ROW()-41,IF(_xlpm.pos&gt;ROWS(_xlpm.allRows),"",INDEX($N:$N,INDEX(_xlpm.allRows,_xlpm.pos))))</f>
        <v/>
      </c>
      <c r="D56" s="1058" t="str" cm="1">
        <f t="array" ref="D56">_xlfn.LET(_xlpm.visRows,_xlfn._xlws.FILTER(ROW($M$42:$M$57),$P$42:$P$57&lt;&gt;0),_xlpm.allRows,_xlfn.VSTACK(_xlpm.visRows,58),_xlpm.pos,ROW()-41,IF(_xlpm.pos&gt;ROWS(_xlpm.allRows),"",INDEX($O:$O,INDEX(_xlpm.allRows,_xlpm.pos))))</f>
        <v/>
      </c>
      <c r="E56" s="1050" t="str" cm="1">
        <f t="array" ref="E56">_xlfn.LET(_xlpm.visRows,_xlfn._xlws.FILTER(ROW($M$42:$M$57),$P$42:$P$57&lt;&gt;0),_xlpm.allRows,_xlfn.VSTACK(_xlpm.visRows,58),_xlpm.pos,ROW()-41,IF(_xlpm.pos&gt;ROWS(_xlpm.allRows),"",INDEX($P:$P,INDEX(_xlpm.allRows,_xlpm.pos))))</f>
        <v/>
      </c>
      <c r="F56" s="171"/>
      <c r="G56" s="171"/>
      <c r="H56" s="171"/>
      <c r="I56" s="171"/>
      <c r="J56" s="171"/>
      <c r="K56" s="171"/>
      <c r="L56" s="171"/>
      <c r="M56" s="673" t="str">
        <f>'BDO Prequal'!N29</f>
        <v>Rounding</v>
      </c>
      <c r="N56" s="1027">
        <f>'BDO Prequal'!O29</f>
        <v>200</v>
      </c>
      <c r="O56" s="1028">
        <f>'BDO Prequal'!P29</f>
        <v>1</v>
      </c>
      <c r="P56" s="1035">
        <f>'BDO Prequal'!Q29</f>
        <v>200</v>
      </c>
    </row>
    <row r="57" spans="1:16" ht="15" thickBot="1" x14ac:dyDescent="0.35">
      <c r="A57" s="171"/>
      <c r="B57" s="1223" t="str" cm="1">
        <f t="array" ref="B57">_xlfn.LET(_xlpm.visRows,_xlfn._xlws.FILTER(ROW($M$42:$M$57),$P$42:$P$57&lt;&gt;0),_xlpm.allRows,_xlfn.VSTACK(_xlpm.visRows,58),_xlpm.pos,ROW()-41,IF(_xlpm.pos&lt;=ROWS(_xlpm.allRows),INDEX($M:$M,INDEX(_xlpm.allRows,_xlpm.pos)),""))</f>
        <v/>
      </c>
      <c r="C57" s="1050" t="str" cm="1">
        <f t="array" ref="C57">_xlfn.LET(_xlpm.visRows,_xlfn._xlws.FILTER(ROW($M$42:$M$57),$P$42:$P$57&lt;&gt;0),_xlpm.allRows,_xlfn.VSTACK(_xlpm.visRows,58),_xlpm.pos,ROW()-41,IF(_xlpm.pos&gt;ROWS(_xlpm.allRows),"",INDEX($N:$N,INDEX(_xlpm.allRows,_xlpm.pos))))</f>
        <v/>
      </c>
      <c r="D57" s="1058" t="str" cm="1">
        <f t="array" ref="D57">_xlfn.LET(_xlpm.visRows,_xlfn._xlws.FILTER(ROW($M$42:$M$57),$P$42:$P$57&lt;&gt;0),_xlpm.allRows,_xlfn.VSTACK(_xlpm.visRows,58),_xlpm.pos,ROW()-41,IF(_xlpm.pos&gt;ROWS(_xlpm.allRows),"",INDEX($O:$O,INDEX(_xlpm.allRows,_xlpm.pos))))</f>
        <v/>
      </c>
      <c r="E57" s="1050" t="str" cm="1">
        <f t="array" ref="E57">_xlfn.LET(_xlpm.visRows,_xlfn._xlws.FILTER(ROW($M$42:$M$57),$P$42:$P$57&lt;&gt;0),_xlpm.allRows,_xlfn.VSTACK(_xlpm.visRows,58),_xlpm.pos,ROW()-41,IF(_xlpm.pos&gt;ROWS(_xlpm.allRows),"",INDEX($P:$P,INDEX(_xlpm.allRows,_xlpm.pos))))</f>
        <v/>
      </c>
      <c r="F57" s="171"/>
      <c r="G57" s="171"/>
      <c r="H57" s="171"/>
      <c r="I57" s="171"/>
      <c r="J57" s="171"/>
      <c r="K57" s="171"/>
      <c r="L57" s="171"/>
      <c r="M57" s="1029" t="str">
        <f>'BDO Prequal'!N30</f>
        <v>Other:  UCCs and Misc Closing</v>
      </c>
      <c r="N57" s="1030"/>
      <c r="O57" s="1032"/>
      <c r="P57" s="1038">
        <f>'BDO Prequal'!Q30</f>
        <v>800</v>
      </c>
    </row>
    <row r="58" spans="1:16" ht="15" thickBot="1" x14ac:dyDescent="0.35">
      <c r="A58" s="171"/>
      <c r="B58" s="1224" t="str" cm="1">
        <f t="array" ref="B58">_xlfn.LET(_xlpm.visRows,_xlfn._xlws.FILTER(ROW($M$42:$M$57),$P$42:$P$57&lt;&gt;0),_xlpm.allRows,_xlfn.VSTACK(_xlpm.visRows,58),_xlpm.pos,ROW()-41,IF(_xlpm.pos&lt;=ROWS(_xlpm.allRows),INDEX($M:$M,INDEX(_xlpm.allRows,_xlpm.pos)),""))</f>
        <v/>
      </c>
      <c r="C58" s="1054" t="str" cm="1">
        <f t="array" ref="C58">_xlfn.LET(_xlpm.visRows,_xlfn._xlws.FILTER(ROW($M$42:$M$57),$P$42:$P$57&lt;&gt;0),_xlpm.allRows,_xlfn.VSTACK(_xlpm.visRows,58),_xlpm.pos,ROW()-41,IF(_xlpm.pos&gt;ROWS(_xlpm.allRows),"",INDEX($N:$N,INDEX(_xlpm.allRows,_xlpm.pos))))</f>
        <v/>
      </c>
      <c r="D58" s="1061" t="str" cm="1">
        <f t="array" ref="D58">_xlfn.LET(_xlpm.visRows,_xlfn._xlws.FILTER(ROW($M$42:$M$57),$P$42:$P$57&lt;&gt;0),_xlpm.allRows,_xlfn.VSTACK(_xlpm.visRows,58),_xlpm.pos,ROW()-41,IF(_xlpm.pos&gt;ROWS(_xlpm.allRows),"",INDEX($O:$O,INDEX(_xlpm.allRows,_xlpm.pos))))</f>
        <v/>
      </c>
      <c r="E58" s="1054" t="str" cm="1">
        <f t="array" ref="E58">_xlfn.LET(_xlpm.visRows,_xlfn._xlws.FILTER(ROW($M$42:$M$57),$P$42:$P$57&lt;&gt;0),_xlpm.allRows,_xlfn.VSTACK(_xlpm.visRows,58),_xlpm.pos,ROW()-41,IF(_xlpm.pos&gt;ROWS(_xlpm.allRows),"",INDEX($P:$P,INDEX(_xlpm.allRows,_xlpm.pos))))</f>
        <v/>
      </c>
      <c r="F58" s="171"/>
      <c r="G58" s="171"/>
      <c r="H58" s="171"/>
      <c r="I58" s="171"/>
      <c r="J58" s="171"/>
      <c r="K58" s="171"/>
      <c r="L58" s="171"/>
      <c r="M58" s="1036" t="str">
        <f>'BDO Prequal'!N31</f>
        <v>Total Estimated Closing Costs</v>
      </c>
      <c r="N58" s="1031"/>
      <c r="O58" s="1033"/>
      <c r="P58" s="1037">
        <f>'BDO Prequal'!Q31</f>
        <v>118000</v>
      </c>
    </row>
    <row r="59" spans="1:16" ht="13.8" x14ac:dyDescent="0.3">
      <c r="B59" s="800"/>
    </row>
    <row r="60" spans="1:16" ht="13.8" x14ac:dyDescent="0.3"/>
    <row r="61" spans="1:16" ht="13.8" customHeight="1" x14ac:dyDescent="0.3">
      <c r="B61" s="801"/>
      <c r="C61" s="801"/>
      <c r="D61" s="1091" t="s">
        <v>253</v>
      </c>
      <c r="E61" s="1099"/>
      <c r="F61" s="1110"/>
      <c r="G61" s="1100"/>
    </row>
    <row r="62" spans="1:16" ht="14.4" thickBot="1" x14ac:dyDescent="0.35">
      <c r="B62" s="801"/>
      <c r="C62" s="801"/>
      <c r="D62" s="1069" t="s">
        <v>254</v>
      </c>
      <c r="E62" s="665"/>
      <c r="F62" s="666"/>
      <c r="G62" s="1101"/>
    </row>
    <row r="63" spans="1:16" ht="14.4" thickBot="1" x14ac:dyDescent="0.35">
      <c r="B63" s="801"/>
      <c r="C63" s="801"/>
      <c r="D63" s="1102"/>
      <c r="E63" s="805" t="s">
        <v>255</v>
      </c>
      <c r="F63" s="805" t="s">
        <v>256</v>
      </c>
      <c r="G63" s="805" t="s">
        <v>257</v>
      </c>
    </row>
    <row r="64" spans="1:16" ht="13.8" x14ac:dyDescent="0.3">
      <c r="B64" s="802" t="s">
        <v>505</v>
      </c>
      <c r="C64" s="1108">
        <v>1</v>
      </c>
      <c r="D64" s="1111" t="str">
        <f>IF(C64='BDO Prequal'!E15,'BDO Prequal'!E17,IF(C64='BDO Prequal'!F15,'BDO Prequal'!F17,IF(C64='BDO Prequal'!G15,'BDO Prequal'!G17,IF(C64='BDO Prequal'!H15,'BDO Prequal'!H17,IF(C64='BDO Prequal'!I15,'BDO Prequal'!I17,IF(C64='BDO Prequal'!J15,'BDO Prequal'!J17,IF(C64='BDO Prequal'!K15,'BDO Prequal'!K17,'BDO Prequal'!E17)))))))</f>
        <v>SBA 7(a)</v>
      </c>
      <c r="E64" s="676">
        <f>IF(C64='BDO Prequal'!E15,'BDO Prequal'!E18,IF(C64='BDO Prequal'!F15,'BDO Prequal'!F18,IF(C64='BDO Prequal'!G15,'BDO Prequal'!G18,IF(C64='BDO Prequal'!H15,'BDO Prequal'!H18,IF(C64='BDO Prequal'!I15,'BDO Prequal'!I18,IF(C64='BDO Prequal'!J15,'BDO Prequal'!J18,IF(C64='BDO Prequal'!K15,'BDO Prequal'!K18,'BDO Prequal'!E18)))))))</f>
        <v>612591</v>
      </c>
      <c r="F64" s="699">
        <f ca="1">IF(C64='BDO Prequal'!E15,'BDO Prequal'!E25,IF(C64='BDO Prequal'!F15,'BDO Prequal'!F25,IF(C64='BDO Prequal'!G15,'BDO Prequal'!G25,IF(C64='BDO Prequal'!H15,'BDO Prequal'!H25,IF(C64='BDO Prequal'!I15,'BDO Prequal'!I25,IF(C64='BDO Prequal'!J15,'BDO Prequal'!J25,IF(C64='BDO Prequal'!K15,'BDO Prequal'!K25,'BDO Prequal'!E25)))))))</f>
        <v>7515.7978922910297</v>
      </c>
      <c r="G64" s="1112">
        <f>IF(C64='BDO Prequal'!E15,'BDO Prequal'!E21,IF(C64='BDO Prequal'!F15,'BDO Prequal'!F21,IF(C64='BDO Prequal'!G15,'BDO Prequal'!G21,IF(C64='BDO Prequal'!H15,'BDO Prequal'!H21,IF(C64='BDO Prequal'!I15,'BDO Prequal'!I21,IF(C64='BDO Prequal'!J15,'BDO Prequal'!J21,IF(C64='BDO Prequal'!K15,'BDO Prequal'!K21,'BDO Prequal'!E21)))))))</f>
        <v>8.2500000000000004E-2</v>
      </c>
    </row>
    <row r="65" spans="2:16" ht="14.4" thickBot="1" x14ac:dyDescent="0.35">
      <c r="B65" s="803" t="s">
        <v>504</v>
      </c>
      <c r="C65" s="1109">
        <v>2</v>
      </c>
      <c r="D65" s="1113" t="str">
        <f>IF(C65='BDO Prequal'!E15,'BDO Prequal'!E17,IF(C65='BDO Prequal'!F15,'BDO Prequal'!F17,IF(C65='BDO Prequal'!G15,'BDO Prequal'!G17,IF(C65='BDO Prequal'!H15,'BDO Prequal'!H17,IF(C65='BDO Prequal'!I15,'BDO Prequal'!I17,IF(C65='BDO Prequal'!J15,'BDO Prequal'!J17,IF(C65='BDO Prequal'!K15,'BDO Prequal'!K17,'BDO Prequal'!E17)))))))</f>
        <v>SBA 7(a)</v>
      </c>
      <c r="E65" s="676">
        <f>IF(C65='BDO Prequal'!E15,'BDO Prequal'!E18,IF(C65='BDO Prequal'!F15,'BDO Prequal'!F18,IF(C65='BDO Prequal'!G15,'BDO Prequal'!G18,IF(C65='BDO Prequal'!H15,'BDO Prequal'!H18,IF(C65='BDO Prequal'!I15,'BDO Prequal'!I18,IF(C65='BDO Prequal'!J15,'BDO Prequal'!J18,IF(C65='BDO Prequal'!K15,'BDO Prequal'!K18,'BDO Prequal'!F18)))))))</f>
        <v>2746607</v>
      </c>
      <c r="F65" s="699">
        <f ca="1">IF(C65='BDO Prequal'!E15,'BDO Prequal'!E25,IF(C65='BDO Prequal'!F15,'BDO Prequal'!F25,IF(C65='BDO Prequal'!G15,'BDO Prequal'!G25,IF(C65='BDO Prequal'!H15,'BDO Prequal'!H25,IF(C65='BDO Prequal'!I15,'BDO Prequal'!I25,IF(C65='BDO Prequal'!J15,'BDO Prequal'!J25,IF(C65='BDO Prequal'!K15,'BDO Prequal'!K25,'BDO Prequal'!F25)))))))</f>
        <v>30417.001209321479</v>
      </c>
      <c r="G65" s="1112">
        <f>IF(C65='BDO Prequal'!E15,'BDO Prequal'!E21,IF(C65='BDO Prequal'!F15,'BDO Prequal'!F21,IF(C65='BDO Prequal'!G15,'BDO Prequal'!G21,IF(C65='BDO Prequal'!H15,'BDO Prequal'!H21,IF(C65='BDO Prequal'!I15,'BDO Prequal'!I21,IF(C65='BDO Prequal'!J15,'BDO Prequal'!J21,IF(C65='BDO Prequal'!K15,'BDO Prequal'!K21,'BDO Prequal'!F21)))))))</f>
        <v>5.9400000000000001E-2</v>
      </c>
    </row>
    <row r="66" spans="2:16" ht="13.8" x14ac:dyDescent="0.3">
      <c r="B66" s="801"/>
      <c r="C66" s="801"/>
      <c r="D66" s="1114" t="s">
        <v>258</v>
      </c>
      <c r="E66" s="713">
        <f>E64+E65</f>
        <v>3359198</v>
      </c>
      <c r="F66" s="1115">
        <f ca="1">F64+F65</f>
        <v>37932.799101612509</v>
      </c>
      <c r="G66" s="1116">
        <f>(E64*G64+E65*G65)/E66</f>
        <v>6.3612568625011093E-2</v>
      </c>
    </row>
    <row r="67" spans="2:16" ht="13.8" x14ac:dyDescent="0.3"/>
    <row r="68" spans="2:16" ht="13.8" x14ac:dyDescent="0.3"/>
    <row r="69" spans="2:16" ht="13.8" x14ac:dyDescent="0.3">
      <c r="B69" s="1091" t="s">
        <v>507</v>
      </c>
      <c r="C69" s="1099"/>
      <c r="D69" s="1100"/>
    </row>
    <row r="70" spans="2:16" ht="14.4" thickBot="1" x14ac:dyDescent="0.35">
      <c r="B70" s="1069"/>
      <c r="C70" s="665"/>
      <c r="D70" s="1101"/>
    </row>
    <row r="71" spans="2:16" ht="13.8" x14ac:dyDescent="0.3">
      <c r="B71" s="1102"/>
      <c r="C71" s="805" t="s">
        <v>508</v>
      </c>
      <c r="D71" s="805" t="s">
        <v>509</v>
      </c>
    </row>
    <row r="72" spans="2:16" ht="14.4" thickBot="1" x14ac:dyDescent="0.35">
      <c r="B72" s="1225" t="str">
        <f>'BDO Prequal'!O50</f>
        <v>Bridge / Interim Loan</v>
      </c>
      <c r="C72" s="700">
        <f>'BDO Prequal'!P51</f>
        <v>1.4999999999999999E-2</v>
      </c>
      <c r="D72" s="1103">
        <f>'BDO Prequal'!P50</f>
        <v>3221935</v>
      </c>
    </row>
    <row r="73" spans="2:16" ht="14.4" thickBot="1" x14ac:dyDescent="0.35">
      <c r="B73" s="1226" t="str">
        <f>'BDO Prequal'!O52</f>
        <v>Interim Loan Fee % to Perm Loan</v>
      </c>
      <c r="C73" s="701">
        <f>'BDO Prequal'!P52</f>
        <v>1.1407872724000272E-2</v>
      </c>
      <c r="D73" s="1104">
        <f>'BDO Prequal'!Q52</f>
        <v>48329.025000000001</v>
      </c>
      <c r="M73" s="1064" t="s">
        <v>530</v>
      </c>
    </row>
    <row r="74" spans="2:16" ht="14.4" thickTop="1" x14ac:dyDescent="0.3">
      <c r="B74" s="1227" t="str">
        <f>'BDO Prequal'!O53</f>
        <v>SBA TPL Fee %</v>
      </c>
      <c r="C74" s="702">
        <f>'BDO Prequal'!P53</f>
        <v>5.0000000000000001E-3</v>
      </c>
      <c r="D74" s="689">
        <f>'BDO Prequal'!Q53</f>
        <v>21182.3125</v>
      </c>
      <c r="M74" s="1311" t="s">
        <v>528</v>
      </c>
      <c r="N74" s="1312"/>
      <c r="O74" s="1312"/>
      <c r="P74" s="1313"/>
    </row>
    <row r="75" spans="2:16" ht="14.4" thickBot="1" x14ac:dyDescent="0.35">
      <c r="B75" s="1227" t="str">
        <f>'BDO Prequal'!O54</f>
        <v>Referral Fee %</v>
      </c>
      <c r="C75" s="702">
        <f>'BDO Prequal'!P54</f>
        <v>0.01</v>
      </c>
      <c r="D75" s="689">
        <f>'BDO Prequal'!Q54</f>
        <v>42364.625</v>
      </c>
      <c r="M75" s="1314"/>
      <c r="N75" s="1315"/>
      <c r="O75" s="1315"/>
      <c r="P75" s="1316"/>
    </row>
    <row r="76" spans="2:16" ht="15" thickTop="1" thickBot="1" x14ac:dyDescent="0.35">
      <c r="B76" s="1225" t="str">
        <f>'BDO Prequal'!O55</f>
        <v>Participant Fee %</v>
      </c>
      <c r="C76" s="700">
        <f>'BDO Prequal'!P55</f>
        <v>0</v>
      </c>
      <c r="D76" s="1103">
        <f>'BDO Prequal'!Q55</f>
        <v>0</v>
      </c>
      <c r="M76" s="1064" t="s">
        <v>529</v>
      </c>
    </row>
    <row r="77" spans="2:16" ht="14.4" thickBot="1" x14ac:dyDescent="0.35">
      <c r="B77" s="1228" t="str">
        <f>'BDO Prequal'!O56</f>
        <v>Origination Fee Total</v>
      </c>
      <c r="C77" s="1021">
        <f>'BDO Prequal'!P56</f>
        <v>4.1407872724000275E-2</v>
      </c>
      <c r="D77" s="1105">
        <f>'BDO Prequal'!Q56</f>
        <v>111875.96249999999</v>
      </c>
    </row>
    <row r="78" spans="2:16" ht="13.8" x14ac:dyDescent="0.3">
      <c r="B78" s="1229" t="str">
        <f>'BDO Prequal'!O57</f>
        <v>Rounded Fee</v>
      </c>
      <c r="C78" s="1106"/>
      <c r="D78" s="1107">
        <f>'BDO Prequal'!Q57</f>
        <v>112000</v>
      </c>
    </row>
    <row r="79" spans="2:16" ht="13.8" x14ac:dyDescent="0.3"/>
    <row r="80" spans="2:16" ht="14.4" thickBot="1" x14ac:dyDescent="0.35"/>
    <row r="81" spans="2:8" ht="13.8" x14ac:dyDescent="0.3">
      <c r="B81" s="703" t="s">
        <v>183</v>
      </c>
      <c r="C81" s="704"/>
      <c r="D81" s="704"/>
      <c r="E81" s="704"/>
      <c r="F81" s="704"/>
      <c r="G81" s="704"/>
      <c r="H81" s="705"/>
    </row>
    <row r="82" spans="2:8" ht="14.4" thickBot="1" x14ac:dyDescent="0.35">
      <c r="B82" s="706"/>
      <c r="C82" s="707"/>
      <c r="D82" s="707"/>
      <c r="E82" s="707"/>
      <c r="F82" s="707"/>
      <c r="G82" s="707"/>
      <c r="H82" s="708"/>
    </row>
    <row r="83" spans="2:8" ht="27.6" x14ac:dyDescent="0.3">
      <c r="B83" s="1317" t="s">
        <v>185</v>
      </c>
      <c r="C83" s="1318"/>
      <c r="D83" s="709" t="s">
        <v>186</v>
      </c>
      <c r="E83" s="709" t="s">
        <v>412</v>
      </c>
      <c r="F83" s="709" t="s">
        <v>187</v>
      </c>
      <c r="G83" s="709" t="s">
        <v>188</v>
      </c>
      <c r="H83" s="710" t="s">
        <v>189</v>
      </c>
    </row>
    <row r="84" spans="2:8" ht="13.8" x14ac:dyDescent="0.3">
      <c r="B84" s="1299" t="str">
        <f>IF('BDO Prequal'!C197="","",'BDO Prequal'!C197)</f>
        <v/>
      </c>
      <c r="C84" s="1300"/>
      <c r="D84" s="711">
        <f>'BDO Prequal'!G197</f>
        <v>0</v>
      </c>
      <c r="E84" s="712">
        <f>'BDO Prequal'!H197</f>
        <v>0.85</v>
      </c>
      <c r="F84" s="713">
        <f>'BDO Prequal'!I197</f>
        <v>0</v>
      </c>
      <c r="G84" s="711">
        <f>'BDO Prequal'!J197</f>
        <v>0</v>
      </c>
      <c r="H84" s="714">
        <f>'BDO Prequal'!K197</f>
        <v>0</v>
      </c>
    </row>
    <row r="85" spans="2:8" ht="13.8" x14ac:dyDescent="0.3">
      <c r="B85" s="1299" t="str">
        <f>IF('BDO Prequal'!C198="","",'BDO Prequal'!C198)</f>
        <v/>
      </c>
      <c r="C85" s="1300"/>
      <c r="D85" s="711">
        <f>'BDO Prequal'!G198</f>
        <v>0</v>
      </c>
      <c r="E85" s="712">
        <f>'BDO Prequal'!H198</f>
        <v>0.85</v>
      </c>
      <c r="F85" s="713">
        <f>'BDO Prequal'!I198</f>
        <v>0</v>
      </c>
      <c r="G85" s="711">
        <f>'BDO Prequal'!J198</f>
        <v>0</v>
      </c>
      <c r="H85" s="714">
        <f>'BDO Prequal'!K198</f>
        <v>0</v>
      </c>
    </row>
    <row r="86" spans="2:8" ht="13.8" x14ac:dyDescent="0.3">
      <c r="B86" s="1299" t="str">
        <f>IF('BDO Prequal'!C199="","",'BDO Prequal'!C199)</f>
        <v/>
      </c>
      <c r="C86" s="1300"/>
      <c r="D86" s="711">
        <f>'BDO Prequal'!G199</f>
        <v>0</v>
      </c>
      <c r="E86" s="712">
        <f>'BDO Prequal'!H199</f>
        <v>0.85</v>
      </c>
      <c r="F86" s="713">
        <f>'BDO Prequal'!I199</f>
        <v>0</v>
      </c>
      <c r="G86" s="711">
        <f>'BDO Prequal'!J199</f>
        <v>0</v>
      </c>
      <c r="H86" s="714">
        <f>'BDO Prequal'!K199</f>
        <v>0</v>
      </c>
    </row>
    <row r="87" spans="2:8" ht="13.8" x14ac:dyDescent="0.3">
      <c r="B87" s="1299" t="str">
        <f>IF('BDO Prequal'!C200="","",'BDO Prequal'!C200)</f>
        <v/>
      </c>
      <c r="C87" s="1300"/>
      <c r="D87" s="711">
        <f>'BDO Prequal'!G200</f>
        <v>0</v>
      </c>
      <c r="E87" s="712">
        <f>'BDO Prequal'!H200</f>
        <v>0.5</v>
      </c>
      <c r="F87" s="713">
        <f>'BDO Prequal'!I200</f>
        <v>0</v>
      </c>
      <c r="G87" s="711">
        <f>'BDO Prequal'!J200</f>
        <v>0</v>
      </c>
      <c r="H87" s="714">
        <f>'BDO Prequal'!K200</f>
        <v>0</v>
      </c>
    </row>
    <row r="88" spans="2:8" ht="13.8" x14ac:dyDescent="0.3">
      <c r="B88" s="1299" t="str">
        <f>IF('BDO Prequal'!C201="","",'BDO Prequal'!C201)</f>
        <v/>
      </c>
      <c r="C88" s="1300"/>
      <c r="D88" s="711">
        <f>'BDO Prequal'!G201</f>
        <v>0</v>
      </c>
      <c r="E88" s="712">
        <f>'BDO Prequal'!H201</f>
        <v>0.5</v>
      </c>
      <c r="F88" s="713">
        <f>'BDO Prequal'!I201</f>
        <v>0</v>
      </c>
      <c r="G88" s="711">
        <f>'BDO Prequal'!J201</f>
        <v>0</v>
      </c>
      <c r="H88" s="714">
        <f>'BDO Prequal'!K201</f>
        <v>0</v>
      </c>
    </row>
    <row r="89" spans="2:8" ht="13.8" x14ac:dyDescent="0.3">
      <c r="B89" s="1299" t="str">
        <f>IF('BDO Prequal'!C202="","",'BDO Prequal'!C202)</f>
        <v/>
      </c>
      <c r="C89" s="1300"/>
      <c r="D89" s="711">
        <f>'BDO Prequal'!G202</f>
        <v>0</v>
      </c>
      <c r="E89" s="712">
        <f>'BDO Prequal'!H202</f>
        <v>0.1</v>
      </c>
      <c r="F89" s="713">
        <f>'BDO Prequal'!I202</f>
        <v>0</v>
      </c>
      <c r="G89" s="711">
        <f>'BDO Prequal'!J202</f>
        <v>0</v>
      </c>
      <c r="H89" s="714">
        <f>'BDO Prequal'!K202</f>
        <v>0</v>
      </c>
    </row>
    <row r="90" spans="2:8" ht="13.8" x14ac:dyDescent="0.3">
      <c r="B90" s="1299" t="str">
        <f>IF('BDO Prequal'!C203="","",'BDO Prequal'!C203)</f>
        <v/>
      </c>
      <c r="C90" s="1300"/>
      <c r="D90" s="711">
        <f>'BDO Prequal'!G203</f>
        <v>0</v>
      </c>
      <c r="E90" s="712">
        <f>'BDO Prequal'!H203</f>
        <v>0.1</v>
      </c>
      <c r="F90" s="713">
        <f>'BDO Prequal'!I203</f>
        <v>0</v>
      </c>
      <c r="G90" s="711">
        <f>'BDO Prequal'!J203</f>
        <v>0</v>
      </c>
      <c r="H90" s="714">
        <f>'BDO Prequal'!K203</f>
        <v>0</v>
      </c>
    </row>
    <row r="91" spans="2:8" ht="13.8" x14ac:dyDescent="0.3">
      <c r="B91" s="1299" t="str">
        <f>IF('BDO Prequal'!C204="","",'BDO Prequal'!C204)</f>
        <v/>
      </c>
      <c r="C91" s="1300"/>
      <c r="D91" s="711">
        <f>'BDO Prequal'!G204</f>
        <v>0</v>
      </c>
      <c r="E91" s="712">
        <f>'BDO Prequal'!H204</f>
        <v>0.1</v>
      </c>
      <c r="F91" s="713">
        <f>'BDO Prequal'!I204</f>
        <v>0</v>
      </c>
      <c r="G91" s="711">
        <f>'BDO Prequal'!J204</f>
        <v>0</v>
      </c>
      <c r="H91" s="714">
        <f>'BDO Prequal'!K204</f>
        <v>0</v>
      </c>
    </row>
    <row r="92" spans="2:8" ht="13.8" x14ac:dyDescent="0.3">
      <c r="B92" s="1299" t="str">
        <f>IF('BDO Prequal'!C205="","",'BDO Prequal'!C205)</f>
        <v/>
      </c>
      <c r="C92" s="1300"/>
      <c r="D92" s="711">
        <f>'BDO Prequal'!G205</f>
        <v>0</v>
      </c>
      <c r="E92" s="712">
        <f>'BDO Prequal'!H205</f>
        <v>0.05</v>
      </c>
      <c r="F92" s="713">
        <f>'BDO Prequal'!I205</f>
        <v>0</v>
      </c>
      <c r="G92" s="711">
        <f>'BDO Prequal'!J205</f>
        <v>0</v>
      </c>
      <c r="H92" s="714">
        <f>'BDO Prequal'!K205</f>
        <v>0</v>
      </c>
    </row>
    <row r="93" spans="2:8" ht="13.8" x14ac:dyDescent="0.3">
      <c r="B93" s="1323"/>
      <c r="C93" s="1324" t="s">
        <v>192</v>
      </c>
      <c r="D93" s="715">
        <f>'BDO Prequal'!G206</f>
        <v>0</v>
      </c>
      <c r="E93" s="716"/>
      <c r="F93" s="717">
        <f>'BDO Prequal'!I206</f>
        <v>0</v>
      </c>
      <c r="G93" s="715">
        <f>'BDO Prequal'!J206</f>
        <v>0</v>
      </c>
      <c r="H93" s="718">
        <f>'BDO Prequal'!K206</f>
        <v>0</v>
      </c>
    </row>
    <row r="94" spans="2:8" ht="13.8" x14ac:dyDescent="0.3">
      <c r="B94" s="1321"/>
      <c r="C94" s="1322"/>
      <c r="D94" s="719"/>
      <c r="E94" s="1325"/>
      <c r="F94" s="1325"/>
      <c r="G94" s="1325"/>
      <c r="H94" s="720"/>
    </row>
    <row r="95" spans="2:8" ht="13.8" x14ac:dyDescent="0.3">
      <c r="B95" s="1319" t="s">
        <v>193</v>
      </c>
      <c r="C95" s="1320"/>
      <c r="D95" s="722">
        <f>'BDO Prequal'!H208</f>
        <v>0</v>
      </c>
      <c r="E95" s="1301" t="s">
        <v>194</v>
      </c>
      <c r="F95" s="1302"/>
      <c r="G95" s="1303" t="s">
        <v>194</v>
      </c>
      <c r="H95" s="723">
        <f>'BDO Prequal'!K208</f>
        <v>0</v>
      </c>
    </row>
    <row r="96" spans="2:8" ht="14.4" thickBot="1" x14ac:dyDescent="0.35">
      <c r="B96" s="1304" t="s">
        <v>196</v>
      </c>
      <c r="C96" s="1305"/>
      <c r="D96" s="724">
        <f>'BDO Prequal'!H209</f>
        <v>0</v>
      </c>
      <c r="E96" s="1306" t="s">
        <v>197</v>
      </c>
      <c r="F96" s="1307"/>
      <c r="G96" s="1308" t="s">
        <v>197</v>
      </c>
      <c r="H96" s="725">
        <f>'BDO Prequal'!K209</f>
        <v>0</v>
      </c>
    </row>
    <row r="97" spans="2:14" ht="13.8" x14ac:dyDescent="0.3"/>
    <row r="98" spans="2:14" ht="14.4" thickBot="1" x14ac:dyDescent="0.35"/>
    <row r="99" spans="2:14" ht="13.8" x14ac:dyDescent="0.3">
      <c r="B99" s="1138" t="s">
        <v>259</v>
      </c>
      <c r="C99" s="1139"/>
      <c r="M99" s="661" t="s">
        <v>259</v>
      </c>
      <c r="N99" s="663"/>
    </row>
    <row r="100" spans="2:14" ht="14.4" thickBot="1" x14ac:dyDescent="0.35">
      <c r="B100" s="1140"/>
      <c r="C100" s="1141"/>
      <c r="M100" s="664"/>
      <c r="N100" s="666"/>
    </row>
    <row r="101" spans="2:14" ht="13.8" x14ac:dyDescent="0.3">
      <c r="B101" s="1142" t="str" cm="1">
        <f t="array" ref="B101">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Operating Company Liquidity</v>
      </c>
      <c r="C101" s="1143" cm="1">
        <f t="array" ref="C101">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590000</v>
      </c>
      <c r="M101" s="726" t="str">
        <f>'BDO Prequal'!B62</f>
        <v>Operating Company Liquidity</v>
      </c>
      <c r="N101" s="727">
        <f>'BDO Prequal'!C62</f>
        <v>590000</v>
      </c>
    </row>
    <row r="102" spans="2:14" ht="13.8" x14ac:dyDescent="0.3">
      <c r="B102" s="1142" t="str" cm="1">
        <f t="array" ref="B102">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Jeff Able</v>
      </c>
      <c r="C102" s="1143" cm="1">
        <f t="array" ref="C102">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11100</v>
      </c>
      <c r="M102" s="728" t="str">
        <f>'BDO Prequal'!B63</f>
        <v>Jeff Able</v>
      </c>
      <c r="N102" s="729">
        <f>'BDO Prequal'!C63</f>
        <v>11100</v>
      </c>
    </row>
    <row r="103" spans="2:14" ht="13.8" x14ac:dyDescent="0.3">
      <c r="B103" s="1142" t="str" cm="1">
        <f t="array" ref="B103">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Lisa McClure</v>
      </c>
      <c r="C103" s="1143" cm="1">
        <f t="array" ref="C103">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525000</v>
      </c>
      <c r="M103" s="728" t="str">
        <f>'BDO Prequal'!B64</f>
        <v>Lisa McClure</v>
      </c>
      <c r="N103" s="729">
        <f>'BDO Prequal'!C64</f>
        <v>525000</v>
      </c>
    </row>
    <row r="104" spans="2:14" ht="13.8" x14ac:dyDescent="0.3">
      <c r="B104" s="1142" t="str" cm="1">
        <f t="array" ref="B104">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Brandon Johnson</v>
      </c>
      <c r="C104" s="1143" cm="1">
        <f t="array" ref="C104">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100000</v>
      </c>
      <c r="M104" s="728" t="str">
        <f>'BDO Prequal'!B65</f>
        <v>Brandon Johnson</v>
      </c>
      <c r="N104" s="729">
        <f>'BDO Prequal'!C65</f>
        <v>100000</v>
      </c>
    </row>
    <row r="105" spans="2:14" ht="13.8" x14ac:dyDescent="0.3">
      <c r="B105" s="1142" t="str" cm="1">
        <f t="array" ref="B105">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Riku Patel</v>
      </c>
      <c r="C105" s="1143" cm="1">
        <f t="array" ref="C105">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425000</v>
      </c>
      <c r="M105" s="728" t="str">
        <f>'BDO Prequal'!B66</f>
        <v>Riku Patel</v>
      </c>
      <c r="N105" s="729">
        <f>'BDO Prequal'!C66</f>
        <v>425000</v>
      </c>
    </row>
    <row r="106" spans="2:14" ht="13.8" x14ac:dyDescent="0.3">
      <c r="B106" s="1142" t="str" cm="1">
        <f t="array" ref="B106">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Divy Patel</v>
      </c>
      <c r="C106" s="1143" cm="1">
        <f t="array" ref="C106">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657000</v>
      </c>
      <c r="M106" s="728" t="str">
        <f>'BDO Prequal'!B67</f>
        <v>Divy Patel</v>
      </c>
      <c r="N106" s="729">
        <f>'BDO Prequal'!C67</f>
        <v>657000</v>
      </c>
    </row>
    <row r="107" spans="2:14" ht="13.8" x14ac:dyDescent="0.3">
      <c r="B107" s="1142" t="str" cm="1">
        <f t="array" ref="B107">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Total Available Liquidity</v>
      </c>
      <c r="C107" s="1143" cm="1">
        <f t="array" ref="C107">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2308100</v>
      </c>
      <c r="M107" s="728" t="str">
        <f>'BDO Prequal'!B68</f>
        <v>Owner/Guarantor 6</v>
      </c>
      <c r="N107" s="729">
        <f>'BDO Prequal'!C68</f>
        <v>0</v>
      </c>
    </row>
    <row r="108" spans="2:14" ht="13.8" x14ac:dyDescent="0.3">
      <c r="B108" s="1142" t="str" cm="1">
        <f t="array" ref="B108">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Expected Injection</v>
      </c>
      <c r="C108" s="1143" cm="1">
        <f t="array" ref="C108">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-1571792</v>
      </c>
      <c r="M108" s="728" t="str">
        <f>'BDO Prequal'!B69</f>
        <v>Owner/Guarantor 7</v>
      </c>
      <c r="N108" s="729">
        <f>'BDO Prequal'!C69</f>
        <v>0</v>
      </c>
    </row>
    <row r="109" spans="2:14" ht="13.8" x14ac:dyDescent="0.3">
      <c r="B109" s="1142" t="str" cm="1">
        <f t="array" ref="B109">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Working Capital in Loan</v>
      </c>
      <c r="C109" s="1143" cm="1">
        <f t="array" ref="C109">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650500</v>
      </c>
      <c r="M109" s="728" t="str">
        <f>'BDO Prequal'!B70</f>
        <v>Owner/Guarantor 8</v>
      </c>
      <c r="N109" s="729">
        <f>'BDO Prequal'!C70</f>
        <v>0</v>
      </c>
    </row>
    <row r="110" spans="2:14" ht="13.8" x14ac:dyDescent="0.3">
      <c r="B110" s="1142" t="str" cm="1">
        <f t="array" ref="B110">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Post Close Liquidity</v>
      </c>
      <c r="C110" s="1143" cm="1">
        <f t="array" ref="C110">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1386808</v>
      </c>
      <c r="M110" s="728" t="str">
        <f>'BDO Prequal'!B71</f>
        <v>Owner/Guarantor 9</v>
      </c>
      <c r="N110" s="729">
        <f>'BDO Prequal'!C71</f>
        <v>0</v>
      </c>
    </row>
    <row r="111" spans="2:14" ht="13.8" x14ac:dyDescent="0.3">
      <c r="B111" s="1142" t="str" cm="1">
        <f t="array" ref="B111">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1" s="1143" t="str" cm="1">
        <f t="array" ref="C111">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1" s="728" t="str">
        <f>'BDO Prequal'!B72</f>
        <v>Owner/Guarantor 10</v>
      </c>
      <c r="N111" s="729">
        <f>'BDO Prequal'!C72</f>
        <v>0</v>
      </c>
    </row>
    <row r="112" spans="2:14" ht="13.8" x14ac:dyDescent="0.3">
      <c r="B112" s="1142" t="str" cm="1">
        <f t="array" ref="B112">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2" s="1143" t="str" cm="1">
        <f t="array" ref="C112">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2" s="728" t="str">
        <f>'BDO Prequal'!E62</f>
        <v>Affiliate 1</v>
      </c>
      <c r="N112" s="729">
        <f>'BDO Prequal'!F62</f>
        <v>0</v>
      </c>
    </row>
    <row r="113" spans="2:14" ht="13.8" x14ac:dyDescent="0.3">
      <c r="B113" s="1142" t="str" cm="1">
        <f t="array" ref="B113">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3" s="1143" t="str" cm="1">
        <f t="array" ref="C113">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3" s="728" t="str">
        <f>'BDO Prequal'!E63</f>
        <v>Affiliate 2</v>
      </c>
      <c r="N113" s="729">
        <f>'BDO Prequal'!F63</f>
        <v>0</v>
      </c>
    </row>
    <row r="114" spans="2:14" ht="13.8" x14ac:dyDescent="0.3">
      <c r="B114" s="1142" t="str" cm="1">
        <f t="array" ref="B114">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4" s="1143" t="str" cm="1">
        <f t="array" ref="C114">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4" s="728" t="str">
        <f>'BDO Prequal'!E64</f>
        <v>Affiliate 3</v>
      </c>
      <c r="N114" s="729">
        <f>'BDO Prequal'!F64</f>
        <v>0</v>
      </c>
    </row>
    <row r="115" spans="2:14" ht="13.8" x14ac:dyDescent="0.3">
      <c r="B115" s="1142" t="str" cm="1">
        <f t="array" ref="B115">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5" s="1143" t="str" cm="1">
        <f t="array" ref="C115">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5" s="728" t="str">
        <f>'BDO Prequal'!E65</f>
        <v>Affiliate 4</v>
      </c>
      <c r="N115" s="729">
        <f>'BDO Prequal'!F65</f>
        <v>0</v>
      </c>
    </row>
    <row r="116" spans="2:14" ht="13.8" x14ac:dyDescent="0.3">
      <c r="B116" s="1142" t="str" cm="1">
        <f t="array" ref="B116">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6" s="1143" t="str" cm="1">
        <f t="array" ref="C116">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6" s="728" t="str">
        <f>'BDO Prequal'!E66</f>
        <v>Affiliate 5</v>
      </c>
      <c r="N116" s="729">
        <f>'BDO Prequal'!F66</f>
        <v>0</v>
      </c>
    </row>
    <row r="117" spans="2:14" ht="13.8" x14ac:dyDescent="0.3">
      <c r="B117" s="1142" t="str" cm="1">
        <f t="array" ref="B117">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7" s="1143" t="str" cm="1">
        <f t="array" ref="C117">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7" s="728" t="str">
        <f>'BDO Prequal'!E67</f>
        <v>Affiliate 6</v>
      </c>
      <c r="N117" s="729">
        <f>'BDO Prequal'!F67</f>
        <v>0</v>
      </c>
    </row>
    <row r="118" spans="2:14" ht="13.8" x14ac:dyDescent="0.3">
      <c r="B118" s="1142" t="str" cm="1">
        <f t="array" ref="B118">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8" s="1143" t="str" cm="1">
        <f t="array" ref="C118">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8" s="728" t="str">
        <f>'BDO Prequal'!E68</f>
        <v>Affiliate 7</v>
      </c>
      <c r="N118" s="729">
        <f>'BDO Prequal'!F68</f>
        <v>0</v>
      </c>
    </row>
    <row r="119" spans="2:14" ht="13.8" x14ac:dyDescent="0.3">
      <c r="B119" s="1142" t="str" cm="1">
        <f t="array" ref="B119">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9" s="1143" t="str" cm="1">
        <f t="array" ref="C119">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9" s="728" t="str">
        <f>'BDO Prequal'!E69</f>
        <v>Affiliate 8</v>
      </c>
      <c r="N119" s="729">
        <f>'BDO Prequal'!F69</f>
        <v>0</v>
      </c>
    </row>
    <row r="120" spans="2:14" ht="13.8" x14ac:dyDescent="0.3">
      <c r="B120" s="1142" t="str" cm="1">
        <f t="array" ref="B120">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0" s="1143" t="str" cm="1">
        <f t="array" ref="C120">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0" s="728" t="str">
        <f>'BDO Prequal'!E70</f>
        <v>Affiliate 9</v>
      </c>
      <c r="N120" s="729">
        <f>'BDO Prequal'!F70</f>
        <v>0</v>
      </c>
    </row>
    <row r="121" spans="2:14" ht="13.8" x14ac:dyDescent="0.3">
      <c r="B121" s="1142" t="str" cm="1">
        <f t="array" ref="B121">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1" s="1143" t="str" cm="1">
        <f t="array" ref="C121">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1" s="728" t="str">
        <f>'BDO Prequal'!E71</f>
        <v>Affiliate 10</v>
      </c>
      <c r="N121" s="729">
        <f>'BDO Prequal'!F71</f>
        <v>0</v>
      </c>
    </row>
    <row r="122" spans="2:14" ht="13.8" x14ac:dyDescent="0.3">
      <c r="B122" s="1142" t="str" cm="1">
        <f t="array" ref="B122">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2" s="1143" t="str" cm="1">
        <f t="array" ref="C122">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2" s="728" t="str">
        <f>'BDO Prequal'!E72</f>
        <v>Affiliate 11</v>
      </c>
      <c r="N122" s="729">
        <f>'BDO Prequal'!F72</f>
        <v>0</v>
      </c>
    </row>
    <row r="123" spans="2:14" ht="13.8" x14ac:dyDescent="0.3">
      <c r="B123" s="1142" t="str" cm="1">
        <f t="array" ref="B123">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3" s="1143" t="str" cm="1">
        <f t="array" ref="C123">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3" s="728" t="str">
        <f>'BDO Prequal'!E73</f>
        <v>Affiliate 12</v>
      </c>
      <c r="N123" s="729">
        <f>'BDO Prequal'!F73</f>
        <v>0</v>
      </c>
    </row>
    <row r="124" spans="2:14" ht="13.8" x14ac:dyDescent="0.3">
      <c r="B124" s="1142" t="str" cm="1">
        <f t="array" ref="B124">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4" s="1143" t="str" cm="1">
        <f t="array" ref="C124">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4" s="728" t="str">
        <f>'BDO Prequal'!B73</f>
        <v>Other Liquidity</v>
      </c>
      <c r="N124" s="729">
        <f>'BDO Prequal'!C73</f>
        <v>0</v>
      </c>
    </row>
    <row r="125" spans="2:14" ht="13.8" x14ac:dyDescent="0.3">
      <c r="B125" s="1142" t="str" cm="1">
        <f t="array" ref="B125">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5" s="1143" t="str" cm="1">
        <f t="array" ref="C125">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5" s="698" t="str">
        <f>'BDO Prequal'!H62</f>
        <v>Total Available Liquidity</v>
      </c>
      <c r="N125" s="730">
        <f>'BDO Prequal'!I62</f>
        <v>2308100</v>
      </c>
    </row>
    <row r="126" spans="2:14" ht="13.8" x14ac:dyDescent="0.3">
      <c r="B126" s="1142" t="str" cm="1">
        <f t="array" ref="B126">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6" s="1143" t="str" cm="1">
        <f t="array" ref="C126">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6" s="1133" t="str">
        <f>'BDO Prequal'!H64</f>
        <v>Expected Injection</v>
      </c>
      <c r="N126" s="1135">
        <f>'BDO Prequal'!I64*-1</f>
        <v>-1571792</v>
      </c>
    </row>
    <row r="127" spans="2:14" ht="13.8" x14ac:dyDescent="0.3">
      <c r="B127" s="1142" t="str" cm="1">
        <f t="array" ref="B127">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7" s="1143" t="str" cm="1">
        <f t="array" ref="C127">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7" s="1133" t="str">
        <f>'BDO Prequal'!H66</f>
        <v>Working Capital in Loan</v>
      </c>
      <c r="N127" s="1134">
        <f>'BDO Prequal'!I66</f>
        <v>650500</v>
      </c>
    </row>
    <row r="128" spans="2:14" ht="14.4" thickBot="1" x14ac:dyDescent="0.35">
      <c r="B128" s="1142" t="str" cm="1">
        <f t="array" ref="B128">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8" s="1143" t="str" cm="1">
        <f t="array" ref="C128">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8" s="1136" t="s">
        <v>260</v>
      </c>
      <c r="N128" s="1137">
        <f>'BDO Prequal'!I68</f>
        <v>1386808</v>
      </c>
    </row>
    <row r="129" spans="2:18" ht="13.8" x14ac:dyDescent="0.3"/>
    <row r="130" spans="2:18" ht="13.8" x14ac:dyDescent="0.3"/>
    <row r="131" spans="2:18" ht="13.8" x14ac:dyDescent="0.3">
      <c r="B131" s="1126" t="s">
        <v>539</v>
      </c>
      <c r="C131" s="1127"/>
      <c r="D131" s="1127"/>
      <c r="E131" s="1127"/>
      <c r="F131" s="1127"/>
      <c r="G131" s="1128"/>
      <c r="M131" s="1091" t="s">
        <v>539</v>
      </c>
      <c r="N131" s="1092"/>
      <c r="O131" s="1092"/>
      <c r="P131" s="1093"/>
      <c r="Q131" s="1094"/>
      <c r="R131" s="1094"/>
    </row>
    <row r="132" spans="2:18" ht="13.8" x14ac:dyDescent="0.3">
      <c r="B132" s="1129"/>
      <c r="C132" s="1130"/>
      <c r="D132" s="1130"/>
      <c r="E132" s="1130"/>
      <c r="F132" s="1130"/>
      <c r="G132" s="1131"/>
      <c r="M132" s="1095"/>
      <c r="N132" s="1096"/>
      <c r="O132" s="1096"/>
      <c r="P132" s="1097"/>
      <c r="Q132" s="1098"/>
      <c r="R132" s="1098"/>
    </row>
    <row r="133" spans="2:18" ht="13.8" x14ac:dyDescent="0.3">
      <c r="B133" s="1132"/>
      <c r="C133" s="1132" t="s">
        <v>540</v>
      </c>
      <c r="D133" s="1132" t="s">
        <v>538</v>
      </c>
      <c r="E133" s="1132" t="s">
        <v>554</v>
      </c>
      <c r="F133" s="1132" t="s">
        <v>537</v>
      </c>
      <c r="G133" s="1132" t="s">
        <v>536</v>
      </c>
      <c r="M133" s="1117"/>
      <c r="N133" s="1117" t="s">
        <v>540</v>
      </c>
      <c r="O133" s="1117" t="s">
        <v>538</v>
      </c>
      <c r="P133" s="1117" t="s">
        <v>554</v>
      </c>
      <c r="Q133" s="1117" t="s">
        <v>537</v>
      </c>
      <c r="R133" s="1117" t="s">
        <v>536</v>
      </c>
    </row>
    <row r="134" spans="2:18" ht="13.8" x14ac:dyDescent="0.3">
      <c r="B134" s="1152" t="str" cm="1">
        <f t="array" ref="B134">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Jeff Able</v>
      </c>
      <c r="C134" s="1153" cm="1">
        <f t="array" ref="C134">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0.23</v>
      </c>
      <c r="D134" s="1154" cm="1">
        <f t="array" ref="D134">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11100</v>
      </c>
      <c r="E134" s="1155" cm="1">
        <f t="array" ref="E134">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702.3</v>
      </c>
      <c r="F134" s="1156" cm="1">
        <f t="array" ref="F134">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0</v>
      </c>
      <c r="G134" s="1157" cm="1">
        <f t="array" ref="G134">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126375</v>
      </c>
      <c r="M134" s="1118" t="str">
        <f>Guarantors!B6</f>
        <v>Jeff Able</v>
      </c>
      <c r="N134" s="1151">
        <f>Guarantors!D6</f>
        <v>0.23</v>
      </c>
      <c r="O134" s="1119">
        <f>Guarantors!F6</f>
        <v>11100</v>
      </c>
      <c r="P134" s="1120">
        <f>Guarantors!H6</f>
        <v>702.3</v>
      </c>
      <c r="Q134" s="1121">
        <f>Guarantors!AD6</f>
        <v>0</v>
      </c>
      <c r="R134" s="1119">
        <f>Guarantors!AA6</f>
        <v>126375</v>
      </c>
    </row>
    <row r="135" spans="2:18" ht="13.8" x14ac:dyDescent="0.3">
      <c r="B135" s="1152" t="str" cm="1">
        <f t="array" ref="B135">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Lisa McClure</v>
      </c>
      <c r="C135" s="1153" cm="1">
        <f t="array" ref="C135">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0.27</v>
      </c>
      <c r="D135" s="1154" cm="1">
        <f t="array" ref="D135">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525000</v>
      </c>
      <c r="E135" s="1155" cm="1">
        <f t="array" ref="E135">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800</v>
      </c>
      <c r="F135" s="1156" cm="1">
        <f t="array" ref="F135">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0</v>
      </c>
      <c r="G135" s="1157" cm="1">
        <f t="array" ref="G135">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-80000</v>
      </c>
      <c r="M135" s="1118" t="str">
        <f>Guarantors!B7</f>
        <v>Lisa McClure</v>
      </c>
      <c r="N135" s="1151">
        <f>Guarantors!D7</f>
        <v>0.27</v>
      </c>
      <c r="O135" s="1119">
        <f>Guarantors!F7</f>
        <v>525000</v>
      </c>
      <c r="P135" s="1120">
        <f>Guarantors!H7</f>
        <v>800</v>
      </c>
      <c r="Q135" s="1121">
        <f>Guarantors!AD7</f>
        <v>0</v>
      </c>
      <c r="R135" s="1119">
        <f>Guarantors!AA7</f>
        <v>-80000</v>
      </c>
    </row>
    <row r="136" spans="2:18" ht="13.8" x14ac:dyDescent="0.3">
      <c r="B136" s="1152" t="str" cm="1">
        <f t="array" ref="B136">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Brandon Johnson</v>
      </c>
      <c r="C136" s="1153" cm="1">
        <f t="array" ref="C136">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0.5</v>
      </c>
      <c r="D136" s="1154" cm="1">
        <f t="array" ref="D136">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100000</v>
      </c>
      <c r="E136" s="1155" cm="1">
        <f t="array" ref="E136">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810</v>
      </c>
      <c r="F136" s="1156" cm="1">
        <f t="array" ref="F136">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0</v>
      </c>
      <c r="G136" s="1157" cm="1">
        <f t="array" ref="G136">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-178960</v>
      </c>
      <c r="M136" s="1118" t="str">
        <f>Guarantors!B8</f>
        <v>Brandon Johnson</v>
      </c>
      <c r="N136" s="1151">
        <f>Guarantors!D8</f>
        <v>0.5</v>
      </c>
      <c r="O136" s="1119">
        <f>Guarantors!F8</f>
        <v>100000</v>
      </c>
      <c r="P136" s="1120">
        <f>Guarantors!H8</f>
        <v>810</v>
      </c>
      <c r="Q136" s="1121">
        <f>Guarantors!AD8</f>
        <v>0</v>
      </c>
      <c r="R136" s="1119">
        <f>Guarantors!AA8</f>
        <v>-178960</v>
      </c>
    </row>
    <row r="137" spans="2:18" ht="13.8" x14ac:dyDescent="0.3">
      <c r="B137" s="1152" t="str" cm="1">
        <f t="array" ref="B137">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Riku Patel</v>
      </c>
      <c r="C137" s="1153" cm="1">
        <f t="array" ref="C137">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0</v>
      </c>
      <c r="D137" s="1154" cm="1">
        <f t="array" ref="D137">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425000</v>
      </c>
      <c r="E137" s="1155" cm="1">
        <f t="array" ref="E137">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0</v>
      </c>
      <c r="F137" s="1156" cm="1">
        <f t="array" ref="F137">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0.29314814814814816</v>
      </c>
      <c r="G137" s="1157" cm="1">
        <f t="array" ref="G137">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22586.666666666664</v>
      </c>
      <c r="M137" s="1118" t="str">
        <f>Guarantors!B9</f>
        <v>Riku Patel</v>
      </c>
      <c r="N137" s="1151">
        <f>Guarantors!D9</f>
        <v>0</v>
      </c>
      <c r="O137" s="1119">
        <f>Guarantors!F9</f>
        <v>425000</v>
      </c>
      <c r="P137" s="1120">
        <f>Guarantors!H9</f>
        <v>0</v>
      </c>
      <c r="Q137" s="1121">
        <f>Guarantors!AD9</f>
        <v>0.29314814814814816</v>
      </c>
      <c r="R137" s="1119">
        <f>Guarantors!AA9</f>
        <v>22586.666666666664</v>
      </c>
    </row>
    <row r="138" spans="2:18" ht="13.8" x14ac:dyDescent="0.3">
      <c r="B138" s="1152" t="str" cm="1">
        <f t="array" ref="B138">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Divy Patel</v>
      </c>
      <c r="C138" s="1153" cm="1">
        <f t="array" ref="C138">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0</v>
      </c>
      <c r="D138" s="1154" cm="1">
        <f t="array" ref="D138">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657000</v>
      </c>
      <c r="E138" s="1155" cm="1">
        <f t="array" ref="E138">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0</v>
      </c>
      <c r="F138" s="1156" cm="1">
        <f t="array" ref="F138">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0.28107142857142858</v>
      </c>
      <c r="G138" s="1157" cm="1">
        <f t="array" ref="G138">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25226.666666666664</v>
      </c>
      <c r="M138" s="1118" t="str">
        <f>Guarantors!B10</f>
        <v>Divy Patel</v>
      </c>
      <c r="N138" s="1151">
        <f>Guarantors!D10</f>
        <v>0</v>
      </c>
      <c r="O138" s="1119">
        <f>Guarantors!F10</f>
        <v>657000</v>
      </c>
      <c r="P138" s="1120">
        <f>Guarantors!H10</f>
        <v>0</v>
      </c>
      <c r="Q138" s="1121">
        <f>Guarantors!AD10</f>
        <v>0.28107142857142858</v>
      </c>
      <c r="R138" s="1119">
        <f>Guarantors!AA10</f>
        <v>25226.666666666664</v>
      </c>
    </row>
    <row r="139" spans="2:18" ht="13.8" x14ac:dyDescent="0.3">
      <c r="B139" s="1152" t="str" cm="1">
        <f t="array" ref="B139">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Total</v>
      </c>
      <c r="C139" s="1153" cm="1">
        <f t="array" ref="C139">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0</v>
      </c>
      <c r="D139" s="1154" cm="1">
        <f t="array" ref="D139">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1718100</v>
      </c>
      <c r="E139" s="1155" cm="1">
        <f t="array" ref="E139">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770.76666666666677</v>
      </c>
      <c r="F139" s="1156" cm="1">
        <f t="array" ref="F139">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0</v>
      </c>
      <c r="G139" s="1157" cm="1">
        <f t="array" ref="G139">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-84771.666666666686</v>
      </c>
      <c r="M139" s="1118" t="str">
        <f>Guarantors!B11</f>
        <v>Customer 6</v>
      </c>
      <c r="N139" s="1151">
        <f>Guarantors!D11</f>
        <v>0</v>
      </c>
      <c r="O139" s="1119">
        <f>Guarantors!F11</f>
        <v>0</v>
      </c>
      <c r="P139" s="1120">
        <f>Guarantors!H11</f>
        <v>0</v>
      </c>
      <c r="Q139" s="1121">
        <f>Guarantors!AD11</f>
        <v>0</v>
      </c>
      <c r="R139" s="1119">
        <f>Guarantors!AA11</f>
        <v>0</v>
      </c>
    </row>
    <row r="140" spans="2:18" ht="13.8" x14ac:dyDescent="0.3">
      <c r="B140" s="1152" t="str" cm="1">
        <f t="array" ref="B140">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0" s="1153" t="str" cm="1">
        <f t="array" ref="C140">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0" s="1154" t="str" cm="1">
        <f t="array" ref="D140">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0" s="1155" t="str" cm="1">
        <f t="array" ref="E140">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0" s="1156" t="str" cm="1">
        <f t="array" ref="F140">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0" s="1157" t="str" cm="1">
        <f t="array" ref="G140">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0" s="1118" t="str">
        <f>Guarantors!B12</f>
        <v>Customer 7</v>
      </c>
      <c r="N140" s="1151">
        <f>Guarantors!D12</f>
        <v>0</v>
      </c>
      <c r="O140" s="1119">
        <f>Guarantors!F12</f>
        <v>0</v>
      </c>
      <c r="P140" s="1120">
        <f>Guarantors!H12</f>
        <v>0</v>
      </c>
      <c r="Q140" s="1121">
        <f>Guarantors!AD12</f>
        <v>0</v>
      </c>
      <c r="R140" s="1119">
        <f>Guarantors!AA12</f>
        <v>0</v>
      </c>
    </row>
    <row r="141" spans="2:18" ht="13.8" x14ac:dyDescent="0.3">
      <c r="B141" s="1152" t="str" cm="1">
        <f t="array" ref="B141">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1" s="1153" t="str" cm="1">
        <f t="array" ref="C141">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1" s="1154" t="str" cm="1">
        <f t="array" ref="D141">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1" s="1155" t="str" cm="1">
        <f t="array" ref="E141">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1" s="1156" t="str" cm="1">
        <f t="array" ref="F141">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1" s="1157" t="str" cm="1">
        <f t="array" ref="G141">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1" s="1118" t="str">
        <f>Guarantors!B13</f>
        <v>Customer 8</v>
      </c>
      <c r="N141" s="1151">
        <f>Guarantors!D13</f>
        <v>0</v>
      </c>
      <c r="O141" s="1119">
        <f>Guarantors!F13</f>
        <v>0</v>
      </c>
      <c r="P141" s="1120">
        <f>Guarantors!H13</f>
        <v>0</v>
      </c>
      <c r="Q141" s="1121">
        <f>Guarantors!AD13</f>
        <v>0</v>
      </c>
      <c r="R141" s="1119">
        <f>Guarantors!AA13</f>
        <v>0</v>
      </c>
    </row>
    <row r="142" spans="2:18" ht="13.8" x14ac:dyDescent="0.3">
      <c r="B142" s="1152" t="str" cm="1">
        <f t="array" ref="B142">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2" s="1153" t="str" cm="1">
        <f t="array" ref="C142">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2" s="1154" t="str" cm="1">
        <f t="array" ref="D142">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2" s="1155" t="str" cm="1">
        <f t="array" ref="E142">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2" s="1156" t="str" cm="1">
        <f t="array" ref="F142">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2" s="1157" t="str" cm="1">
        <f t="array" ref="G142">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2" s="1118" t="str">
        <f>Guarantors!B14</f>
        <v>Customer 9</v>
      </c>
      <c r="N142" s="1151">
        <f>Guarantors!D14</f>
        <v>0</v>
      </c>
      <c r="O142" s="1119">
        <f>Guarantors!F14</f>
        <v>0</v>
      </c>
      <c r="P142" s="1120">
        <f>Guarantors!H14</f>
        <v>0</v>
      </c>
      <c r="Q142" s="1121">
        <f>Guarantors!AD14</f>
        <v>0</v>
      </c>
      <c r="R142" s="1119">
        <f>Guarantors!AA14</f>
        <v>0</v>
      </c>
    </row>
    <row r="143" spans="2:18" ht="13.8" x14ac:dyDescent="0.3">
      <c r="B143" s="1152" t="str" cm="1">
        <f t="array" ref="B143">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3" s="1153" t="str" cm="1">
        <f t="array" ref="C143">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3" s="1154" t="str" cm="1">
        <f t="array" ref="D143">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3" s="1155" t="str" cm="1">
        <f t="array" ref="E143">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3" s="1156" t="str" cm="1">
        <f t="array" ref="F143">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3" s="1157" t="str" cm="1">
        <f t="array" ref="G143">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3" s="1118" t="str">
        <f>Guarantors!B15</f>
        <v>Customer 10</v>
      </c>
      <c r="N143" s="1151">
        <f>Guarantors!D15</f>
        <v>0</v>
      </c>
      <c r="O143" s="1119">
        <f>Guarantors!F15</f>
        <v>0</v>
      </c>
      <c r="P143" s="1120">
        <f>Guarantors!H15</f>
        <v>0</v>
      </c>
      <c r="Q143" s="1121">
        <f>Guarantors!AD15</f>
        <v>0</v>
      </c>
      <c r="R143" s="1119">
        <f>Guarantors!AA15</f>
        <v>0</v>
      </c>
    </row>
    <row r="144" spans="2:18" ht="13.8" x14ac:dyDescent="0.3">
      <c r="B144" s="1152" t="str" cm="1">
        <f t="array" ref="B144">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4" s="1153" t="str" cm="1">
        <f t="array" ref="C144">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4" s="1154" t="str" cm="1">
        <f t="array" ref="D144">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4" s="1155" t="str" cm="1">
        <f t="array" ref="E144">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4" s="1156" t="str" cm="1">
        <f t="array" ref="F144">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4" s="1157" t="str" cm="1">
        <f t="array" ref="G144">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4" s="1122" t="s">
        <v>8</v>
      </c>
      <c r="N144" s="1125"/>
      <c r="O144" s="1123">
        <f>Guarantors!F16</f>
        <v>1718100</v>
      </c>
      <c r="P144" s="1124">
        <f>Guarantors!H16</f>
        <v>770.76666666666677</v>
      </c>
      <c r="Q144" s="1125"/>
      <c r="R144" s="1123">
        <f>Guarantors!AA16</f>
        <v>-84771.666666666686</v>
      </c>
    </row>
    <row r="145" spans="2:17" ht="14.4" x14ac:dyDescent="0.3">
      <c r="M145" s="165"/>
      <c r="N145" s="1088"/>
      <c r="O145" s="1089"/>
      <c r="P145" s="1090"/>
      <c r="Q145" s="1088"/>
    </row>
    <row r="146" spans="2:17" ht="15" thickBot="1" x14ac:dyDescent="0.35">
      <c r="M146" s="165"/>
      <c r="N146" s="1088"/>
      <c r="O146" s="1089"/>
      <c r="P146" s="1090"/>
      <c r="Q146" s="1088"/>
    </row>
    <row r="147" spans="2:17" ht="14.4" customHeight="1" x14ac:dyDescent="0.3">
      <c r="B147" s="661" t="s">
        <v>261</v>
      </c>
      <c r="C147" s="662"/>
      <c r="D147" s="662"/>
      <c r="E147" s="662"/>
      <c r="F147" s="663"/>
      <c r="G147" s="731"/>
      <c r="H147" s="704"/>
    </row>
    <row r="148" spans="2:17" ht="14.4" thickBot="1" x14ac:dyDescent="0.35">
      <c r="B148" s="664"/>
      <c r="C148" s="665"/>
      <c r="D148" s="665"/>
      <c r="E148" s="665"/>
      <c r="F148" s="666"/>
      <c r="G148" s="732"/>
      <c r="H148" s="733"/>
    </row>
    <row r="149" spans="2:17" ht="13.8" x14ac:dyDescent="0.3">
      <c r="B149" s="1144" t="str">
        <f>'BDO Prequal'!B97</f>
        <v>{Insert business name which represents PSOR}</v>
      </c>
      <c r="C149" s="1145"/>
      <c r="D149" s="1145"/>
      <c r="E149" s="1145"/>
      <c r="F149" s="1146"/>
      <c r="G149" s="1309" t="s">
        <v>133</v>
      </c>
      <c r="H149" s="1310"/>
    </row>
    <row r="150" spans="2:17" ht="13.8" x14ac:dyDescent="0.3">
      <c r="B150" s="734"/>
      <c r="C150" s="735"/>
      <c r="D150" s="735"/>
      <c r="E150" s="735"/>
      <c r="F150" s="736"/>
      <c r="G150" s="737"/>
      <c r="H150" s="738"/>
    </row>
    <row r="151" spans="2:17" ht="13.8" x14ac:dyDescent="0.3">
      <c r="B151" s="739"/>
      <c r="C151" s="740">
        <f>'BDO Prequal'!D99</f>
        <v>45291</v>
      </c>
      <c r="D151" s="740">
        <f>'BDO Prequal'!F99</f>
        <v>45657</v>
      </c>
      <c r="E151" s="740">
        <f>'BDO Prequal'!H99</f>
        <v>46022</v>
      </c>
      <c r="F151" s="741">
        <f>'BDO Prequal'!J99</f>
        <v>46142</v>
      </c>
      <c r="G151" s="742" t="s">
        <v>262</v>
      </c>
      <c r="H151" s="741" t="s">
        <v>263</v>
      </c>
    </row>
    <row r="152" spans="2:17" ht="13.8" x14ac:dyDescent="0.3">
      <c r="B152" s="743"/>
      <c r="C152" s="744"/>
      <c r="D152" s="744"/>
      <c r="E152" s="744"/>
      <c r="F152" s="745">
        <f>'BDO Prequal'!J103</f>
        <v>94004760</v>
      </c>
      <c r="G152" s="746"/>
      <c r="H152" s="747"/>
    </row>
    <row r="153" spans="2:17" ht="13.8" x14ac:dyDescent="0.3">
      <c r="B153" s="721" t="str">
        <f>'BDO Prequal'!C104</f>
        <v>Total Revenue</v>
      </c>
      <c r="C153" s="748">
        <f>'BDO Prequal'!D104</f>
        <v>29649370</v>
      </c>
      <c r="D153" s="748">
        <f>'BDO Prequal'!F104</f>
        <v>43335889</v>
      </c>
      <c r="E153" s="748">
        <f>'BDO Prequal'!H104</f>
        <v>66978891</v>
      </c>
      <c r="F153" s="749">
        <f>'BDO Prequal'!J104</f>
        <v>31334920</v>
      </c>
      <c r="G153" s="750">
        <f>'BDO Prequal'!O104</f>
        <v>6030320</v>
      </c>
      <c r="H153" s="749">
        <f>'BDO Prequal'!Q104</f>
        <v>7130112</v>
      </c>
    </row>
    <row r="154" spans="2:17" ht="13.8" x14ac:dyDescent="0.3">
      <c r="B154" s="721" t="str">
        <f>'BDO Prequal'!C105</f>
        <v>Total COGS</v>
      </c>
      <c r="C154" s="751">
        <f>'BDO Prequal'!D105</f>
        <v>26862626</v>
      </c>
      <c r="D154" s="751">
        <f>'BDO Prequal'!F105</f>
        <v>39325395</v>
      </c>
      <c r="E154" s="751">
        <f>'BDO Prequal'!H105</f>
        <v>62627088</v>
      </c>
      <c r="F154" s="752">
        <f>'BDO Prequal'!J105</f>
        <v>27540075</v>
      </c>
      <c r="G154" s="753">
        <f>'BDO Prequal'!O105</f>
        <v>0</v>
      </c>
      <c r="H154" s="752">
        <f>'BDO Prequal'!Q105</f>
        <v>0</v>
      </c>
    </row>
    <row r="155" spans="2:17" ht="13.8" x14ac:dyDescent="0.3">
      <c r="B155" s="721" t="str">
        <f>'BDO Prequal'!C106</f>
        <v>Total Gross Margin</v>
      </c>
      <c r="C155" s="754">
        <f>'BDO Prequal'!D106</f>
        <v>2786744</v>
      </c>
      <c r="D155" s="754">
        <f>'BDO Prequal'!F106</f>
        <v>4010494</v>
      </c>
      <c r="E155" s="754">
        <f>'BDO Prequal'!H106</f>
        <v>4351803</v>
      </c>
      <c r="F155" s="755">
        <f>'BDO Prequal'!J106</f>
        <v>3794845</v>
      </c>
      <c r="G155" s="756">
        <f>'BDO Prequal'!O106</f>
        <v>6030320</v>
      </c>
      <c r="H155" s="755">
        <f>'BDO Prequal'!Q106</f>
        <v>7130112</v>
      </c>
    </row>
    <row r="156" spans="2:17" ht="13.8" x14ac:dyDescent="0.3">
      <c r="B156" s="721" t="str">
        <f>'BDO Prequal'!C121</f>
        <v>Total Operating Expenses</v>
      </c>
      <c r="C156" s="757">
        <f>'BDO Prequal'!D121</f>
        <v>2046899</v>
      </c>
      <c r="D156" s="757">
        <f>'BDO Prequal'!F121</f>
        <v>2328065</v>
      </c>
      <c r="E156" s="757">
        <f>'BDO Prequal'!H121</f>
        <v>2771319</v>
      </c>
      <c r="F156" s="758">
        <f>'BDO Prequal'!J121</f>
        <v>2844493</v>
      </c>
      <c r="G156" s="759">
        <f>'BDO Prequal'!O121</f>
        <v>4562213</v>
      </c>
      <c r="H156" s="758">
        <f>'BDO Prequal'!Q121</f>
        <v>4862204</v>
      </c>
    </row>
    <row r="157" spans="2:17" ht="13.8" x14ac:dyDescent="0.3">
      <c r="B157" s="760" t="str">
        <f>'BDO Prequal'!C123</f>
        <v>Ordinary Income</v>
      </c>
      <c r="C157" s="761">
        <f>'BDO Prequal'!D123</f>
        <v>739845</v>
      </c>
      <c r="D157" s="761">
        <f>'BDO Prequal'!F123</f>
        <v>1682429</v>
      </c>
      <c r="E157" s="761">
        <f>'BDO Prequal'!H123</f>
        <v>1580484</v>
      </c>
      <c r="F157" s="762">
        <f>'BDO Prequal'!J123</f>
        <v>950352</v>
      </c>
      <c r="G157" s="763">
        <f>'BDO Prequal'!O123</f>
        <v>1468107</v>
      </c>
      <c r="H157" s="762">
        <f>'BDO Prequal'!Q123</f>
        <v>2267908</v>
      </c>
    </row>
    <row r="158" spans="2:17" ht="13.8" x14ac:dyDescent="0.3">
      <c r="B158" s="721" t="str">
        <f>'BDO Prequal'!C127</f>
        <v>Total Other Income (Expenses)</v>
      </c>
      <c r="C158" s="757">
        <f>'BDO Prequal'!D127</f>
        <v>177445</v>
      </c>
      <c r="D158" s="757">
        <f>'BDO Prequal'!F127</f>
        <v>323610</v>
      </c>
      <c r="E158" s="757">
        <f>'BDO Prequal'!H127</f>
        <v>832712</v>
      </c>
      <c r="F158" s="758">
        <f>'BDO Prequal'!J127</f>
        <v>0</v>
      </c>
      <c r="G158" s="759">
        <f>'BDO Prequal'!O127</f>
        <v>0</v>
      </c>
      <c r="H158" s="758">
        <f>'BDO Prequal'!Q127</f>
        <v>0</v>
      </c>
    </row>
    <row r="159" spans="2:17" ht="13.8" x14ac:dyDescent="0.3">
      <c r="B159" s="721" t="str">
        <f>'BDO Prequal'!C129</f>
        <v>Net Income Before Taxes</v>
      </c>
      <c r="C159" s="754">
        <f>'BDO Prequal'!D129</f>
        <v>917290</v>
      </c>
      <c r="D159" s="754">
        <f>'BDO Prequal'!F129</f>
        <v>2006039</v>
      </c>
      <c r="E159" s="754">
        <f>'BDO Prequal'!H129</f>
        <v>2413196</v>
      </c>
      <c r="F159" s="755">
        <f>'BDO Prequal'!J129</f>
        <v>950352</v>
      </c>
      <c r="G159" s="756">
        <f>'BDO Prequal'!O129</f>
        <v>1468107</v>
      </c>
      <c r="H159" s="755">
        <f>'BDO Prequal'!Q129</f>
        <v>2267908</v>
      </c>
    </row>
    <row r="160" spans="2:17" ht="13.8" x14ac:dyDescent="0.3">
      <c r="B160" s="721" t="str">
        <f>'BDO Prequal'!C130</f>
        <v>Income Taxes</v>
      </c>
      <c r="C160" s="754">
        <f>'BDO Prequal'!D130</f>
        <v>0</v>
      </c>
      <c r="D160" s="754">
        <f>'BDO Prequal'!F130</f>
        <v>0</v>
      </c>
      <c r="E160" s="754">
        <f>'BDO Prequal'!H130</f>
        <v>0</v>
      </c>
      <c r="F160" s="755">
        <f>'BDO Prequal'!J130</f>
        <v>0</v>
      </c>
      <c r="G160" s="756">
        <f>'BDO Prequal'!O130</f>
        <v>0</v>
      </c>
      <c r="H160" s="755">
        <f>'BDO Prequal'!Q130</f>
        <v>0</v>
      </c>
    </row>
    <row r="161" spans="2:8" ht="13.8" x14ac:dyDescent="0.3">
      <c r="B161" s="760" t="str">
        <f>'BDO Prequal'!C132</f>
        <v>NET INCOME AFTER TAXES</v>
      </c>
      <c r="C161" s="761">
        <f>'BDO Prequal'!D132</f>
        <v>917290</v>
      </c>
      <c r="D161" s="761">
        <f>'BDO Prequal'!F132</f>
        <v>2006039</v>
      </c>
      <c r="E161" s="761">
        <f>'BDO Prequal'!H132</f>
        <v>2413196</v>
      </c>
      <c r="F161" s="762">
        <f>'BDO Prequal'!J132</f>
        <v>950352</v>
      </c>
      <c r="G161" s="763">
        <f>'BDO Prequal'!O132</f>
        <v>1468107</v>
      </c>
      <c r="H161" s="762">
        <f>'BDO Prequal'!Q132</f>
        <v>2267908</v>
      </c>
    </row>
    <row r="162" spans="2:8" ht="13.8" x14ac:dyDescent="0.3">
      <c r="B162" s="721"/>
      <c r="C162" s="764"/>
      <c r="D162" s="764"/>
      <c r="E162" s="764"/>
      <c r="F162" s="765"/>
      <c r="G162" s="766"/>
      <c r="H162" s="767"/>
    </row>
    <row r="163" spans="2:8" ht="13.8" x14ac:dyDescent="0.3">
      <c r="B163" s="768" t="s">
        <v>161</v>
      </c>
      <c r="C163" s="735"/>
      <c r="D163" s="735"/>
      <c r="E163" s="735"/>
      <c r="F163" s="736"/>
      <c r="G163" s="769"/>
      <c r="H163" s="770"/>
    </row>
    <row r="164" spans="2:8" ht="13.8" x14ac:dyDescent="0.3">
      <c r="B164" s="771" t="str">
        <f>'BDO Prequal'!C135</f>
        <v>Compensation of Officers</v>
      </c>
      <c r="C164" s="748">
        <f>'BDO Prequal'!D135</f>
        <v>437000</v>
      </c>
      <c r="D164" s="748">
        <f>'BDO Prequal'!F135</f>
        <v>450750</v>
      </c>
      <c r="E164" s="748">
        <f>'BDO Prequal'!H135</f>
        <v>525000</v>
      </c>
      <c r="F164" s="749">
        <f>'BDO Prequal'!J135</f>
        <v>0</v>
      </c>
      <c r="G164" s="750">
        <f>'BDO Prequal'!O135</f>
        <v>0</v>
      </c>
      <c r="H164" s="749">
        <f>'BDO Prequal'!Q135</f>
        <v>0</v>
      </c>
    </row>
    <row r="165" spans="2:8" ht="13.8" x14ac:dyDescent="0.3">
      <c r="B165" s="772" t="str">
        <f>'BDO Prequal'!C136</f>
        <v>Depreciation/Amortization</v>
      </c>
      <c r="C165" s="773">
        <f>'BDO Prequal'!D136</f>
        <v>0</v>
      </c>
      <c r="D165" s="773">
        <f>'BDO Prequal'!F136</f>
        <v>0</v>
      </c>
      <c r="E165" s="773">
        <f>'BDO Prequal'!H136</f>
        <v>0</v>
      </c>
      <c r="F165" s="774">
        <f>'BDO Prequal'!J136</f>
        <v>0</v>
      </c>
      <c r="G165" s="775">
        <f>'BDO Prequal'!O136</f>
        <v>0</v>
      </c>
      <c r="H165" s="774">
        <f>'BDO Prequal'!Q136</f>
        <v>0</v>
      </c>
    </row>
    <row r="166" spans="2:8" ht="13.8" x14ac:dyDescent="0.3">
      <c r="B166" s="772" t="str">
        <f>'BDO Prequal'!C137</f>
        <v>Interest Expense</v>
      </c>
      <c r="C166" s="773">
        <f>'BDO Prequal'!D137</f>
        <v>14064</v>
      </c>
      <c r="D166" s="773">
        <f>'BDO Prequal'!F137</f>
        <v>757</v>
      </c>
      <c r="E166" s="773">
        <f>'BDO Prequal'!H137</f>
        <v>40393</v>
      </c>
      <c r="F166" s="774">
        <f>'BDO Prequal'!J137</f>
        <v>48753</v>
      </c>
      <c r="G166" s="775">
        <f>'BDO Prequal'!O137</f>
        <v>0</v>
      </c>
      <c r="H166" s="774">
        <f>'BDO Prequal'!Q137</f>
        <v>0</v>
      </c>
    </row>
    <row r="167" spans="2:8" ht="13.8" x14ac:dyDescent="0.3">
      <c r="B167" s="772" t="str">
        <f>'BDO Prequal'!C138</f>
        <v>Rent Adjustment</v>
      </c>
      <c r="C167" s="773">
        <f>'BDO Prequal'!D138</f>
        <v>0</v>
      </c>
      <c r="D167" s="773">
        <f>'BDO Prequal'!F138</f>
        <v>0</v>
      </c>
      <c r="E167" s="773">
        <f>'BDO Prequal'!H138</f>
        <v>0</v>
      </c>
      <c r="F167" s="774">
        <f>'BDO Prequal'!J138</f>
        <v>0</v>
      </c>
      <c r="G167" s="775">
        <f>'BDO Prequal'!O138</f>
        <v>0</v>
      </c>
      <c r="H167" s="774">
        <f>'BDO Prequal'!Q138</f>
        <v>0</v>
      </c>
    </row>
    <row r="168" spans="2:8" ht="13.8" x14ac:dyDescent="0.3">
      <c r="B168" s="776" t="str">
        <f>'BDO Prequal'!C139</f>
        <v>Other</v>
      </c>
      <c r="C168" s="773">
        <f>'BDO Prequal'!D139</f>
        <v>0</v>
      </c>
      <c r="D168" s="773">
        <f>'BDO Prequal'!F139</f>
        <v>0</v>
      </c>
      <c r="E168" s="773">
        <f>'BDO Prequal'!H139</f>
        <v>0</v>
      </c>
      <c r="F168" s="774">
        <f>'BDO Prequal'!J139</f>
        <v>0</v>
      </c>
      <c r="G168" s="775">
        <f>'BDO Prequal'!O139</f>
        <v>0</v>
      </c>
      <c r="H168" s="774">
        <f>'BDO Prequal'!Q139</f>
        <v>0</v>
      </c>
    </row>
    <row r="169" spans="2:8" ht="13.8" x14ac:dyDescent="0.3">
      <c r="B169" s="776" t="str">
        <f>'BDO Prequal'!C140</f>
        <v>Other</v>
      </c>
      <c r="C169" s="773">
        <f>'BDO Prequal'!D140</f>
        <v>0</v>
      </c>
      <c r="D169" s="773">
        <f>'BDO Prequal'!F140</f>
        <v>0</v>
      </c>
      <c r="E169" s="773">
        <f>'BDO Prequal'!H140</f>
        <v>0</v>
      </c>
      <c r="F169" s="774">
        <f>'BDO Prequal'!J140</f>
        <v>0</v>
      </c>
      <c r="G169" s="775">
        <f>'BDO Prequal'!O140</f>
        <v>0</v>
      </c>
      <c r="H169" s="774">
        <f>'BDO Prequal'!Q140</f>
        <v>0</v>
      </c>
    </row>
    <row r="170" spans="2:8" ht="13.8" x14ac:dyDescent="0.3">
      <c r="B170" s="772" t="str">
        <f>'BDO Prequal'!C141</f>
        <v>Estimated Property Tax</v>
      </c>
      <c r="C170" s="751">
        <f>'BDO Prequal'!D141</f>
        <v>0</v>
      </c>
      <c r="D170" s="751">
        <f>'BDO Prequal'!F141</f>
        <v>0</v>
      </c>
      <c r="E170" s="751">
        <f>'BDO Prequal'!H141</f>
        <v>0</v>
      </c>
      <c r="F170" s="752">
        <f>'BDO Prequal'!J141</f>
        <v>0</v>
      </c>
      <c r="G170" s="753">
        <f>'BDO Prequal'!O141</f>
        <v>0</v>
      </c>
      <c r="H170" s="752">
        <f>'BDO Prequal'!Q141</f>
        <v>0</v>
      </c>
    </row>
    <row r="171" spans="2:8" ht="13.8" x14ac:dyDescent="0.3">
      <c r="B171" s="772" t="str">
        <f>'BDO Prequal'!C142</f>
        <v>Required Owner's Draw</v>
      </c>
      <c r="C171" s="804">
        <f>'BDO Prequal'!D142</f>
        <v>-258960</v>
      </c>
      <c r="D171" s="804">
        <f>'BDO Prequal'!F142</f>
        <v>-258960</v>
      </c>
      <c r="E171" s="804">
        <f>'BDO Prequal'!H142</f>
        <v>-258960</v>
      </c>
      <c r="F171" s="804">
        <f>'BDO Prequal'!J142</f>
        <v>-258960</v>
      </c>
      <c r="G171" s="804">
        <f>'BDO Prequal'!O142</f>
        <v>-258960</v>
      </c>
      <c r="H171" s="804">
        <f>'BDO Prequal'!Q142</f>
        <v>-258960</v>
      </c>
    </row>
    <row r="172" spans="2:8" ht="13.8" x14ac:dyDescent="0.3">
      <c r="B172" s="772"/>
      <c r="C172" s="777"/>
      <c r="D172" s="777"/>
      <c r="E172" s="777"/>
      <c r="F172" s="778"/>
      <c r="G172" s="779"/>
      <c r="H172" s="780"/>
    </row>
    <row r="173" spans="2:8" ht="13.8" x14ac:dyDescent="0.3">
      <c r="B173" s="772" t="str">
        <f>'BDO Prequal'!C144</f>
        <v>Cash Available</v>
      </c>
      <c r="C173" s="781">
        <f>'BDO Prequal'!D144</f>
        <v>1109394</v>
      </c>
      <c r="D173" s="781">
        <f>'BDO Prequal'!F144</f>
        <v>2198586</v>
      </c>
      <c r="E173" s="781">
        <f>'BDO Prequal'!H144</f>
        <v>2719629</v>
      </c>
      <c r="F173" s="782">
        <f>'BDO Prequal'!J144</f>
        <v>740145</v>
      </c>
      <c r="G173" s="783">
        <f>'BDO Prequal'!O144</f>
        <v>1209147</v>
      </c>
      <c r="H173" s="782">
        <f>'BDO Prequal'!Q144</f>
        <v>2008948</v>
      </c>
    </row>
    <row r="174" spans="2:8" ht="13.8" x14ac:dyDescent="0.3">
      <c r="B174" s="772"/>
      <c r="C174" s="735"/>
      <c r="D174" s="735"/>
      <c r="E174" s="735"/>
      <c r="F174" s="736"/>
      <c r="G174" s="737"/>
      <c r="H174" s="738"/>
    </row>
    <row r="175" spans="2:8" ht="13.8" x14ac:dyDescent="0.3">
      <c r="B175" s="721" t="str">
        <f>'BDO Prequal'!C146</f>
        <v>Existing Debt</v>
      </c>
      <c r="C175" s="754">
        <f>'BDO Prequal'!D146</f>
        <v>0</v>
      </c>
      <c r="D175" s="754">
        <f>'BDO Prequal'!F146</f>
        <v>0</v>
      </c>
      <c r="E175" s="754">
        <f>'BDO Prequal'!H146</f>
        <v>0</v>
      </c>
      <c r="F175" s="755">
        <f>'BDO Prequal'!J146</f>
        <v>0</v>
      </c>
      <c r="G175" s="756">
        <f>'BDO Prequal'!O146</f>
        <v>0</v>
      </c>
      <c r="H175" s="755">
        <f>'BDO Prequal'!Q146</f>
        <v>0</v>
      </c>
    </row>
    <row r="176" spans="2:8" ht="13.8" x14ac:dyDescent="0.3">
      <c r="B176" s="721" t="str">
        <f>'BDO Prequal'!C147</f>
        <v>SBA 7(a) Debt Service</v>
      </c>
      <c r="C176" s="754">
        <f ca="1">'BDO Prequal'!D147</f>
        <v>90189.574707492357</v>
      </c>
      <c r="D176" s="754">
        <f ca="1">'BDO Prequal'!F147</f>
        <v>90189.574707492357</v>
      </c>
      <c r="E176" s="754">
        <f ca="1">'BDO Prequal'!H147</f>
        <v>90189.574707492357</v>
      </c>
      <c r="F176" s="755">
        <f ca="1">'BDO Prequal'!J147</f>
        <v>30063.191569164119</v>
      </c>
      <c r="G176" s="756">
        <f ca="1">'BDO Prequal'!O147</f>
        <v>90189.574707492357</v>
      </c>
      <c r="H176" s="755">
        <f ca="1">'BDO Prequal'!Q147</f>
        <v>90189.574707492357</v>
      </c>
    </row>
    <row r="177" spans="2:8" ht="13.8" x14ac:dyDescent="0.3">
      <c r="B177" s="721" t="str">
        <f>'BDO Prequal'!C148</f>
        <v>SBA 7(a) Debt Service</v>
      </c>
      <c r="C177" s="754">
        <f ca="1">'BDO Prequal'!D148</f>
        <v>365004.01451185776</v>
      </c>
      <c r="D177" s="754">
        <f ca="1">'BDO Prequal'!F148</f>
        <v>365004.01451185776</v>
      </c>
      <c r="E177" s="754">
        <f ca="1">'BDO Prequal'!H148</f>
        <v>365004.01451185776</v>
      </c>
      <c r="F177" s="755">
        <f ca="1">'BDO Prequal'!J148</f>
        <v>121668.00483728592</v>
      </c>
      <c r="G177" s="756">
        <f ca="1">'BDO Prequal'!O148</f>
        <v>365004.01451185776</v>
      </c>
      <c r="H177" s="755">
        <f ca="1">'BDO Prequal'!Q148</f>
        <v>365004.01451185776</v>
      </c>
    </row>
    <row r="178" spans="2:8" ht="13.8" x14ac:dyDescent="0.3">
      <c r="B178" s="721" t="str">
        <f>'BDO Prequal'!C149</f>
        <v>SBA 504 Debt Service</v>
      </c>
      <c r="C178" s="754">
        <f ca="1">'BDO Prequal'!D149</f>
        <v>209693.3052878122</v>
      </c>
      <c r="D178" s="754">
        <f ca="1">'BDO Prequal'!F149</f>
        <v>209693.3052878122</v>
      </c>
      <c r="E178" s="754">
        <f ca="1">'BDO Prequal'!H149</f>
        <v>209693.3052878122</v>
      </c>
      <c r="F178" s="755">
        <f ca="1">'BDO Prequal'!J149</f>
        <v>69897.768429270727</v>
      </c>
      <c r="G178" s="756">
        <f ca="1">'BDO Prequal'!O149</f>
        <v>209693.3052878122</v>
      </c>
      <c r="H178" s="755">
        <f ca="1">'BDO Prequal'!Q149</f>
        <v>209693.3052878122</v>
      </c>
    </row>
    <row r="179" spans="2:8" ht="13.8" x14ac:dyDescent="0.3">
      <c r="B179" s="721" t="str">
        <f>'BDO Prequal'!C150</f>
        <v>Seller Note Debt Service</v>
      </c>
      <c r="C179" s="754">
        <f ca="1">'BDO Prequal'!D150</f>
        <v>54281.273166557949</v>
      </c>
      <c r="D179" s="754">
        <f ca="1">'BDO Prequal'!F150</f>
        <v>54281.273166557949</v>
      </c>
      <c r="E179" s="754">
        <f ca="1">'BDO Prequal'!H150</f>
        <v>54281.273166557949</v>
      </c>
      <c r="F179" s="755">
        <f ca="1">'BDO Prequal'!J150</f>
        <v>18093.757722185983</v>
      </c>
      <c r="G179" s="756">
        <f ca="1">'BDO Prequal'!O150</f>
        <v>54281.273166557949</v>
      </c>
      <c r="H179" s="755">
        <f ca="1">'BDO Prequal'!Q150</f>
        <v>54281.273166557949</v>
      </c>
    </row>
    <row r="180" spans="2:8" ht="13.8" x14ac:dyDescent="0.3">
      <c r="B180" s="721" t="str">
        <f>'BDO Prequal'!C151</f>
        <v>Debenture Debt Service</v>
      </c>
      <c r="C180" s="754">
        <f ca="1">'BDO Prequal'!D151</f>
        <v>683430.44569912017</v>
      </c>
      <c r="D180" s="754">
        <f ca="1">'BDO Prequal'!F151</f>
        <v>683430.44569912017</v>
      </c>
      <c r="E180" s="754">
        <f ca="1">'BDO Prequal'!H151</f>
        <v>683430.44569912017</v>
      </c>
      <c r="F180" s="755">
        <f ca="1">'BDO Prequal'!J151</f>
        <v>227810.14856637339</v>
      </c>
      <c r="G180" s="756">
        <f ca="1">'BDO Prequal'!O151</f>
        <v>683430.44569912017</v>
      </c>
      <c r="H180" s="755">
        <f ca="1">'BDO Prequal'!Q151</f>
        <v>683430.44569912017</v>
      </c>
    </row>
    <row r="181" spans="2:8" ht="13.8" x14ac:dyDescent="0.3">
      <c r="B181" s="721" t="str">
        <f>'BDO Prequal'!C152</f>
        <v>N/A Debt Service</v>
      </c>
      <c r="C181" s="754">
        <f ca="1">'BDO Prequal'!D152</f>
        <v>0</v>
      </c>
      <c r="D181" s="754">
        <f ca="1">'BDO Prequal'!F152</f>
        <v>0</v>
      </c>
      <c r="E181" s="754">
        <f ca="1">'BDO Prequal'!H152</f>
        <v>0</v>
      </c>
      <c r="F181" s="755">
        <f ca="1">'BDO Prequal'!J152</f>
        <v>0</v>
      </c>
      <c r="G181" s="756">
        <f ca="1">'BDO Prequal'!O152</f>
        <v>0</v>
      </c>
      <c r="H181" s="755">
        <f ca="1">'BDO Prequal'!Q152</f>
        <v>0</v>
      </c>
    </row>
    <row r="182" spans="2:8" ht="13.8" x14ac:dyDescent="0.3">
      <c r="B182" s="721" t="str">
        <f>'BDO Prequal'!C153</f>
        <v>N/A Debt Service</v>
      </c>
      <c r="C182" s="754">
        <f ca="1">'BDO Prequal'!D153</f>
        <v>0</v>
      </c>
      <c r="D182" s="754">
        <f ca="1">'BDO Prequal'!F153</f>
        <v>0</v>
      </c>
      <c r="E182" s="754">
        <f ca="1">'BDO Prequal'!H153</f>
        <v>0</v>
      </c>
      <c r="F182" s="755">
        <f ca="1">'BDO Prequal'!J153</f>
        <v>0</v>
      </c>
      <c r="G182" s="756">
        <f ca="1">'BDO Prequal'!O153</f>
        <v>0</v>
      </c>
      <c r="H182" s="755">
        <f ca="1">'BDO Prequal'!Q153</f>
        <v>0</v>
      </c>
    </row>
    <row r="183" spans="2:8" ht="13.8" x14ac:dyDescent="0.3">
      <c r="B183" s="721" t="str">
        <f>'BDO Prequal'!C154</f>
        <v>Total Debt</v>
      </c>
      <c r="C183" s="754">
        <f ca="1">'BDO Prequal'!D154</f>
        <v>1402598.6133728405</v>
      </c>
      <c r="D183" s="754">
        <f ca="1">'BDO Prequal'!F154</f>
        <v>1402598.6133728405</v>
      </c>
      <c r="E183" s="754">
        <f ca="1">'BDO Prequal'!H154</f>
        <v>1402598.6133728405</v>
      </c>
      <c r="F183" s="755">
        <f ca="1">'BDO Prequal'!J154</f>
        <v>467532.87112428015</v>
      </c>
      <c r="G183" s="756">
        <f ca="1">'BDO Prequal'!O154</f>
        <v>1402598.6133728405</v>
      </c>
      <c r="H183" s="755">
        <f ca="1">'BDO Prequal'!Q154</f>
        <v>1402598.6133728405</v>
      </c>
    </row>
    <row r="184" spans="2:8" ht="13.8" x14ac:dyDescent="0.3">
      <c r="B184" s="721"/>
      <c r="C184" s="735"/>
      <c r="D184" s="735"/>
      <c r="E184" s="735"/>
      <c r="F184" s="736"/>
      <c r="G184" s="737"/>
      <c r="H184" s="738"/>
    </row>
    <row r="185" spans="2:8" ht="13.8" x14ac:dyDescent="0.3">
      <c r="B185" s="760" t="str">
        <f>'BDO Prequal'!C156</f>
        <v>DCR</v>
      </c>
      <c r="C185" s="784">
        <f ca="1">'BDO Prequal'!D156</f>
        <v>0.79095615054989332</v>
      </c>
      <c r="D185" s="784">
        <f ca="1">'BDO Prequal'!F156</f>
        <v>1.5675090357554555</v>
      </c>
      <c r="E185" s="784">
        <f ca="1">'BDO Prequal'!H156</f>
        <v>1.9389930761874103</v>
      </c>
      <c r="F185" s="785">
        <f ca="1">'BDO Prequal'!J156</f>
        <v>1.5830865500861302</v>
      </c>
      <c r="G185" s="786">
        <f ca="1">'BDO Prequal'!O156</f>
        <v>0.8620762836007333</v>
      </c>
      <c r="H185" s="785">
        <f ca="1">'BDO Prequal'!Q156</f>
        <v>1.4323042820989722</v>
      </c>
    </row>
    <row r="186" spans="2:8" ht="13.8" x14ac:dyDescent="0.3">
      <c r="B186" s="760" t="s">
        <v>506</v>
      </c>
      <c r="C186" s="784">
        <f ca="1">'BDO Prequal'!D191</f>
        <v>0.91514587359151345</v>
      </c>
      <c r="D186" s="784">
        <f ca="1">'BDO Prequal'!F191</f>
        <v>1.6916987587970753</v>
      </c>
      <c r="E186" s="784">
        <f ca="1">'BDO Prequal'!H191</f>
        <v>2.0631827992290299</v>
      </c>
      <c r="F186" s="785">
        <f ca="1">'BDO Prequal'!J191</f>
        <v>1.95565571921099</v>
      </c>
      <c r="G186" s="786">
        <f ca="1">IFERROR(('BDO Prequal'!O144+'BDO Prequal'!H164+'BDO Prequal'!H165+'BDO Prequal'!H166+'BDO Prequal'!H167+'BDO Prequal'!H168+'BDO Prequal'!H169+'BDO Prequal'!H170+'BDO Prequal'!H171+'BDO Prequal'!H172+'BDO Prequal'!H173+'BDO Prequal'!H174+'BDO Prequal'!H175+'BDO Prequal'!H177+'BDO Prequal'!H178+'BDO Prequal'!H179+'BDO Prequal'!H180+'BDO Prequal'!H181+'BDO Prequal'!H182+'BDO Prequal'!H183+'BDO Prequal'!H184+'BDO Prequal'!H185+'BDO Prequal'!H186)/'BDO Prequal'!O154,0)</f>
        <v>0.80163727713200772</v>
      </c>
      <c r="H186" s="785">
        <f ca="1">IFERROR(('BDO Prequal'!Q144+'BDO Prequal'!H164+'BDO Prequal'!H165+'BDO Prequal'!H166+'BDO Prequal'!H167+'BDO Prequal'!H168+'BDO Prequal'!H169+'BDO Prequal'!H170+'BDO Prequal'!H171+'BDO Prequal'!H172+'BDO Prequal'!H173+'BDO Prequal'!H174+'BDO Prequal'!H175+'BDO Prequal'!H177+'BDO Prequal'!H178+'BDO Prequal'!H179+'BDO Prequal'!H180+'BDO Prequal'!H181+'BDO Prequal'!H182+'BDO Prequal'!H183+'BDO Prequal'!H184+'BDO Prequal'!H185+'BDO Prequal'!H186)/'BDO Prequal'!Q154,0)</f>
        <v>1.3718652756302465</v>
      </c>
    </row>
    <row r="187" spans="2:8" ht="14.4" thickBot="1" x14ac:dyDescent="0.35">
      <c r="B187" s="787"/>
      <c r="C187" s="788"/>
      <c r="D187" s="788"/>
      <c r="E187" s="788"/>
      <c r="F187" s="789"/>
      <c r="G187" s="790"/>
      <c r="H187" s="791"/>
    </row>
    <row r="188" spans="2:8" ht="13.8" x14ac:dyDescent="0.3"/>
    <row r="189" spans="2:8" ht="14.4" thickBot="1" x14ac:dyDescent="0.35"/>
    <row r="190" spans="2:8" ht="13.8" x14ac:dyDescent="0.3">
      <c r="B190" s="661" t="s">
        <v>264</v>
      </c>
      <c r="C190" s="662"/>
      <c r="D190" s="662"/>
      <c r="E190" s="662"/>
      <c r="F190" s="663"/>
    </row>
    <row r="191" spans="2:8" ht="14.4" thickBot="1" x14ac:dyDescent="0.35">
      <c r="B191" s="1326"/>
      <c r="C191" s="1327"/>
      <c r="D191" s="1327"/>
      <c r="E191" s="1327"/>
      <c r="F191" s="1328"/>
    </row>
    <row r="192" spans="2:8" ht="13.8" x14ac:dyDescent="0.3">
      <c r="B192" s="1144" t="str">
        <f>Affiliates!B43</f>
        <v>{Insert business name which represents Affiliate 1}</v>
      </c>
      <c r="C192" s="1145"/>
      <c r="D192" s="1145"/>
      <c r="E192" s="1145"/>
      <c r="F192" s="1146"/>
    </row>
    <row r="193" spans="2:6" ht="13.8" x14ac:dyDescent="0.3">
      <c r="B193" s="734"/>
      <c r="C193" s="735"/>
      <c r="D193" s="735"/>
      <c r="E193" s="735"/>
      <c r="F193" s="736"/>
    </row>
    <row r="194" spans="2:6" ht="13.8" x14ac:dyDescent="0.3">
      <c r="B194" s="739"/>
      <c r="C194" s="740">
        <f>Affiliates!D45</f>
        <v>45291</v>
      </c>
      <c r="D194" s="740">
        <f>Affiliates!F45</f>
        <v>45657</v>
      </c>
      <c r="E194" s="740">
        <f>Affiliates!H45</f>
        <v>46022</v>
      </c>
      <c r="F194" s="741">
        <f>Affiliates!J45</f>
        <v>46112</v>
      </c>
    </row>
    <row r="195" spans="2:6" ht="13.8" x14ac:dyDescent="0.3">
      <c r="B195" s="743"/>
      <c r="C195" s="744"/>
      <c r="D195" s="744"/>
      <c r="E195" s="744"/>
      <c r="F195" s="745">
        <f>Affiliates!J49</f>
        <v>0</v>
      </c>
    </row>
    <row r="196" spans="2:6" ht="13.8" x14ac:dyDescent="0.3">
      <c r="B196" s="739" t="str">
        <f>Affiliates!C50</f>
        <v>Total Revenue</v>
      </c>
      <c r="C196" s="748">
        <f>Affiliates!D50</f>
        <v>0</v>
      </c>
      <c r="D196" s="748">
        <f>Affiliates!F50</f>
        <v>0</v>
      </c>
      <c r="E196" s="748">
        <f>Affiliates!H50</f>
        <v>0</v>
      </c>
      <c r="F196" s="749">
        <f>Affiliates!J50</f>
        <v>0</v>
      </c>
    </row>
    <row r="197" spans="2:6" ht="13.8" x14ac:dyDescent="0.3">
      <c r="B197" s="739" t="str">
        <f>Affiliates!C51</f>
        <v>Total COGS</v>
      </c>
      <c r="C197" s="751">
        <f>Affiliates!D51</f>
        <v>0</v>
      </c>
      <c r="D197" s="751">
        <f>Affiliates!F51</f>
        <v>0</v>
      </c>
      <c r="E197" s="751">
        <f>Affiliates!H51</f>
        <v>0</v>
      </c>
      <c r="F197" s="752">
        <f>Affiliates!J51</f>
        <v>0</v>
      </c>
    </row>
    <row r="198" spans="2:6" ht="13.8" x14ac:dyDescent="0.3">
      <c r="B198" s="739" t="str">
        <f>Affiliates!C52</f>
        <v>Total Gross Margin</v>
      </c>
      <c r="C198" s="754">
        <f>Affiliates!D52</f>
        <v>0</v>
      </c>
      <c r="D198" s="754">
        <f>Affiliates!F52</f>
        <v>0</v>
      </c>
      <c r="E198" s="754">
        <f>Affiliates!H52</f>
        <v>0</v>
      </c>
      <c r="F198" s="755">
        <f>Affiliates!J52</f>
        <v>0</v>
      </c>
    </row>
    <row r="199" spans="2:6" ht="13.8" x14ac:dyDescent="0.3">
      <c r="B199" s="739" t="str">
        <f>Affiliates!C67</f>
        <v>Total Operating Expenses</v>
      </c>
      <c r="C199" s="757">
        <f>Affiliates!D67</f>
        <v>0</v>
      </c>
      <c r="D199" s="757">
        <f>Affiliates!F67</f>
        <v>0</v>
      </c>
      <c r="E199" s="757">
        <f>Affiliates!H67</f>
        <v>0</v>
      </c>
      <c r="F199" s="758">
        <f>Affiliates!J67</f>
        <v>0</v>
      </c>
    </row>
    <row r="200" spans="2:6" ht="13.8" x14ac:dyDescent="0.3">
      <c r="B200" s="792" t="str">
        <f>Affiliates!C69</f>
        <v>Ordinary Income</v>
      </c>
      <c r="C200" s="761">
        <f>Affiliates!D69</f>
        <v>0</v>
      </c>
      <c r="D200" s="761">
        <f>Affiliates!F69</f>
        <v>0</v>
      </c>
      <c r="E200" s="761">
        <f>Affiliates!H69</f>
        <v>0</v>
      </c>
      <c r="F200" s="762">
        <f>Affiliates!J69</f>
        <v>0</v>
      </c>
    </row>
    <row r="201" spans="2:6" ht="13.8" x14ac:dyDescent="0.3">
      <c r="B201" s="739" t="str">
        <f>Affiliates!C73</f>
        <v>Total Other Income (Expenses)</v>
      </c>
      <c r="C201" s="757">
        <f>Affiliates!D73</f>
        <v>0</v>
      </c>
      <c r="D201" s="757">
        <f>Affiliates!F73</f>
        <v>0</v>
      </c>
      <c r="E201" s="757">
        <f>Affiliates!H73</f>
        <v>0</v>
      </c>
      <c r="F201" s="758">
        <f>Affiliates!J73</f>
        <v>0</v>
      </c>
    </row>
    <row r="202" spans="2:6" ht="13.8" x14ac:dyDescent="0.3">
      <c r="B202" s="739" t="str">
        <f>Affiliates!C75</f>
        <v>Net Income Before Taxes</v>
      </c>
      <c r="C202" s="754">
        <f>Affiliates!D75</f>
        <v>0</v>
      </c>
      <c r="D202" s="754">
        <f>Affiliates!F75</f>
        <v>0</v>
      </c>
      <c r="E202" s="754">
        <f>Affiliates!H75</f>
        <v>0</v>
      </c>
      <c r="F202" s="755">
        <f>Affiliates!J75</f>
        <v>0</v>
      </c>
    </row>
    <row r="203" spans="2:6" ht="13.8" x14ac:dyDescent="0.3">
      <c r="B203" s="739" t="str">
        <f>Affiliates!C76</f>
        <v>Income Taxes</v>
      </c>
      <c r="C203" s="754">
        <f>Affiliates!D76</f>
        <v>0</v>
      </c>
      <c r="D203" s="754">
        <f>Affiliates!F76</f>
        <v>0</v>
      </c>
      <c r="E203" s="754">
        <f>Affiliates!H76</f>
        <v>0</v>
      </c>
      <c r="F203" s="755">
        <f>Affiliates!J76</f>
        <v>0</v>
      </c>
    </row>
    <row r="204" spans="2:6" ht="13.8" x14ac:dyDescent="0.3">
      <c r="B204" s="792" t="str">
        <f>Affiliates!C78</f>
        <v>NET INCOME AFTER TAXES</v>
      </c>
      <c r="C204" s="761">
        <f>Affiliates!D78</f>
        <v>0</v>
      </c>
      <c r="D204" s="761">
        <f>Affiliates!F78</f>
        <v>0</v>
      </c>
      <c r="E204" s="761">
        <f>Affiliates!H78</f>
        <v>0</v>
      </c>
      <c r="F204" s="762">
        <f>Affiliates!J78</f>
        <v>0</v>
      </c>
    </row>
    <row r="205" spans="2:6" ht="13.8" x14ac:dyDescent="0.3">
      <c r="B205" s="739"/>
      <c r="C205" s="764"/>
      <c r="D205" s="764"/>
      <c r="E205" s="764"/>
      <c r="F205" s="765"/>
    </row>
    <row r="206" spans="2:6" ht="13.8" x14ac:dyDescent="0.3">
      <c r="B206" s="793" t="str">
        <f>Affiliates!C80</f>
        <v>ADJUSTMENTS</v>
      </c>
      <c r="C206" s="735"/>
      <c r="D206" s="735"/>
      <c r="E206" s="735"/>
      <c r="F206" s="736"/>
    </row>
    <row r="207" spans="2:6" ht="13.8" x14ac:dyDescent="0.3">
      <c r="B207" s="794" t="str">
        <f>Affiliates!C81</f>
        <v>Compensation of Officers</v>
      </c>
      <c r="C207" s="748">
        <f>Affiliates!D81</f>
        <v>0</v>
      </c>
      <c r="D207" s="748">
        <f>Affiliates!F81</f>
        <v>0</v>
      </c>
      <c r="E207" s="748">
        <f>Affiliates!H81</f>
        <v>0</v>
      </c>
      <c r="F207" s="749">
        <f>Affiliates!J81</f>
        <v>0</v>
      </c>
    </row>
    <row r="208" spans="2:6" ht="13.8" x14ac:dyDescent="0.3">
      <c r="B208" s="795" t="str">
        <f>Affiliates!C82</f>
        <v>Depreciation/Amortization</v>
      </c>
      <c r="C208" s="773">
        <f>Affiliates!D82</f>
        <v>0</v>
      </c>
      <c r="D208" s="773">
        <f>Affiliates!F82</f>
        <v>0</v>
      </c>
      <c r="E208" s="773">
        <f>Affiliates!H82</f>
        <v>0</v>
      </c>
      <c r="F208" s="774">
        <f>Affiliates!J82</f>
        <v>0</v>
      </c>
    </row>
    <row r="209" spans="2:6" ht="13.8" x14ac:dyDescent="0.3">
      <c r="B209" s="795" t="str">
        <f>Affiliates!C83</f>
        <v>Interest Expense</v>
      </c>
      <c r="C209" s="773">
        <f>Affiliates!D83</f>
        <v>0</v>
      </c>
      <c r="D209" s="773">
        <f>Affiliates!F83</f>
        <v>0</v>
      </c>
      <c r="E209" s="773">
        <f>Affiliates!H83</f>
        <v>0</v>
      </c>
      <c r="F209" s="774">
        <f>Affiliates!J83</f>
        <v>0</v>
      </c>
    </row>
    <row r="210" spans="2:6" ht="13.8" x14ac:dyDescent="0.3">
      <c r="B210" s="795" t="str">
        <f>Affiliates!C84</f>
        <v>Rent Adjustment</v>
      </c>
      <c r="C210" s="773">
        <f>Affiliates!D84</f>
        <v>0</v>
      </c>
      <c r="D210" s="773">
        <f>Affiliates!F84</f>
        <v>0</v>
      </c>
      <c r="E210" s="773">
        <f>Affiliates!H84</f>
        <v>0</v>
      </c>
      <c r="F210" s="774">
        <f>Affiliates!J84</f>
        <v>0</v>
      </c>
    </row>
    <row r="211" spans="2:6" ht="13.8" x14ac:dyDescent="0.3">
      <c r="B211" s="796" t="str">
        <f>Affiliates!C85</f>
        <v>Other</v>
      </c>
      <c r="C211" s="773">
        <f>Affiliates!D85</f>
        <v>0</v>
      </c>
      <c r="D211" s="773">
        <f>Affiliates!F85</f>
        <v>0</v>
      </c>
      <c r="E211" s="773">
        <f>Affiliates!H85</f>
        <v>0</v>
      </c>
      <c r="F211" s="774">
        <f>Affiliates!J85</f>
        <v>0</v>
      </c>
    </row>
    <row r="212" spans="2:6" ht="13.8" x14ac:dyDescent="0.3">
      <c r="B212" s="796" t="str">
        <f>Affiliates!C86</f>
        <v>Other</v>
      </c>
      <c r="C212" s="773">
        <f>Affiliates!D86</f>
        <v>0</v>
      </c>
      <c r="D212" s="773">
        <f>Affiliates!F86</f>
        <v>0</v>
      </c>
      <c r="E212" s="773">
        <f>Affiliates!H86</f>
        <v>0</v>
      </c>
      <c r="F212" s="774">
        <f>Affiliates!J86</f>
        <v>0</v>
      </c>
    </row>
    <row r="213" spans="2:6" ht="13.8" x14ac:dyDescent="0.3">
      <c r="B213" s="795" t="str">
        <f>Affiliates!C87</f>
        <v>Estimated Property Tax</v>
      </c>
      <c r="C213" s="751">
        <f>Affiliates!D87</f>
        <v>0</v>
      </c>
      <c r="D213" s="751">
        <f>Affiliates!F87</f>
        <v>0</v>
      </c>
      <c r="E213" s="751">
        <f>Affiliates!H87</f>
        <v>0</v>
      </c>
      <c r="F213" s="752">
        <f>Affiliates!J87</f>
        <v>0</v>
      </c>
    </row>
    <row r="214" spans="2:6" ht="13.8" x14ac:dyDescent="0.3">
      <c r="B214" s="795"/>
      <c r="C214" s="735"/>
      <c r="D214" s="735"/>
      <c r="E214" s="735"/>
      <c r="F214" s="736"/>
    </row>
    <row r="215" spans="2:6" ht="13.8" x14ac:dyDescent="0.3">
      <c r="B215" s="795" t="str">
        <f>Affiliates!C90</f>
        <v>Cash Available</v>
      </c>
      <c r="C215" s="781">
        <f>Affiliates!D90</f>
        <v>0</v>
      </c>
      <c r="D215" s="781">
        <f>Affiliates!F90</f>
        <v>0</v>
      </c>
      <c r="E215" s="781">
        <f>Affiliates!H90</f>
        <v>0</v>
      </c>
      <c r="F215" s="782">
        <f>Affiliates!J90</f>
        <v>0</v>
      </c>
    </row>
    <row r="216" spans="2:6" ht="13.8" x14ac:dyDescent="0.3">
      <c r="B216" s="795"/>
      <c r="C216" s="735"/>
      <c r="D216" s="735"/>
      <c r="E216" s="735"/>
      <c r="F216" s="736"/>
    </row>
    <row r="217" spans="2:6" ht="13.8" x14ac:dyDescent="0.3">
      <c r="B217" s="739" t="str">
        <f>Affiliates!C92</f>
        <v>Existing Monthly Debt</v>
      </c>
      <c r="C217" s="711">
        <f>Affiliates!D92</f>
        <v>0</v>
      </c>
      <c r="D217" s="711">
        <f>Affiliates!F92</f>
        <v>0</v>
      </c>
      <c r="E217" s="711">
        <f>Affiliates!H92</f>
        <v>0</v>
      </c>
      <c r="F217" s="797">
        <f>Affiliates!J92</f>
        <v>0</v>
      </c>
    </row>
    <row r="218" spans="2:6" ht="13.8" x14ac:dyDescent="0.3">
      <c r="B218" s="739" t="str">
        <f>Affiliates!C93</f>
        <v>Existing Debt</v>
      </c>
      <c r="C218" s="754">
        <f>Affiliates!D93</f>
        <v>0</v>
      </c>
      <c r="D218" s="754">
        <f>Affiliates!F93</f>
        <v>0</v>
      </c>
      <c r="E218" s="754">
        <f>Affiliates!H93</f>
        <v>0</v>
      </c>
      <c r="F218" s="755">
        <f>Affiliates!J93</f>
        <v>0</v>
      </c>
    </row>
    <row r="219" spans="2:6" ht="13.8" x14ac:dyDescent="0.3">
      <c r="B219" s="734"/>
      <c r="C219" s="735"/>
      <c r="D219" s="735"/>
      <c r="E219" s="735"/>
      <c r="F219" s="736"/>
    </row>
    <row r="220" spans="2:6" ht="13.8" x14ac:dyDescent="0.3">
      <c r="B220" s="792" t="str">
        <f>Affiliates!C95</f>
        <v>DCR</v>
      </c>
      <c r="C220" s="784">
        <f>Affiliates!D95</f>
        <v>0</v>
      </c>
      <c r="D220" s="784">
        <f>Affiliates!F95</f>
        <v>0</v>
      </c>
      <c r="E220" s="784">
        <f>Affiliates!H95</f>
        <v>0</v>
      </c>
      <c r="F220" s="785">
        <f>Affiliates!J95</f>
        <v>0</v>
      </c>
    </row>
    <row r="221" spans="2:6" ht="14.4" thickBot="1" x14ac:dyDescent="0.35">
      <c r="B221" s="787"/>
      <c r="C221" s="788"/>
      <c r="D221" s="788"/>
      <c r="E221" s="788"/>
      <c r="F221" s="789"/>
    </row>
    <row r="222" spans="2:6" ht="13.8" x14ac:dyDescent="0.3"/>
    <row r="223" spans="2:6" ht="14.4" thickBot="1" x14ac:dyDescent="0.35"/>
    <row r="224" spans="2:6" ht="13.8" x14ac:dyDescent="0.3">
      <c r="B224" s="661" t="s">
        <v>265</v>
      </c>
      <c r="C224" s="662"/>
      <c r="D224" s="662"/>
      <c r="E224" s="662"/>
      <c r="F224" s="663"/>
    </row>
    <row r="225" spans="2:6" ht="14.4" thickBot="1" x14ac:dyDescent="0.35">
      <c r="B225" s="1296"/>
      <c r="C225" s="1297"/>
      <c r="D225" s="1297"/>
      <c r="E225" s="1297"/>
      <c r="F225" s="1298"/>
    </row>
    <row r="226" spans="2:6" ht="13.8" x14ac:dyDescent="0.3">
      <c r="B226" s="1144" t="str">
        <f>Affiliates!B99</f>
        <v>{Insert business name which represents Affiliate 2}</v>
      </c>
      <c r="C226" s="1145"/>
      <c r="D226" s="1145"/>
      <c r="E226" s="1145"/>
      <c r="F226" s="1146"/>
    </row>
    <row r="227" spans="2:6" ht="13.8" x14ac:dyDescent="0.3">
      <c r="B227" s="734"/>
      <c r="C227" s="735"/>
      <c r="D227" s="735"/>
      <c r="E227" s="735"/>
      <c r="F227" s="736"/>
    </row>
    <row r="228" spans="2:6" ht="13.8" x14ac:dyDescent="0.3">
      <c r="B228" s="739"/>
      <c r="C228" s="740">
        <f>Affiliates!D101</f>
        <v>45291</v>
      </c>
      <c r="D228" s="740">
        <f>Affiliates!F101</f>
        <v>45657</v>
      </c>
      <c r="E228" s="740">
        <f>Affiliates!H101</f>
        <v>46022</v>
      </c>
      <c r="F228" s="741">
        <f>Affiliates!J101</f>
        <v>46112</v>
      </c>
    </row>
    <row r="229" spans="2:6" ht="13.8" x14ac:dyDescent="0.3">
      <c r="B229" s="743"/>
      <c r="C229" s="744"/>
      <c r="D229" s="744"/>
      <c r="E229" s="744"/>
      <c r="F229" s="745">
        <f>Affiliates!J105</f>
        <v>0</v>
      </c>
    </row>
    <row r="230" spans="2:6" ht="13.8" x14ac:dyDescent="0.3">
      <c r="B230" s="739" t="str">
        <f>Affiliates!C106</f>
        <v>Total Revenue</v>
      </c>
      <c r="C230" s="748">
        <f>Affiliates!D106</f>
        <v>0</v>
      </c>
      <c r="D230" s="748">
        <f>Affiliates!F106</f>
        <v>0</v>
      </c>
      <c r="E230" s="748">
        <f>Affiliates!H106</f>
        <v>0</v>
      </c>
      <c r="F230" s="749">
        <f>Affiliates!J106</f>
        <v>0</v>
      </c>
    </row>
    <row r="231" spans="2:6" ht="13.8" x14ac:dyDescent="0.3">
      <c r="B231" s="739" t="str">
        <f>Affiliates!C107</f>
        <v>Total COGS</v>
      </c>
      <c r="C231" s="751">
        <f>Affiliates!D107</f>
        <v>0</v>
      </c>
      <c r="D231" s="751">
        <f>Affiliates!F107</f>
        <v>0</v>
      </c>
      <c r="E231" s="751">
        <f>Affiliates!H107</f>
        <v>0</v>
      </c>
      <c r="F231" s="752">
        <f>Affiliates!J107</f>
        <v>0</v>
      </c>
    </row>
    <row r="232" spans="2:6" ht="13.8" x14ac:dyDescent="0.3">
      <c r="B232" s="739" t="str">
        <f>Affiliates!C108</f>
        <v>Total Gross Margin</v>
      </c>
      <c r="C232" s="754">
        <f>Affiliates!D108</f>
        <v>0</v>
      </c>
      <c r="D232" s="754">
        <f>Affiliates!F108</f>
        <v>0</v>
      </c>
      <c r="E232" s="754">
        <f>Affiliates!H108</f>
        <v>0</v>
      </c>
      <c r="F232" s="755">
        <f>Affiliates!J108</f>
        <v>0</v>
      </c>
    </row>
    <row r="233" spans="2:6" ht="13.8" x14ac:dyDescent="0.3">
      <c r="B233" s="739" t="str">
        <f>Affiliates!C123</f>
        <v>Total Operating Expenses</v>
      </c>
      <c r="C233" s="757">
        <f>Affiliates!D123</f>
        <v>0</v>
      </c>
      <c r="D233" s="757">
        <f>Affiliates!F123</f>
        <v>0</v>
      </c>
      <c r="E233" s="757">
        <f>Affiliates!H123</f>
        <v>0</v>
      </c>
      <c r="F233" s="758">
        <f>Affiliates!J123</f>
        <v>0</v>
      </c>
    </row>
    <row r="234" spans="2:6" ht="13.8" x14ac:dyDescent="0.3">
      <c r="B234" s="792" t="str">
        <f>Affiliates!C125</f>
        <v>Ordinary Income</v>
      </c>
      <c r="C234" s="761">
        <f>Affiliates!D125</f>
        <v>0</v>
      </c>
      <c r="D234" s="761">
        <f>Affiliates!F125</f>
        <v>0</v>
      </c>
      <c r="E234" s="761">
        <f>Affiliates!H125</f>
        <v>0</v>
      </c>
      <c r="F234" s="762">
        <f>Affiliates!J125</f>
        <v>0</v>
      </c>
    </row>
    <row r="235" spans="2:6" ht="13.8" x14ac:dyDescent="0.3">
      <c r="B235" s="739" t="str">
        <f>Affiliates!C129</f>
        <v>Total Other Income (Expenses)</v>
      </c>
      <c r="C235" s="757">
        <f>Affiliates!D129</f>
        <v>0</v>
      </c>
      <c r="D235" s="757">
        <f>Affiliates!F129</f>
        <v>0</v>
      </c>
      <c r="E235" s="757">
        <f>Affiliates!H129</f>
        <v>0</v>
      </c>
      <c r="F235" s="758">
        <f>Affiliates!J129</f>
        <v>0</v>
      </c>
    </row>
    <row r="236" spans="2:6" ht="13.8" x14ac:dyDescent="0.3">
      <c r="B236" s="739" t="str">
        <f>Affiliates!C131</f>
        <v>Net Income Before Taxes</v>
      </c>
      <c r="C236" s="754">
        <f>Affiliates!D131</f>
        <v>0</v>
      </c>
      <c r="D236" s="754">
        <f>Affiliates!F131</f>
        <v>0</v>
      </c>
      <c r="E236" s="754">
        <f>Affiliates!H131</f>
        <v>0</v>
      </c>
      <c r="F236" s="755">
        <f>Affiliates!J131</f>
        <v>0</v>
      </c>
    </row>
    <row r="237" spans="2:6" ht="13.8" x14ac:dyDescent="0.3">
      <c r="B237" s="739" t="str">
        <f>Affiliates!C132</f>
        <v>Income Taxes</v>
      </c>
      <c r="C237" s="757">
        <f>Affiliates!D132</f>
        <v>0</v>
      </c>
      <c r="D237" s="757">
        <f>Affiliates!F132</f>
        <v>0</v>
      </c>
      <c r="E237" s="757">
        <f>Affiliates!H132</f>
        <v>0</v>
      </c>
      <c r="F237" s="758">
        <f>Affiliates!J132</f>
        <v>0</v>
      </c>
    </row>
    <row r="238" spans="2:6" ht="13.8" x14ac:dyDescent="0.3">
      <c r="B238" s="792" t="str">
        <f>Affiliates!C134</f>
        <v>NET INCOME AFTER TAXES</v>
      </c>
      <c r="C238" s="761">
        <f>Affiliates!D134</f>
        <v>0</v>
      </c>
      <c r="D238" s="761">
        <f>Affiliates!F134</f>
        <v>0</v>
      </c>
      <c r="E238" s="761">
        <f>Affiliates!H134</f>
        <v>0</v>
      </c>
      <c r="F238" s="762">
        <f>Affiliates!J134</f>
        <v>0</v>
      </c>
    </row>
    <row r="239" spans="2:6" ht="13.8" x14ac:dyDescent="0.3">
      <c r="B239" s="739"/>
      <c r="C239" s="764"/>
      <c r="D239" s="764"/>
      <c r="E239" s="764"/>
      <c r="F239" s="765"/>
    </row>
    <row r="240" spans="2:6" ht="13.8" x14ac:dyDescent="0.3">
      <c r="B240" s="793" t="str">
        <f>Affiliates!C136</f>
        <v>ADJUSTMENTS</v>
      </c>
      <c r="C240" s="735"/>
      <c r="D240" s="735"/>
      <c r="E240" s="735"/>
      <c r="F240" s="736"/>
    </row>
    <row r="241" spans="2:6" ht="13.8" x14ac:dyDescent="0.3">
      <c r="B241" s="794" t="str">
        <f>Affiliates!C137</f>
        <v>Compensation of Officers</v>
      </c>
      <c r="C241" s="748">
        <f>Affiliates!D137</f>
        <v>0</v>
      </c>
      <c r="D241" s="748">
        <f>Affiliates!F137</f>
        <v>0</v>
      </c>
      <c r="E241" s="748">
        <f>Affiliates!H137</f>
        <v>0</v>
      </c>
      <c r="F241" s="749">
        <f>Affiliates!J137</f>
        <v>0</v>
      </c>
    </row>
    <row r="242" spans="2:6" ht="13.8" x14ac:dyDescent="0.3">
      <c r="B242" s="795" t="str">
        <f>Affiliates!C138</f>
        <v>Depreciation/Amortization</v>
      </c>
      <c r="C242" s="773">
        <f>Affiliates!D138</f>
        <v>0</v>
      </c>
      <c r="D242" s="773">
        <f>Affiliates!F138</f>
        <v>0</v>
      </c>
      <c r="E242" s="773">
        <f>Affiliates!H138</f>
        <v>0</v>
      </c>
      <c r="F242" s="774">
        <f>Affiliates!J138</f>
        <v>0</v>
      </c>
    </row>
    <row r="243" spans="2:6" ht="13.8" x14ac:dyDescent="0.3">
      <c r="B243" s="795" t="str">
        <f>Affiliates!C139</f>
        <v>Interest Expense</v>
      </c>
      <c r="C243" s="773">
        <f>Affiliates!D139</f>
        <v>0</v>
      </c>
      <c r="D243" s="773">
        <f>Affiliates!F139</f>
        <v>0</v>
      </c>
      <c r="E243" s="773">
        <f>Affiliates!H139</f>
        <v>0</v>
      </c>
      <c r="F243" s="774">
        <f>Affiliates!J139</f>
        <v>0</v>
      </c>
    </row>
    <row r="244" spans="2:6" ht="13.8" x14ac:dyDescent="0.3">
      <c r="B244" s="795" t="str">
        <f>Affiliates!C140</f>
        <v>Rent Adjustment</v>
      </c>
      <c r="C244" s="773">
        <f>Affiliates!D140</f>
        <v>0</v>
      </c>
      <c r="D244" s="773">
        <f>Affiliates!F140</f>
        <v>0</v>
      </c>
      <c r="E244" s="773">
        <f>Affiliates!H140</f>
        <v>0</v>
      </c>
      <c r="F244" s="774">
        <f>Affiliates!J140</f>
        <v>0</v>
      </c>
    </row>
    <row r="245" spans="2:6" ht="13.8" x14ac:dyDescent="0.3">
      <c r="B245" s="796" t="str">
        <f>Affiliates!C141</f>
        <v>Other</v>
      </c>
      <c r="C245" s="773">
        <f>Affiliates!D141</f>
        <v>0</v>
      </c>
      <c r="D245" s="773">
        <f>Affiliates!F141</f>
        <v>0</v>
      </c>
      <c r="E245" s="773">
        <f>Affiliates!H141</f>
        <v>0</v>
      </c>
      <c r="F245" s="774">
        <f>Affiliates!J141</f>
        <v>0</v>
      </c>
    </row>
    <row r="246" spans="2:6" ht="13.8" x14ac:dyDescent="0.3">
      <c r="B246" s="796" t="str">
        <f>Affiliates!C142</f>
        <v>Other</v>
      </c>
      <c r="C246" s="773">
        <f>Affiliates!D142</f>
        <v>0</v>
      </c>
      <c r="D246" s="773">
        <f>Affiliates!F142</f>
        <v>0</v>
      </c>
      <c r="E246" s="773">
        <f>Affiliates!H142</f>
        <v>0</v>
      </c>
      <c r="F246" s="774">
        <f>Affiliates!J142</f>
        <v>0</v>
      </c>
    </row>
    <row r="247" spans="2:6" ht="13.8" x14ac:dyDescent="0.3">
      <c r="B247" s="795" t="str">
        <f>Affiliates!C143</f>
        <v>Estimated Property Tax</v>
      </c>
      <c r="C247" s="751">
        <f>Affiliates!D143</f>
        <v>0</v>
      </c>
      <c r="D247" s="751">
        <f>Affiliates!F143</f>
        <v>0</v>
      </c>
      <c r="E247" s="751">
        <f>Affiliates!H143</f>
        <v>0</v>
      </c>
      <c r="F247" s="752">
        <f>Affiliates!J143</f>
        <v>0</v>
      </c>
    </row>
    <row r="248" spans="2:6" ht="13.8" x14ac:dyDescent="0.3">
      <c r="B248" s="795"/>
      <c r="C248" s="735"/>
      <c r="D248" s="735"/>
      <c r="E248" s="735"/>
      <c r="F248" s="736"/>
    </row>
    <row r="249" spans="2:6" ht="13.8" x14ac:dyDescent="0.3">
      <c r="B249" s="795" t="str">
        <f>Affiliates!C146</f>
        <v>Cash Available</v>
      </c>
      <c r="C249" s="781">
        <f>Affiliates!D146</f>
        <v>0</v>
      </c>
      <c r="D249" s="781">
        <f>Affiliates!F146</f>
        <v>0</v>
      </c>
      <c r="E249" s="781">
        <f>Affiliates!H146</f>
        <v>0</v>
      </c>
      <c r="F249" s="782">
        <f>Affiliates!J146</f>
        <v>0</v>
      </c>
    </row>
    <row r="250" spans="2:6" ht="13.8" x14ac:dyDescent="0.3">
      <c r="B250" s="795"/>
      <c r="C250" s="735"/>
      <c r="D250" s="735"/>
      <c r="E250" s="735"/>
      <c r="F250" s="736"/>
    </row>
    <row r="251" spans="2:6" ht="14.4" customHeight="1" x14ac:dyDescent="0.3">
      <c r="B251" s="739" t="str">
        <f>Affiliates!C148</f>
        <v>Existing Monthly Debt</v>
      </c>
      <c r="C251" s="711">
        <f>Affiliates!D148</f>
        <v>0</v>
      </c>
      <c r="D251" s="711">
        <f>Affiliates!F148</f>
        <v>0</v>
      </c>
      <c r="E251" s="711">
        <f>Affiliates!H148</f>
        <v>0</v>
      </c>
      <c r="F251" s="797">
        <f>Affiliates!J148</f>
        <v>0</v>
      </c>
    </row>
    <row r="252" spans="2:6" ht="14.4" customHeight="1" x14ac:dyDescent="0.3">
      <c r="B252" s="739" t="str">
        <f>Affiliates!C149</f>
        <v>Existing Debt</v>
      </c>
      <c r="C252" s="754">
        <f>Affiliates!D149</f>
        <v>0</v>
      </c>
      <c r="D252" s="754">
        <f>Affiliates!F149</f>
        <v>0</v>
      </c>
      <c r="E252" s="754">
        <f>Affiliates!H149</f>
        <v>0</v>
      </c>
      <c r="F252" s="755">
        <f>Affiliates!J149</f>
        <v>0</v>
      </c>
    </row>
    <row r="253" spans="2:6" ht="14.4" customHeight="1" x14ac:dyDescent="0.3">
      <c r="B253" s="734"/>
      <c r="C253" s="735"/>
      <c r="D253" s="735"/>
      <c r="E253" s="735"/>
      <c r="F253" s="736"/>
    </row>
    <row r="254" spans="2:6" ht="14.4" customHeight="1" x14ac:dyDescent="0.3">
      <c r="B254" s="792" t="str">
        <f>Affiliates!C151</f>
        <v>DCR</v>
      </c>
      <c r="C254" s="784">
        <f>Affiliates!D151</f>
        <v>0</v>
      </c>
      <c r="D254" s="784">
        <f>Affiliates!F151</f>
        <v>0</v>
      </c>
      <c r="E254" s="784">
        <f>Affiliates!H151</f>
        <v>0</v>
      </c>
      <c r="F254" s="785">
        <f>Affiliates!J151</f>
        <v>0</v>
      </c>
    </row>
    <row r="255" spans="2:6" ht="14.4" customHeight="1" thickBot="1" x14ac:dyDescent="0.35">
      <c r="B255" s="787"/>
      <c r="C255" s="788"/>
      <c r="D255" s="788"/>
      <c r="E255" s="788"/>
      <c r="F255" s="789"/>
    </row>
    <row r="256" spans="2:6" ht="14.4" customHeight="1" x14ac:dyDescent="0.3"/>
    <row r="257" spans="2:6" ht="14.4" customHeight="1" thickBot="1" x14ac:dyDescent="0.35"/>
    <row r="258" spans="2:6" ht="14.4" customHeight="1" x14ac:dyDescent="0.3">
      <c r="B258" s="661" t="s">
        <v>266</v>
      </c>
      <c r="C258" s="662"/>
      <c r="D258" s="662"/>
      <c r="E258" s="662"/>
      <c r="F258" s="663"/>
    </row>
    <row r="259" spans="2:6" ht="14.4" customHeight="1" thickBot="1" x14ac:dyDescent="0.35">
      <c r="B259" s="1296"/>
      <c r="C259" s="1297"/>
      <c r="D259" s="1297"/>
      <c r="E259" s="1297"/>
      <c r="F259" s="1298"/>
    </row>
    <row r="260" spans="2:6" ht="14.4" customHeight="1" x14ac:dyDescent="0.3">
      <c r="B260" s="1144" t="str">
        <f>Affiliates!B155</f>
        <v>{Insert business name which represents Affiliate 3}</v>
      </c>
      <c r="C260" s="1145"/>
      <c r="D260" s="1145"/>
      <c r="E260" s="1145"/>
      <c r="F260" s="1146"/>
    </row>
    <row r="261" spans="2:6" ht="14.4" customHeight="1" x14ac:dyDescent="0.3">
      <c r="B261" s="734"/>
      <c r="C261" s="735"/>
      <c r="D261" s="735"/>
      <c r="E261" s="735"/>
      <c r="F261" s="736"/>
    </row>
    <row r="262" spans="2:6" ht="14.4" customHeight="1" x14ac:dyDescent="0.3">
      <c r="B262" s="739"/>
      <c r="C262" s="740">
        <f>Affiliates!D157</f>
        <v>45291</v>
      </c>
      <c r="D262" s="740">
        <f>Affiliates!F157</f>
        <v>45657</v>
      </c>
      <c r="E262" s="740">
        <f>Affiliates!H157</f>
        <v>46022</v>
      </c>
      <c r="F262" s="741">
        <f>Affiliates!J157</f>
        <v>46112</v>
      </c>
    </row>
    <row r="263" spans="2:6" ht="14.4" customHeight="1" x14ac:dyDescent="0.3">
      <c r="B263" s="743"/>
      <c r="C263" s="744"/>
      <c r="D263" s="744"/>
      <c r="E263" s="744"/>
      <c r="F263" s="745">
        <f>Affiliates!J161</f>
        <v>0</v>
      </c>
    </row>
    <row r="264" spans="2:6" ht="14.4" customHeight="1" x14ac:dyDescent="0.3">
      <c r="B264" s="739" t="str">
        <f>Affiliates!C162</f>
        <v>Total Revenue</v>
      </c>
      <c r="C264" s="748">
        <f>Affiliates!D162</f>
        <v>0</v>
      </c>
      <c r="D264" s="748">
        <f>Affiliates!F162</f>
        <v>0</v>
      </c>
      <c r="E264" s="748">
        <f>Affiliates!H162</f>
        <v>0</v>
      </c>
      <c r="F264" s="749">
        <f>Affiliates!J162</f>
        <v>0</v>
      </c>
    </row>
    <row r="265" spans="2:6" ht="14.4" customHeight="1" x14ac:dyDescent="0.3">
      <c r="B265" s="739" t="str">
        <f>Affiliates!C163</f>
        <v>Total COGS</v>
      </c>
      <c r="C265" s="751">
        <f>Affiliates!D163</f>
        <v>0</v>
      </c>
      <c r="D265" s="751">
        <f>Affiliates!F163</f>
        <v>0</v>
      </c>
      <c r="E265" s="751">
        <f>Affiliates!H163</f>
        <v>0</v>
      </c>
      <c r="F265" s="752">
        <f>Affiliates!J163</f>
        <v>0</v>
      </c>
    </row>
    <row r="266" spans="2:6" ht="14.4" customHeight="1" x14ac:dyDescent="0.3">
      <c r="B266" s="739" t="str">
        <f>Affiliates!C164</f>
        <v>Total Gross Margin</v>
      </c>
      <c r="C266" s="754">
        <f>Affiliates!D164</f>
        <v>0</v>
      </c>
      <c r="D266" s="754">
        <f>Affiliates!F164</f>
        <v>0</v>
      </c>
      <c r="E266" s="754">
        <f>Affiliates!H164</f>
        <v>0</v>
      </c>
      <c r="F266" s="755">
        <f>Affiliates!J164</f>
        <v>0</v>
      </c>
    </row>
    <row r="267" spans="2:6" ht="14.4" customHeight="1" x14ac:dyDescent="0.3">
      <c r="B267" s="739" t="str">
        <f>Affiliates!C179</f>
        <v>Total Operating Expenses</v>
      </c>
      <c r="C267" s="757">
        <f>Affiliates!D179</f>
        <v>0</v>
      </c>
      <c r="D267" s="757">
        <f>Affiliates!F179</f>
        <v>0</v>
      </c>
      <c r="E267" s="757">
        <f>Affiliates!H179</f>
        <v>0</v>
      </c>
      <c r="F267" s="758">
        <f>Affiliates!J179</f>
        <v>0</v>
      </c>
    </row>
    <row r="268" spans="2:6" ht="14.4" customHeight="1" x14ac:dyDescent="0.3">
      <c r="B268" s="792" t="str">
        <f>Affiliates!C181</f>
        <v>Ordinary Income</v>
      </c>
      <c r="C268" s="761">
        <f>Affiliates!D181</f>
        <v>0</v>
      </c>
      <c r="D268" s="761">
        <f>Affiliates!F181</f>
        <v>0</v>
      </c>
      <c r="E268" s="761">
        <f>Affiliates!H181</f>
        <v>0</v>
      </c>
      <c r="F268" s="762">
        <f>Affiliates!J181</f>
        <v>0</v>
      </c>
    </row>
    <row r="269" spans="2:6" ht="14.4" customHeight="1" x14ac:dyDescent="0.3">
      <c r="B269" s="739" t="str">
        <f>Affiliates!C185</f>
        <v>Total Other Income (Expenses)</v>
      </c>
      <c r="C269" s="757">
        <f>Affiliates!D185</f>
        <v>0</v>
      </c>
      <c r="D269" s="757">
        <f>Affiliates!F185</f>
        <v>0</v>
      </c>
      <c r="E269" s="757">
        <f>Affiliates!H185</f>
        <v>0</v>
      </c>
      <c r="F269" s="758">
        <f>Affiliates!J185</f>
        <v>0</v>
      </c>
    </row>
    <row r="270" spans="2:6" ht="14.4" customHeight="1" x14ac:dyDescent="0.3">
      <c r="B270" s="739" t="str">
        <f>Affiliates!C187</f>
        <v>Net Income Before Taxes</v>
      </c>
      <c r="C270" s="754">
        <f>Affiliates!D187</f>
        <v>0</v>
      </c>
      <c r="D270" s="754">
        <f>Affiliates!F187</f>
        <v>0</v>
      </c>
      <c r="E270" s="754">
        <f>Affiliates!H187</f>
        <v>0</v>
      </c>
      <c r="F270" s="755">
        <f>Affiliates!J187</f>
        <v>0</v>
      </c>
    </row>
    <row r="271" spans="2:6" ht="14.4" customHeight="1" x14ac:dyDescent="0.3">
      <c r="B271" s="739" t="str">
        <f>Affiliates!C188</f>
        <v>Income Taxes</v>
      </c>
      <c r="C271" s="757">
        <f>Affiliates!D188</f>
        <v>0</v>
      </c>
      <c r="D271" s="757">
        <f>Affiliates!F188</f>
        <v>0</v>
      </c>
      <c r="E271" s="757">
        <f>Affiliates!H188</f>
        <v>0</v>
      </c>
      <c r="F271" s="758">
        <f>Affiliates!J188</f>
        <v>0</v>
      </c>
    </row>
    <row r="272" spans="2:6" ht="14.4" customHeight="1" x14ac:dyDescent="0.3">
      <c r="B272" s="792" t="str">
        <f>Affiliates!C190</f>
        <v>NET INCOME AFTER TAXES</v>
      </c>
      <c r="C272" s="761">
        <f>Affiliates!D190</f>
        <v>0</v>
      </c>
      <c r="D272" s="761">
        <f>Affiliates!F190</f>
        <v>0</v>
      </c>
      <c r="E272" s="761">
        <f>Affiliates!H190</f>
        <v>0</v>
      </c>
      <c r="F272" s="762">
        <f>Affiliates!J190</f>
        <v>0</v>
      </c>
    </row>
    <row r="273" spans="2:6" ht="14.4" customHeight="1" x14ac:dyDescent="0.3">
      <c r="B273" s="739"/>
      <c r="C273" s="764"/>
      <c r="D273" s="764"/>
      <c r="E273" s="764"/>
      <c r="F273" s="765"/>
    </row>
    <row r="274" spans="2:6" ht="14.4" customHeight="1" x14ac:dyDescent="0.3">
      <c r="B274" s="793" t="str">
        <f>Affiliates!C192</f>
        <v>ADJUSTMENTS</v>
      </c>
      <c r="C274" s="735"/>
      <c r="D274" s="735"/>
      <c r="E274" s="735"/>
      <c r="F274" s="736"/>
    </row>
    <row r="275" spans="2:6" ht="14.4" customHeight="1" x14ac:dyDescent="0.3">
      <c r="B275" s="794" t="str">
        <f>Affiliates!C193</f>
        <v>Compensation of Officers</v>
      </c>
      <c r="C275" s="748">
        <f>Affiliates!D193</f>
        <v>0</v>
      </c>
      <c r="D275" s="748">
        <f>Affiliates!F193</f>
        <v>0</v>
      </c>
      <c r="E275" s="748">
        <f>Affiliates!H193</f>
        <v>0</v>
      </c>
      <c r="F275" s="749">
        <f>Affiliates!J193</f>
        <v>0</v>
      </c>
    </row>
    <row r="276" spans="2:6" ht="14.4" customHeight="1" x14ac:dyDescent="0.3">
      <c r="B276" s="795" t="str">
        <f>Affiliates!C194</f>
        <v>Depreciation/Amortization</v>
      </c>
      <c r="C276" s="773">
        <f>Affiliates!D194</f>
        <v>0</v>
      </c>
      <c r="D276" s="773">
        <f>Affiliates!F194</f>
        <v>0</v>
      </c>
      <c r="E276" s="773">
        <f>Affiliates!H194</f>
        <v>0</v>
      </c>
      <c r="F276" s="774">
        <f>Affiliates!J194</f>
        <v>0</v>
      </c>
    </row>
    <row r="277" spans="2:6" ht="14.4" customHeight="1" x14ac:dyDescent="0.3">
      <c r="B277" s="795" t="str">
        <f>Affiliates!C195</f>
        <v>Interest Expense</v>
      </c>
      <c r="C277" s="773">
        <f>Affiliates!D195</f>
        <v>0</v>
      </c>
      <c r="D277" s="773">
        <f>Affiliates!F195</f>
        <v>0</v>
      </c>
      <c r="E277" s="773">
        <f>Affiliates!H195</f>
        <v>0</v>
      </c>
      <c r="F277" s="774">
        <f>Affiliates!J195</f>
        <v>0</v>
      </c>
    </row>
    <row r="278" spans="2:6" ht="14.4" customHeight="1" x14ac:dyDescent="0.3">
      <c r="B278" s="795" t="str">
        <f>Affiliates!C196</f>
        <v>Rent Adjustment</v>
      </c>
      <c r="C278" s="773">
        <f>Affiliates!D196</f>
        <v>0</v>
      </c>
      <c r="D278" s="773">
        <f>Affiliates!F196</f>
        <v>0</v>
      </c>
      <c r="E278" s="773">
        <f>Affiliates!H196</f>
        <v>0</v>
      </c>
      <c r="F278" s="774">
        <f>Affiliates!J196</f>
        <v>0</v>
      </c>
    </row>
    <row r="279" spans="2:6" ht="14.4" customHeight="1" x14ac:dyDescent="0.3">
      <c r="B279" s="796" t="str">
        <f>Affiliates!C197</f>
        <v>Other</v>
      </c>
      <c r="C279" s="773">
        <f>Affiliates!D197</f>
        <v>0</v>
      </c>
      <c r="D279" s="773">
        <f>Affiliates!F197</f>
        <v>0</v>
      </c>
      <c r="E279" s="773">
        <f>Affiliates!H197</f>
        <v>0</v>
      </c>
      <c r="F279" s="774">
        <f>Affiliates!J197</f>
        <v>0</v>
      </c>
    </row>
    <row r="280" spans="2:6" ht="14.4" customHeight="1" x14ac:dyDescent="0.3">
      <c r="B280" s="796" t="str">
        <f>Affiliates!C198</f>
        <v>Other</v>
      </c>
      <c r="C280" s="773">
        <f>Affiliates!D198</f>
        <v>0</v>
      </c>
      <c r="D280" s="773">
        <f>Affiliates!F198</f>
        <v>0</v>
      </c>
      <c r="E280" s="773">
        <f>Affiliates!H198</f>
        <v>0</v>
      </c>
      <c r="F280" s="774">
        <f>Affiliates!J198</f>
        <v>0</v>
      </c>
    </row>
    <row r="281" spans="2:6" ht="14.4" customHeight="1" x14ac:dyDescent="0.3">
      <c r="B281" s="795" t="str">
        <f>Affiliates!C199</f>
        <v>Estimated Property Tax</v>
      </c>
      <c r="C281" s="751">
        <f>Affiliates!D199</f>
        <v>0</v>
      </c>
      <c r="D281" s="751">
        <f>Affiliates!F199</f>
        <v>0</v>
      </c>
      <c r="E281" s="751">
        <f>Affiliates!H199</f>
        <v>0</v>
      </c>
      <c r="F281" s="752">
        <f>Affiliates!J199</f>
        <v>0</v>
      </c>
    </row>
    <row r="282" spans="2:6" ht="14.4" customHeight="1" x14ac:dyDescent="0.3">
      <c r="B282" s="795"/>
      <c r="C282" s="735"/>
      <c r="D282" s="735"/>
      <c r="E282" s="735"/>
      <c r="F282" s="736"/>
    </row>
    <row r="283" spans="2:6" ht="14.4" customHeight="1" x14ac:dyDescent="0.3">
      <c r="B283" s="795" t="str">
        <f>Affiliates!C202</f>
        <v>Cash Available</v>
      </c>
      <c r="C283" s="781">
        <f>Affiliates!D202</f>
        <v>0</v>
      </c>
      <c r="D283" s="781">
        <f>Affiliates!F202</f>
        <v>0</v>
      </c>
      <c r="E283" s="781">
        <f>Affiliates!H202</f>
        <v>0</v>
      </c>
      <c r="F283" s="782">
        <f>Affiliates!J202</f>
        <v>0</v>
      </c>
    </row>
    <row r="284" spans="2:6" ht="14.4" customHeight="1" x14ac:dyDescent="0.3">
      <c r="B284" s="795"/>
      <c r="C284" s="735"/>
      <c r="D284" s="735"/>
      <c r="E284" s="735"/>
      <c r="F284" s="736"/>
    </row>
    <row r="285" spans="2:6" ht="14.4" customHeight="1" x14ac:dyDescent="0.3">
      <c r="B285" s="739" t="str">
        <f>Affiliates!C204</f>
        <v>Existing Monthly Debt</v>
      </c>
      <c r="C285" s="711">
        <f>Affiliates!D204</f>
        <v>0</v>
      </c>
      <c r="D285" s="711">
        <f>Affiliates!F204</f>
        <v>0</v>
      </c>
      <c r="E285" s="711">
        <f>Affiliates!H204</f>
        <v>0</v>
      </c>
      <c r="F285" s="797">
        <f>Affiliates!J204</f>
        <v>0</v>
      </c>
    </row>
    <row r="286" spans="2:6" ht="14.4" customHeight="1" x14ac:dyDescent="0.3">
      <c r="B286" s="739" t="str">
        <f>Affiliates!C205</f>
        <v>Existing Debt</v>
      </c>
      <c r="C286" s="754">
        <f>Affiliates!D205</f>
        <v>0</v>
      </c>
      <c r="D286" s="754">
        <f>Affiliates!F205</f>
        <v>0</v>
      </c>
      <c r="E286" s="754">
        <f>Affiliates!H205</f>
        <v>0</v>
      </c>
      <c r="F286" s="755">
        <f>Affiliates!J205</f>
        <v>0</v>
      </c>
    </row>
    <row r="287" spans="2:6" ht="14.4" customHeight="1" x14ac:dyDescent="0.3">
      <c r="B287" s="734"/>
      <c r="C287" s="735"/>
      <c r="D287" s="735"/>
      <c r="E287" s="735"/>
      <c r="F287" s="736"/>
    </row>
    <row r="288" spans="2:6" ht="14.4" customHeight="1" x14ac:dyDescent="0.3">
      <c r="B288" s="792" t="str">
        <f>Affiliates!C207</f>
        <v>DCR</v>
      </c>
      <c r="C288" s="784">
        <f>Affiliates!D207</f>
        <v>0</v>
      </c>
      <c r="D288" s="784">
        <f>Affiliates!F207</f>
        <v>0</v>
      </c>
      <c r="E288" s="784">
        <f>Affiliates!H207</f>
        <v>0</v>
      </c>
      <c r="F288" s="785">
        <f>Affiliates!J207</f>
        <v>0</v>
      </c>
    </row>
    <row r="289" spans="2:6" ht="14.4" customHeight="1" thickBot="1" x14ac:dyDescent="0.35">
      <c r="B289" s="787"/>
      <c r="C289" s="788"/>
      <c r="D289" s="788"/>
      <c r="E289" s="788"/>
      <c r="F289" s="789"/>
    </row>
    <row r="290" spans="2:6" ht="14.4" customHeight="1" x14ac:dyDescent="0.3"/>
    <row r="291" spans="2:6" ht="14.4" customHeight="1" thickBot="1" x14ac:dyDescent="0.35"/>
    <row r="292" spans="2:6" ht="14.4" customHeight="1" x14ac:dyDescent="0.3">
      <c r="B292" s="661" t="s">
        <v>267</v>
      </c>
      <c r="C292" s="662"/>
      <c r="D292" s="662"/>
      <c r="E292" s="662"/>
      <c r="F292" s="663"/>
    </row>
    <row r="293" spans="2:6" ht="14.4" customHeight="1" thickBot="1" x14ac:dyDescent="0.35">
      <c r="B293" s="1296"/>
      <c r="C293" s="1297"/>
      <c r="D293" s="1297"/>
      <c r="E293" s="1297"/>
      <c r="F293" s="1298"/>
    </row>
    <row r="294" spans="2:6" ht="14.4" customHeight="1" x14ac:dyDescent="0.3">
      <c r="B294" s="1144" t="str">
        <f>Affiliates!B211</f>
        <v>{Insert business name which represents Affiliate 4}</v>
      </c>
      <c r="C294" s="1145"/>
      <c r="D294" s="1145"/>
      <c r="E294" s="1145"/>
      <c r="F294" s="1146"/>
    </row>
    <row r="295" spans="2:6" ht="14.4" customHeight="1" x14ac:dyDescent="0.3">
      <c r="B295" s="734"/>
      <c r="C295" s="735"/>
      <c r="D295" s="735"/>
      <c r="E295" s="735"/>
      <c r="F295" s="736"/>
    </row>
    <row r="296" spans="2:6" ht="14.4" customHeight="1" x14ac:dyDescent="0.3">
      <c r="B296" s="739"/>
      <c r="C296" s="740">
        <f>Affiliates!D213</f>
        <v>45291</v>
      </c>
      <c r="D296" s="740">
        <f>Affiliates!F213</f>
        <v>45657</v>
      </c>
      <c r="E296" s="740">
        <f>Affiliates!H213</f>
        <v>46022</v>
      </c>
      <c r="F296" s="741">
        <f>Affiliates!J213</f>
        <v>46112</v>
      </c>
    </row>
    <row r="297" spans="2:6" ht="14.4" customHeight="1" x14ac:dyDescent="0.3">
      <c r="B297" s="743"/>
      <c r="C297" s="744"/>
      <c r="D297" s="744"/>
      <c r="E297" s="744"/>
      <c r="F297" s="745">
        <f>Affiliates!J217</f>
        <v>0</v>
      </c>
    </row>
    <row r="298" spans="2:6" ht="14.4" customHeight="1" x14ac:dyDescent="0.3">
      <c r="B298" s="739" t="str">
        <f>Affiliates!C218</f>
        <v>Total Revenue</v>
      </c>
      <c r="C298" s="748">
        <f>Affiliates!D218</f>
        <v>0</v>
      </c>
      <c r="D298" s="748">
        <f>Affiliates!F218</f>
        <v>0</v>
      </c>
      <c r="E298" s="748">
        <f>Affiliates!H218</f>
        <v>0</v>
      </c>
      <c r="F298" s="749">
        <f>Affiliates!J218</f>
        <v>0</v>
      </c>
    </row>
    <row r="299" spans="2:6" ht="14.4" customHeight="1" x14ac:dyDescent="0.3">
      <c r="B299" s="739" t="str">
        <f>Affiliates!C219</f>
        <v>Total COGS</v>
      </c>
      <c r="C299" s="751">
        <f>Affiliates!D219</f>
        <v>0</v>
      </c>
      <c r="D299" s="751">
        <f>Affiliates!F219</f>
        <v>0</v>
      </c>
      <c r="E299" s="751">
        <f>Affiliates!H219</f>
        <v>0</v>
      </c>
      <c r="F299" s="752">
        <f>Affiliates!J219</f>
        <v>0</v>
      </c>
    </row>
    <row r="300" spans="2:6" ht="14.4" customHeight="1" x14ac:dyDescent="0.3">
      <c r="B300" s="739" t="str">
        <f>Affiliates!C220</f>
        <v>Total Gross Margin</v>
      </c>
      <c r="C300" s="754">
        <f>Affiliates!D220</f>
        <v>0</v>
      </c>
      <c r="D300" s="754">
        <f>Affiliates!F220</f>
        <v>0</v>
      </c>
      <c r="E300" s="754">
        <f>Affiliates!H220</f>
        <v>0</v>
      </c>
      <c r="F300" s="755">
        <f>Affiliates!J220</f>
        <v>0</v>
      </c>
    </row>
    <row r="301" spans="2:6" ht="14.4" customHeight="1" x14ac:dyDescent="0.3">
      <c r="B301" s="739" t="str">
        <f>Affiliates!C235</f>
        <v>Total Operating Expenses</v>
      </c>
      <c r="C301" s="757">
        <f>Affiliates!D235</f>
        <v>0</v>
      </c>
      <c r="D301" s="757">
        <f>Affiliates!F235</f>
        <v>0</v>
      </c>
      <c r="E301" s="757">
        <f>Affiliates!H235</f>
        <v>0</v>
      </c>
      <c r="F301" s="758">
        <f>Affiliates!J235</f>
        <v>0</v>
      </c>
    </row>
    <row r="302" spans="2:6" ht="14.4" customHeight="1" x14ac:dyDescent="0.3">
      <c r="B302" s="792" t="str">
        <f>Affiliates!C237</f>
        <v>Ordinary Income</v>
      </c>
      <c r="C302" s="761">
        <f>Affiliates!D237</f>
        <v>0</v>
      </c>
      <c r="D302" s="761">
        <f>Affiliates!F237</f>
        <v>0</v>
      </c>
      <c r="E302" s="761">
        <f>Affiliates!H237</f>
        <v>0</v>
      </c>
      <c r="F302" s="762">
        <f>Affiliates!J237</f>
        <v>0</v>
      </c>
    </row>
    <row r="303" spans="2:6" ht="14.4" customHeight="1" x14ac:dyDescent="0.3">
      <c r="B303" s="739" t="str">
        <f>Affiliates!C241</f>
        <v>Total Other Income (Expenses)</v>
      </c>
      <c r="C303" s="757">
        <f>Affiliates!D241</f>
        <v>0</v>
      </c>
      <c r="D303" s="757">
        <f>Affiliates!F241</f>
        <v>0</v>
      </c>
      <c r="E303" s="757">
        <f>Affiliates!H241</f>
        <v>0</v>
      </c>
      <c r="F303" s="758">
        <f>Affiliates!J241</f>
        <v>0</v>
      </c>
    </row>
    <row r="304" spans="2:6" ht="14.4" customHeight="1" x14ac:dyDescent="0.3">
      <c r="B304" s="739" t="str">
        <f>Affiliates!C243</f>
        <v>Net Income Before Taxes</v>
      </c>
      <c r="C304" s="754">
        <f>Affiliates!D243</f>
        <v>0</v>
      </c>
      <c r="D304" s="754">
        <f>Affiliates!F243</f>
        <v>0</v>
      </c>
      <c r="E304" s="754">
        <f>Affiliates!H243</f>
        <v>0</v>
      </c>
      <c r="F304" s="755">
        <f>Affiliates!J243</f>
        <v>0</v>
      </c>
    </row>
    <row r="305" spans="2:6" ht="14.4" customHeight="1" x14ac:dyDescent="0.3">
      <c r="B305" s="739" t="str">
        <f>Affiliates!C244</f>
        <v>Income Taxes</v>
      </c>
      <c r="C305" s="757">
        <f>Affiliates!D244</f>
        <v>0</v>
      </c>
      <c r="D305" s="757">
        <f>Affiliates!F244</f>
        <v>0</v>
      </c>
      <c r="E305" s="757">
        <f>Affiliates!H244</f>
        <v>0</v>
      </c>
      <c r="F305" s="758">
        <f>Affiliates!J244</f>
        <v>0</v>
      </c>
    </row>
    <row r="306" spans="2:6" ht="14.4" customHeight="1" x14ac:dyDescent="0.3">
      <c r="B306" s="792" t="str">
        <f>Affiliates!C246</f>
        <v>NET INCOME AFTER TAXES</v>
      </c>
      <c r="C306" s="761">
        <f>Affiliates!D246</f>
        <v>0</v>
      </c>
      <c r="D306" s="761">
        <f>Affiliates!F246</f>
        <v>0</v>
      </c>
      <c r="E306" s="761">
        <f>Affiliates!H246</f>
        <v>0</v>
      </c>
      <c r="F306" s="762">
        <f>Affiliates!J246</f>
        <v>0</v>
      </c>
    </row>
    <row r="307" spans="2:6" ht="14.4" customHeight="1" x14ac:dyDescent="0.3">
      <c r="B307" s="739"/>
      <c r="C307" s="764"/>
      <c r="D307" s="764"/>
      <c r="E307" s="764"/>
      <c r="F307" s="765"/>
    </row>
    <row r="308" spans="2:6" ht="14.4" customHeight="1" x14ac:dyDescent="0.3">
      <c r="B308" s="793" t="str">
        <f>Affiliates!C248</f>
        <v>ADJUSTMENTS</v>
      </c>
      <c r="C308" s="735"/>
      <c r="D308" s="735"/>
      <c r="E308" s="735"/>
      <c r="F308" s="736"/>
    </row>
    <row r="309" spans="2:6" ht="14.4" customHeight="1" x14ac:dyDescent="0.3">
      <c r="B309" s="794" t="str">
        <f>Affiliates!C249</f>
        <v>Compensation of Officers</v>
      </c>
      <c r="C309" s="748">
        <f>Affiliates!D249</f>
        <v>0</v>
      </c>
      <c r="D309" s="748">
        <f>Affiliates!F249</f>
        <v>0</v>
      </c>
      <c r="E309" s="748">
        <f>Affiliates!H249</f>
        <v>0</v>
      </c>
      <c r="F309" s="749">
        <f>Affiliates!J249</f>
        <v>0</v>
      </c>
    </row>
    <row r="310" spans="2:6" ht="14.4" customHeight="1" x14ac:dyDescent="0.3">
      <c r="B310" s="795" t="str">
        <f>Affiliates!C250</f>
        <v>Depreciation/Amortization</v>
      </c>
      <c r="C310" s="773">
        <f>Affiliates!D250</f>
        <v>0</v>
      </c>
      <c r="D310" s="773">
        <f>Affiliates!F250</f>
        <v>0</v>
      </c>
      <c r="E310" s="773">
        <f>Affiliates!H250</f>
        <v>0</v>
      </c>
      <c r="F310" s="774">
        <f>Affiliates!J250</f>
        <v>0</v>
      </c>
    </row>
    <row r="311" spans="2:6" ht="14.4" customHeight="1" x14ac:dyDescent="0.3">
      <c r="B311" s="795" t="str">
        <f>Affiliates!C251</f>
        <v>Interest Expense</v>
      </c>
      <c r="C311" s="773">
        <f>Affiliates!D251</f>
        <v>0</v>
      </c>
      <c r="D311" s="773">
        <f>Affiliates!F251</f>
        <v>0</v>
      </c>
      <c r="E311" s="773">
        <f>Affiliates!H251</f>
        <v>0</v>
      </c>
      <c r="F311" s="774">
        <f>Affiliates!J251</f>
        <v>0</v>
      </c>
    </row>
    <row r="312" spans="2:6" ht="14.4" customHeight="1" x14ac:dyDescent="0.3">
      <c r="B312" s="795" t="str">
        <f>Affiliates!C252</f>
        <v>Rent Adjustment</v>
      </c>
      <c r="C312" s="773">
        <f>Affiliates!D252</f>
        <v>0</v>
      </c>
      <c r="D312" s="773">
        <f>Affiliates!F252</f>
        <v>0</v>
      </c>
      <c r="E312" s="773">
        <f>Affiliates!H252</f>
        <v>0</v>
      </c>
      <c r="F312" s="774">
        <f>Affiliates!J252</f>
        <v>0</v>
      </c>
    </row>
    <row r="313" spans="2:6" ht="14.4" customHeight="1" x14ac:dyDescent="0.3">
      <c r="B313" s="796" t="str">
        <f>Affiliates!C253</f>
        <v>Other</v>
      </c>
      <c r="C313" s="773">
        <f>Affiliates!D253</f>
        <v>0</v>
      </c>
      <c r="D313" s="773">
        <f>Affiliates!F253</f>
        <v>0</v>
      </c>
      <c r="E313" s="773">
        <f>Affiliates!H253</f>
        <v>0</v>
      </c>
      <c r="F313" s="774">
        <f>Affiliates!J253</f>
        <v>0</v>
      </c>
    </row>
    <row r="314" spans="2:6" ht="14.4" customHeight="1" x14ac:dyDescent="0.3">
      <c r="B314" s="796" t="str">
        <f>Affiliates!C254</f>
        <v>Other</v>
      </c>
      <c r="C314" s="773">
        <f>Affiliates!D254</f>
        <v>0</v>
      </c>
      <c r="D314" s="773">
        <f>Affiliates!F254</f>
        <v>0</v>
      </c>
      <c r="E314" s="773">
        <f>Affiliates!H254</f>
        <v>0</v>
      </c>
      <c r="F314" s="774">
        <f>Affiliates!J254</f>
        <v>0</v>
      </c>
    </row>
    <row r="315" spans="2:6" ht="14.4" customHeight="1" x14ac:dyDescent="0.3">
      <c r="B315" s="795" t="str">
        <f>Affiliates!C255</f>
        <v>Estimated Property Tax</v>
      </c>
      <c r="C315" s="751">
        <f>Affiliates!D255</f>
        <v>0</v>
      </c>
      <c r="D315" s="751">
        <f>Affiliates!F255</f>
        <v>0</v>
      </c>
      <c r="E315" s="751">
        <f>Affiliates!H255</f>
        <v>0</v>
      </c>
      <c r="F315" s="752">
        <f>Affiliates!J255</f>
        <v>0</v>
      </c>
    </row>
    <row r="316" spans="2:6" ht="14.4" customHeight="1" x14ac:dyDescent="0.3">
      <c r="B316" s="795"/>
      <c r="C316" s="735"/>
      <c r="D316" s="735"/>
      <c r="E316" s="735"/>
      <c r="F316" s="736"/>
    </row>
    <row r="317" spans="2:6" ht="14.4" customHeight="1" x14ac:dyDescent="0.3">
      <c r="B317" s="795" t="str">
        <f>Affiliates!C258</f>
        <v>Cash Available</v>
      </c>
      <c r="C317" s="781">
        <f>Affiliates!D258</f>
        <v>0</v>
      </c>
      <c r="D317" s="781">
        <f>Affiliates!F258</f>
        <v>0</v>
      </c>
      <c r="E317" s="781">
        <f>Affiliates!H258</f>
        <v>0</v>
      </c>
      <c r="F317" s="782">
        <f>Affiliates!J258</f>
        <v>0</v>
      </c>
    </row>
    <row r="318" spans="2:6" ht="14.4" customHeight="1" x14ac:dyDescent="0.3">
      <c r="B318" s="795"/>
      <c r="C318" s="735"/>
      <c r="D318" s="735"/>
      <c r="E318" s="735"/>
      <c r="F318" s="736"/>
    </row>
    <row r="319" spans="2:6" ht="14.4" customHeight="1" x14ac:dyDescent="0.3">
      <c r="B319" s="739" t="str">
        <f>Affiliates!C260</f>
        <v>Existing Monthly Debt</v>
      </c>
      <c r="C319" s="711">
        <f>Affiliates!D260</f>
        <v>0</v>
      </c>
      <c r="D319" s="711">
        <f>Affiliates!F260</f>
        <v>0</v>
      </c>
      <c r="E319" s="711">
        <f>Affiliates!H260</f>
        <v>0</v>
      </c>
      <c r="F319" s="797">
        <f>Affiliates!J260</f>
        <v>0</v>
      </c>
    </row>
    <row r="320" spans="2:6" ht="14.4" customHeight="1" x14ac:dyDescent="0.3">
      <c r="B320" s="739" t="str">
        <f>Affiliates!C261</f>
        <v>Existing Debt</v>
      </c>
      <c r="C320" s="754">
        <f>Affiliates!D261</f>
        <v>0</v>
      </c>
      <c r="D320" s="754">
        <f>Affiliates!F261</f>
        <v>0</v>
      </c>
      <c r="E320" s="754">
        <f>Affiliates!H261</f>
        <v>0</v>
      </c>
      <c r="F320" s="755">
        <f>Affiliates!J261</f>
        <v>0</v>
      </c>
    </row>
    <row r="321" spans="2:6" ht="14.4" customHeight="1" x14ac:dyDescent="0.3">
      <c r="B321" s="734"/>
      <c r="C321" s="735"/>
      <c r="D321" s="735"/>
      <c r="E321" s="735"/>
      <c r="F321" s="736"/>
    </row>
    <row r="322" spans="2:6" ht="14.4" customHeight="1" x14ac:dyDescent="0.3">
      <c r="B322" s="792" t="str">
        <f>Affiliates!C263</f>
        <v>DCR</v>
      </c>
      <c r="C322" s="784">
        <f>Affiliates!D263</f>
        <v>0</v>
      </c>
      <c r="D322" s="784">
        <f>Affiliates!F263</f>
        <v>0</v>
      </c>
      <c r="E322" s="784">
        <f>Affiliates!H263</f>
        <v>0</v>
      </c>
      <c r="F322" s="785">
        <f>Affiliates!J263</f>
        <v>0</v>
      </c>
    </row>
    <row r="323" spans="2:6" ht="14.4" customHeight="1" thickBot="1" x14ac:dyDescent="0.35">
      <c r="B323" s="787"/>
      <c r="C323" s="788"/>
      <c r="D323" s="788"/>
      <c r="E323" s="788"/>
      <c r="F323" s="789"/>
    </row>
    <row r="324" spans="2:6" ht="14.4" customHeight="1" x14ac:dyDescent="0.3"/>
    <row r="325" spans="2:6" ht="14.4" customHeight="1" thickBot="1" x14ac:dyDescent="0.35"/>
    <row r="326" spans="2:6" ht="14.4" customHeight="1" x14ac:dyDescent="0.3">
      <c r="B326" s="661" t="s">
        <v>268</v>
      </c>
      <c r="C326" s="662"/>
      <c r="D326" s="662"/>
      <c r="E326" s="662"/>
      <c r="F326" s="663"/>
    </row>
    <row r="327" spans="2:6" ht="14.4" customHeight="1" thickBot="1" x14ac:dyDescent="0.35">
      <c r="B327" s="1296"/>
      <c r="C327" s="1297"/>
      <c r="D327" s="1297"/>
      <c r="E327" s="1297"/>
      <c r="F327" s="1298"/>
    </row>
    <row r="328" spans="2:6" ht="14.4" customHeight="1" x14ac:dyDescent="0.3">
      <c r="B328" s="1144" t="str">
        <f>Affiliates!B267</f>
        <v>{Insert business name which represents Affiliate 5}</v>
      </c>
      <c r="C328" s="1145"/>
      <c r="D328" s="1145"/>
      <c r="E328" s="1145"/>
      <c r="F328" s="1146"/>
    </row>
    <row r="329" spans="2:6" ht="14.4" customHeight="1" x14ac:dyDescent="0.3">
      <c r="B329" s="734"/>
      <c r="C329" s="735"/>
      <c r="D329" s="735"/>
      <c r="E329" s="735"/>
      <c r="F329" s="736"/>
    </row>
    <row r="330" spans="2:6" ht="14.4" customHeight="1" x14ac:dyDescent="0.3">
      <c r="B330" s="739"/>
      <c r="C330" s="740">
        <f>Affiliates!D269</f>
        <v>45291</v>
      </c>
      <c r="D330" s="740">
        <f>Affiliates!F269</f>
        <v>45657</v>
      </c>
      <c r="E330" s="740">
        <f>Affiliates!H269</f>
        <v>46022</v>
      </c>
      <c r="F330" s="741">
        <f>Affiliates!J269</f>
        <v>46112</v>
      </c>
    </row>
    <row r="331" spans="2:6" ht="14.4" customHeight="1" x14ac:dyDescent="0.3">
      <c r="B331" s="743"/>
      <c r="C331" s="744"/>
      <c r="D331" s="744"/>
      <c r="E331" s="744"/>
      <c r="F331" s="745">
        <f>Affiliates!J273</f>
        <v>0</v>
      </c>
    </row>
    <row r="332" spans="2:6" ht="14.4" customHeight="1" x14ac:dyDescent="0.3">
      <c r="B332" s="739" t="str">
        <f>Affiliates!C274</f>
        <v>Total Revenue</v>
      </c>
      <c r="C332" s="748">
        <f>Affiliates!D274</f>
        <v>0</v>
      </c>
      <c r="D332" s="748">
        <f>Affiliates!F274</f>
        <v>0</v>
      </c>
      <c r="E332" s="748">
        <f>Affiliates!H274</f>
        <v>0</v>
      </c>
      <c r="F332" s="749">
        <f>Affiliates!J274</f>
        <v>0</v>
      </c>
    </row>
    <row r="333" spans="2:6" ht="14.4" customHeight="1" x14ac:dyDescent="0.3">
      <c r="B333" s="739" t="str">
        <f>Affiliates!C275</f>
        <v>Total COGS</v>
      </c>
      <c r="C333" s="751">
        <f>Affiliates!D275</f>
        <v>0</v>
      </c>
      <c r="D333" s="751">
        <f>Affiliates!F275</f>
        <v>0</v>
      </c>
      <c r="E333" s="751">
        <f>Affiliates!H275</f>
        <v>0</v>
      </c>
      <c r="F333" s="752">
        <f>Affiliates!J275</f>
        <v>0</v>
      </c>
    </row>
    <row r="334" spans="2:6" ht="14.4" customHeight="1" x14ac:dyDescent="0.3">
      <c r="B334" s="739" t="str">
        <f>Affiliates!C276</f>
        <v>Total Gross Margin</v>
      </c>
      <c r="C334" s="754">
        <f>Affiliates!D276</f>
        <v>0</v>
      </c>
      <c r="D334" s="754">
        <f>Affiliates!F276</f>
        <v>0</v>
      </c>
      <c r="E334" s="754">
        <f>Affiliates!H276</f>
        <v>0</v>
      </c>
      <c r="F334" s="755">
        <f>Affiliates!J276</f>
        <v>0</v>
      </c>
    </row>
    <row r="335" spans="2:6" ht="14.4" customHeight="1" x14ac:dyDescent="0.3">
      <c r="B335" s="739" t="str">
        <f>Affiliates!C291</f>
        <v>Total Operating Expenses</v>
      </c>
      <c r="C335" s="757">
        <f>Affiliates!D291</f>
        <v>0</v>
      </c>
      <c r="D335" s="757">
        <f>Affiliates!F291</f>
        <v>0</v>
      </c>
      <c r="E335" s="757">
        <f>Affiliates!H291</f>
        <v>0</v>
      </c>
      <c r="F335" s="758">
        <f>Affiliates!J291</f>
        <v>0</v>
      </c>
    </row>
    <row r="336" spans="2:6" ht="14.4" customHeight="1" x14ac:dyDescent="0.3">
      <c r="B336" s="792" t="str">
        <f>Affiliates!C293</f>
        <v>Ordinary Income</v>
      </c>
      <c r="C336" s="761">
        <f>Affiliates!D293</f>
        <v>0</v>
      </c>
      <c r="D336" s="761">
        <f>Affiliates!F293</f>
        <v>0</v>
      </c>
      <c r="E336" s="761">
        <f>Affiliates!H293</f>
        <v>0</v>
      </c>
      <c r="F336" s="762">
        <f>Affiliates!J293</f>
        <v>0</v>
      </c>
    </row>
    <row r="337" spans="2:6" ht="14.4" customHeight="1" x14ac:dyDescent="0.3">
      <c r="B337" s="739" t="str">
        <f>Affiliates!C297</f>
        <v>Total Other Income (Expenses)</v>
      </c>
      <c r="C337" s="757">
        <f>Affiliates!D297</f>
        <v>0</v>
      </c>
      <c r="D337" s="757">
        <f>Affiliates!F297</f>
        <v>0</v>
      </c>
      <c r="E337" s="757">
        <f>Affiliates!H297</f>
        <v>0</v>
      </c>
      <c r="F337" s="758">
        <f>Affiliates!J297</f>
        <v>0</v>
      </c>
    </row>
    <row r="338" spans="2:6" ht="14.4" customHeight="1" x14ac:dyDescent="0.3">
      <c r="B338" s="739" t="str">
        <f>Affiliates!C299</f>
        <v>Net Income Before Taxes</v>
      </c>
      <c r="C338" s="754">
        <f>Affiliates!D299</f>
        <v>0</v>
      </c>
      <c r="D338" s="754">
        <f>Affiliates!F299</f>
        <v>0</v>
      </c>
      <c r="E338" s="754">
        <f>Affiliates!H299</f>
        <v>0</v>
      </c>
      <c r="F338" s="755">
        <f>Affiliates!J299</f>
        <v>0</v>
      </c>
    </row>
    <row r="339" spans="2:6" ht="14.4" customHeight="1" x14ac:dyDescent="0.3">
      <c r="B339" s="739" t="str">
        <f>Affiliates!C300</f>
        <v>Income Taxes</v>
      </c>
      <c r="C339" s="757">
        <f>Affiliates!D300</f>
        <v>0</v>
      </c>
      <c r="D339" s="757">
        <f>Affiliates!F300</f>
        <v>0</v>
      </c>
      <c r="E339" s="757">
        <f>Affiliates!H300</f>
        <v>0</v>
      </c>
      <c r="F339" s="758">
        <f>Affiliates!J300</f>
        <v>0</v>
      </c>
    </row>
    <row r="340" spans="2:6" ht="14.4" customHeight="1" x14ac:dyDescent="0.3">
      <c r="B340" s="792" t="str">
        <f>Affiliates!C302</f>
        <v>NET INCOME AFTER TAXES</v>
      </c>
      <c r="C340" s="761">
        <f>Affiliates!D302</f>
        <v>0</v>
      </c>
      <c r="D340" s="761">
        <f>Affiliates!F302</f>
        <v>0</v>
      </c>
      <c r="E340" s="761">
        <f>Affiliates!H302</f>
        <v>0</v>
      </c>
      <c r="F340" s="762">
        <f>Affiliates!J302</f>
        <v>0</v>
      </c>
    </row>
    <row r="341" spans="2:6" ht="14.4" customHeight="1" x14ac:dyDescent="0.3">
      <c r="B341" s="739"/>
      <c r="C341" s="764"/>
      <c r="D341" s="764"/>
      <c r="E341" s="764"/>
      <c r="F341" s="765"/>
    </row>
    <row r="342" spans="2:6" ht="14.4" customHeight="1" x14ac:dyDescent="0.3">
      <c r="B342" s="793" t="str">
        <f>Affiliates!C304</f>
        <v>ADJUSTMENTS</v>
      </c>
      <c r="C342" s="735"/>
      <c r="D342" s="735"/>
      <c r="E342" s="735"/>
      <c r="F342" s="736"/>
    </row>
    <row r="343" spans="2:6" ht="14.4" customHeight="1" x14ac:dyDescent="0.3">
      <c r="B343" s="794" t="str">
        <f>Affiliates!C305</f>
        <v>Compensation of Officers</v>
      </c>
      <c r="C343" s="748">
        <f>Affiliates!D305</f>
        <v>0</v>
      </c>
      <c r="D343" s="748">
        <f>Affiliates!F305</f>
        <v>0</v>
      </c>
      <c r="E343" s="748">
        <f>Affiliates!H305</f>
        <v>0</v>
      </c>
      <c r="F343" s="749">
        <f>Affiliates!J305</f>
        <v>0</v>
      </c>
    </row>
    <row r="344" spans="2:6" ht="14.4" customHeight="1" x14ac:dyDescent="0.3">
      <c r="B344" s="795" t="str">
        <f>Affiliates!C306</f>
        <v>Depreciation/Amortization</v>
      </c>
      <c r="C344" s="773">
        <f>Affiliates!D306</f>
        <v>0</v>
      </c>
      <c r="D344" s="773">
        <f>Affiliates!F306</f>
        <v>0</v>
      </c>
      <c r="E344" s="773">
        <f>Affiliates!H306</f>
        <v>0</v>
      </c>
      <c r="F344" s="774">
        <f>Affiliates!J306</f>
        <v>0</v>
      </c>
    </row>
    <row r="345" spans="2:6" ht="14.4" customHeight="1" x14ac:dyDescent="0.3">
      <c r="B345" s="795" t="str">
        <f>Affiliates!C307</f>
        <v>Interest Expense</v>
      </c>
      <c r="C345" s="773">
        <f>Affiliates!D307</f>
        <v>0</v>
      </c>
      <c r="D345" s="773">
        <f>Affiliates!F307</f>
        <v>0</v>
      </c>
      <c r="E345" s="773">
        <f>Affiliates!H307</f>
        <v>0</v>
      </c>
      <c r="F345" s="774">
        <f>Affiliates!J307</f>
        <v>0</v>
      </c>
    </row>
    <row r="346" spans="2:6" ht="14.4" customHeight="1" x14ac:dyDescent="0.3">
      <c r="B346" s="795" t="str">
        <f>Affiliates!C308</f>
        <v>Rent Adjustment</v>
      </c>
      <c r="C346" s="773">
        <f>Affiliates!D308</f>
        <v>0</v>
      </c>
      <c r="D346" s="773">
        <f>Affiliates!F308</f>
        <v>0</v>
      </c>
      <c r="E346" s="773">
        <f>Affiliates!H308</f>
        <v>0</v>
      </c>
      <c r="F346" s="774">
        <f>Affiliates!J308</f>
        <v>0</v>
      </c>
    </row>
    <row r="347" spans="2:6" ht="14.4" customHeight="1" x14ac:dyDescent="0.3">
      <c r="B347" s="796" t="str">
        <f>Affiliates!C309</f>
        <v>Other</v>
      </c>
      <c r="C347" s="773">
        <f>Affiliates!D309</f>
        <v>0</v>
      </c>
      <c r="D347" s="773">
        <f>Affiliates!F309</f>
        <v>0</v>
      </c>
      <c r="E347" s="773">
        <f>Affiliates!H309</f>
        <v>0</v>
      </c>
      <c r="F347" s="774">
        <f>Affiliates!J309</f>
        <v>0</v>
      </c>
    </row>
    <row r="348" spans="2:6" ht="14.4" customHeight="1" x14ac:dyDescent="0.3">
      <c r="B348" s="796" t="str">
        <f>Affiliates!C310</f>
        <v>Other</v>
      </c>
      <c r="C348" s="773">
        <f>Affiliates!D310</f>
        <v>0</v>
      </c>
      <c r="D348" s="773">
        <f>Affiliates!F310</f>
        <v>0</v>
      </c>
      <c r="E348" s="773">
        <f>Affiliates!H310</f>
        <v>0</v>
      </c>
      <c r="F348" s="774">
        <f>Affiliates!J310</f>
        <v>0</v>
      </c>
    </row>
    <row r="349" spans="2:6" ht="14.4" customHeight="1" x14ac:dyDescent="0.3">
      <c r="B349" s="795" t="str">
        <f>Affiliates!C311</f>
        <v>Estimated Property Tax</v>
      </c>
      <c r="C349" s="751">
        <f>Affiliates!D311</f>
        <v>0</v>
      </c>
      <c r="D349" s="751">
        <f>Affiliates!F311</f>
        <v>0</v>
      </c>
      <c r="E349" s="751">
        <f>Affiliates!H311</f>
        <v>0</v>
      </c>
      <c r="F349" s="752">
        <f>Affiliates!J311</f>
        <v>0</v>
      </c>
    </row>
    <row r="350" spans="2:6" ht="14.4" customHeight="1" x14ac:dyDescent="0.3">
      <c r="B350" s="795"/>
      <c r="C350" s="735"/>
      <c r="D350" s="735"/>
      <c r="E350" s="735"/>
      <c r="F350" s="736"/>
    </row>
    <row r="351" spans="2:6" ht="14.4" customHeight="1" x14ac:dyDescent="0.3">
      <c r="B351" s="795" t="str">
        <f>Affiliates!C314</f>
        <v>Cash Available</v>
      </c>
      <c r="C351" s="781">
        <f>Affiliates!D314</f>
        <v>0</v>
      </c>
      <c r="D351" s="781">
        <f>Affiliates!F314</f>
        <v>0</v>
      </c>
      <c r="E351" s="781">
        <f>Affiliates!H314</f>
        <v>0</v>
      </c>
      <c r="F351" s="782">
        <f>Affiliates!J314</f>
        <v>0</v>
      </c>
    </row>
    <row r="352" spans="2:6" ht="14.4" customHeight="1" x14ac:dyDescent="0.3">
      <c r="B352" s="795"/>
      <c r="C352" s="735"/>
      <c r="D352" s="735"/>
      <c r="E352" s="735"/>
      <c r="F352" s="736"/>
    </row>
    <row r="353" spans="2:6" ht="14.4" customHeight="1" x14ac:dyDescent="0.3">
      <c r="B353" s="739" t="str">
        <f>Affiliates!C316</f>
        <v>Existing Monthly Debt</v>
      </c>
      <c r="C353" s="711">
        <f>Affiliates!D316</f>
        <v>0</v>
      </c>
      <c r="D353" s="711">
        <f>Affiliates!F316</f>
        <v>0</v>
      </c>
      <c r="E353" s="711">
        <f>Affiliates!H316</f>
        <v>0</v>
      </c>
      <c r="F353" s="797">
        <f>Affiliates!J316</f>
        <v>0</v>
      </c>
    </row>
    <row r="354" spans="2:6" ht="14.4" customHeight="1" x14ac:dyDescent="0.3">
      <c r="B354" s="739" t="str">
        <f>Affiliates!C317</f>
        <v>Existing Debt</v>
      </c>
      <c r="C354" s="754">
        <f>Affiliates!D317</f>
        <v>0</v>
      </c>
      <c r="D354" s="754">
        <f>Affiliates!F317</f>
        <v>0</v>
      </c>
      <c r="E354" s="754">
        <f>Affiliates!H317</f>
        <v>0</v>
      </c>
      <c r="F354" s="755">
        <f>Affiliates!J317</f>
        <v>0</v>
      </c>
    </row>
    <row r="355" spans="2:6" ht="14.4" customHeight="1" x14ac:dyDescent="0.3">
      <c r="B355" s="734"/>
      <c r="C355" s="735"/>
      <c r="D355" s="735"/>
      <c r="E355" s="735"/>
      <c r="F355" s="736"/>
    </row>
    <row r="356" spans="2:6" ht="14.4" customHeight="1" x14ac:dyDescent="0.3">
      <c r="B356" s="792" t="str">
        <f>Affiliates!C319</f>
        <v>DCR</v>
      </c>
      <c r="C356" s="784">
        <f>Affiliates!D319</f>
        <v>0</v>
      </c>
      <c r="D356" s="784">
        <f>Affiliates!F319</f>
        <v>0</v>
      </c>
      <c r="E356" s="784">
        <f>Affiliates!H319</f>
        <v>0</v>
      </c>
      <c r="F356" s="785">
        <f>Affiliates!J319</f>
        <v>0</v>
      </c>
    </row>
    <row r="357" spans="2:6" ht="14.4" customHeight="1" thickBot="1" x14ac:dyDescent="0.35">
      <c r="B357" s="787"/>
      <c r="C357" s="788"/>
      <c r="D357" s="788"/>
      <c r="E357" s="788"/>
      <c r="F357" s="789"/>
    </row>
    <row r="358" spans="2:6" ht="14.4" customHeight="1" x14ac:dyDescent="0.3"/>
    <row r="359" spans="2:6" ht="14.4" customHeight="1" thickBot="1" x14ac:dyDescent="0.35"/>
    <row r="360" spans="2:6" ht="14.4" customHeight="1" x14ac:dyDescent="0.3">
      <c r="B360" s="661" t="s">
        <v>451</v>
      </c>
      <c r="C360" s="662"/>
      <c r="D360" s="662"/>
      <c r="E360" s="662"/>
      <c r="F360" s="663"/>
    </row>
    <row r="361" spans="2:6" ht="14.4" customHeight="1" thickBot="1" x14ac:dyDescent="0.35">
      <c r="B361" s="1296"/>
      <c r="C361" s="1297"/>
      <c r="D361" s="1297"/>
      <c r="E361" s="1297"/>
      <c r="F361" s="1298"/>
    </row>
    <row r="362" spans="2:6" ht="14.4" customHeight="1" x14ac:dyDescent="0.3">
      <c r="B362" s="1144" t="str">
        <f>Affiliates!B323</f>
        <v>{Insert business name which represents Affiliate 6}</v>
      </c>
      <c r="C362" s="1145"/>
      <c r="D362" s="1145"/>
      <c r="E362" s="1145"/>
      <c r="F362" s="1146"/>
    </row>
    <row r="363" spans="2:6" ht="14.4" customHeight="1" x14ac:dyDescent="0.3">
      <c r="B363" s="734"/>
      <c r="C363" s="735"/>
      <c r="D363" s="735"/>
      <c r="E363" s="735"/>
      <c r="F363" s="736"/>
    </row>
    <row r="364" spans="2:6" ht="14.4" customHeight="1" x14ac:dyDescent="0.3">
      <c r="B364" s="739"/>
      <c r="C364" s="740">
        <f>Affiliates!D325</f>
        <v>45291</v>
      </c>
      <c r="D364" s="740">
        <f>Affiliates!F325</f>
        <v>45657</v>
      </c>
      <c r="E364" s="740">
        <f>Affiliates!H325</f>
        <v>46022</v>
      </c>
      <c r="F364" s="741">
        <f>Affiliates!J325</f>
        <v>46112</v>
      </c>
    </row>
    <row r="365" spans="2:6" ht="14.4" customHeight="1" x14ac:dyDescent="0.3">
      <c r="B365" s="743"/>
      <c r="C365" s="744"/>
      <c r="D365" s="744"/>
      <c r="E365" s="744"/>
      <c r="F365" s="745">
        <f>Affiliates!J329</f>
        <v>0</v>
      </c>
    </row>
    <row r="366" spans="2:6" ht="14.4" customHeight="1" x14ac:dyDescent="0.3">
      <c r="B366" s="739" t="str">
        <f>Affiliates!C330</f>
        <v>Total Revenue</v>
      </c>
      <c r="C366" s="748">
        <f>Affiliates!D330</f>
        <v>0</v>
      </c>
      <c r="D366" s="748">
        <f>Affiliates!F330</f>
        <v>0</v>
      </c>
      <c r="E366" s="748">
        <f>Affiliates!H330</f>
        <v>0</v>
      </c>
      <c r="F366" s="749">
        <f>Affiliates!J330</f>
        <v>0</v>
      </c>
    </row>
    <row r="367" spans="2:6" ht="14.4" customHeight="1" x14ac:dyDescent="0.3">
      <c r="B367" s="739" t="str">
        <f>Affiliates!C331</f>
        <v>Total COGS</v>
      </c>
      <c r="C367" s="751">
        <f>Affiliates!D331</f>
        <v>0</v>
      </c>
      <c r="D367" s="751">
        <f>Affiliates!F331</f>
        <v>0</v>
      </c>
      <c r="E367" s="751">
        <f>Affiliates!H331</f>
        <v>0</v>
      </c>
      <c r="F367" s="752">
        <f>Affiliates!J331</f>
        <v>0</v>
      </c>
    </row>
    <row r="368" spans="2:6" ht="14.4" customHeight="1" x14ac:dyDescent="0.3">
      <c r="B368" s="739" t="str">
        <f>Affiliates!C332</f>
        <v>Total Gross Margin</v>
      </c>
      <c r="C368" s="754">
        <f>Affiliates!D332</f>
        <v>0</v>
      </c>
      <c r="D368" s="754">
        <f>Affiliates!F332</f>
        <v>0</v>
      </c>
      <c r="E368" s="754">
        <f>Affiliates!H332</f>
        <v>0</v>
      </c>
      <c r="F368" s="755">
        <f>Affiliates!J332</f>
        <v>0</v>
      </c>
    </row>
    <row r="369" spans="2:6" ht="14.4" customHeight="1" x14ac:dyDescent="0.3">
      <c r="B369" s="739" t="str">
        <f>Affiliates!C347</f>
        <v>Total Operating Expenses</v>
      </c>
      <c r="C369" s="757">
        <f>Affiliates!D347</f>
        <v>0</v>
      </c>
      <c r="D369" s="757">
        <f>Affiliates!F347</f>
        <v>0</v>
      </c>
      <c r="E369" s="757">
        <f>Affiliates!H347</f>
        <v>0</v>
      </c>
      <c r="F369" s="758">
        <f>Affiliates!J347</f>
        <v>0</v>
      </c>
    </row>
    <row r="370" spans="2:6" ht="14.4" customHeight="1" x14ac:dyDescent="0.3">
      <c r="B370" s="792" t="str">
        <f>Affiliates!C349</f>
        <v>Ordinary Income</v>
      </c>
      <c r="C370" s="761">
        <f>Affiliates!D349</f>
        <v>0</v>
      </c>
      <c r="D370" s="761">
        <f>Affiliates!F349</f>
        <v>0</v>
      </c>
      <c r="E370" s="761">
        <f>Affiliates!H349</f>
        <v>0</v>
      </c>
      <c r="F370" s="762">
        <f>Affiliates!J349</f>
        <v>0</v>
      </c>
    </row>
    <row r="371" spans="2:6" ht="14.4" customHeight="1" x14ac:dyDescent="0.3">
      <c r="B371" s="739" t="str">
        <f>Affiliates!C353</f>
        <v>Total Other Income (Expenses)</v>
      </c>
      <c r="C371" s="757">
        <f>Affiliates!D353</f>
        <v>0</v>
      </c>
      <c r="D371" s="757">
        <f>Affiliates!F353</f>
        <v>0</v>
      </c>
      <c r="E371" s="757">
        <f>Affiliates!H353</f>
        <v>0</v>
      </c>
      <c r="F371" s="758">
        <f>Affiliates!J353</f>
        <v>0</v>
      </c>
    </row>
    <row r="372" spans="2:6" ht="14.4" customHeight="1" x14ac:dyDescent="0.3">
      <c r="B372" s="739" t="str">
        <f>Affiliates!C355</f>
        <v>Net Income Before Taxes</v>
      </c>
      <c r="C372" s="754">
        <f>Affiliates!D355</f>
        <v>0</v>
      </c>
      <c r="D372" s="754">
        <f>Affiliates!F355</f>
        <v>0</v>
      </c>
      <c r="E372" s="754">
        <f>Affiliates!H355</f>
        <v>0</v>
      </c>
      <c r="F372" s="755">
        <f>Affiliates!J355</f>
        <v>0</v>
      </c>
    </row>
    <row r="373" spans="2:6" ht="14.4" customHeight="1" x14ac:dyDescent="0.3">
      <c r="B373" s="739" t="str">
        <f>Affiliates!C356</f>
        <v>Income Taxes</v>
      </c>
      <c r="C373" s="757">
        <f>Affiliates!D356</f>
        <v>0</v>
      </c>
      <c r="D373" s="757">
        <f>Affiliates!F356</f>
        <v>0</v>
      </c>
      <c r="E373" s="757">
        <f>Affiliates!H356</f>
        <v>0</v>
      </c>
      <c r="F373" s="758">
        <f>Affiliates!J356</f>
        <v>0</v>
      </c>
    </row>
    <row r="374" spans="2:6" ht="14.4" customHeight="1" x14ac:dyDescent="0.3">
      <c r="B374" s="792" t="str">
        <f>Affiliates!C358</f>
        <v>NET INCOME AFTER TAXES</v>
      </c>
      <c r="C374" s="761">
        <f>Affiliates!D358</f>
        <v>0</v>
      </c>
      <c r="D374" s="761">
        <f>Affiliates!F358</f>
        <v>0</v>
      </c>
      <c r="E374" s="761">
        <f>Affiliates!H358</f>
        <v>0</v>
      </c>
      <c r="F374" s="762">
        <f>Affiliates!J358</f>
        <v>0</v>
      </c>
    </row>
    <row r="375" spans="2:6" ht="14.4" customHeight="1" x14ac:dyDescent="0.3">
      <c r="B375" s="739"/>
      <c r="C375" s="764"/>
      <c r="D375" s="764"/>
      <c r="E375" s="764"/>
      <c r="F375" s="765"/>
    </row>
    <row r="376" spans="2:6" ht="14.4" customHeight="1" x14ac:dyDescent="0.3">
      <c r="B376" s="793" t="str">
        <f>Affiliates!C360</f>
        <v>ADJUSTMENTS</v>
      </c>
      <c r="C376" s="735"/>
      <c r="D376" s="735"/>
      <c r="E376" s="735"/>
      <c r="F376" s="736"/>
    </row>
    <row r="377" spans="2:6" ht="14.4" customHeight="1" x14ac:dyDescent="0.3">
      <c r="B377" s="794" t="str">
        <f>Affiliates!C361</f>
        <v>Compensation of Officers</v>
      </c>
      <c r="C377" s="748">
        <f>Affiliates!D361</f>
        <v>0</v>
      </c>
      <c r="D377" s="748">
        <f>Affiliates!F361</f>
        <v>0</v>
      </c>
      <c r="E377" s="748">
        <f>Affiliates!H361</f>
        <v>0</v>
      </c>
      <c r="F377" s="749">
        <f>Affiliates!J361</f>
        <v>0</v>
      </c>
    </row>
    <row r="378" spans="2:6" ht="14.4" customHeight="1" x14ac:dyDescent="0.3">
      <c r="B378" s="795" t="str">
        <f>Affiliates!C362</f>
        <v>Depreciation/Amortization</v>
      </c>
      <c r="C378" s="773">
        <f>Affiliates!D362</f>
        <v>0</v>
      </c>
      <c r="D378" s="773">
        <f>Affiliates!F362</f>
        <v>0</v>
      </c>
      <c r="E378" s="773">
        <f>Affiliates!H362</f>
        <v>0</v>
      </c>
      <c r="F378" s="774">
        <f>Affiliates!J362</f>
        <v>0</v>
      </c>
    </row>
    <row r="379" spans="2:6" ht="14.4" customHeight="1" x14ac:dyDescent="0.3">
      <c r="B379" s="795" t="str">
        <f>Affiliates!C363</f>
        <v>Interest Expense</v>
      </c>
      <c r="C379" s="773">
        <f>Affiliates!D363</f>
        <v>0</v>
      </c>
      <c r="D379" s="773">
        <f>Affiliates!F363</f>
        <v>0</v>
      </c>
      <c r="E379" s="773">
        <f>Affiliates!H363</f>
        <v>0</v>
      </c>
      <c r="F379" s="774">
        <f>Affiliates!J363</f>
        <v>0</v>
      </c>
    </row>
    <row r="380" spans="2:6" ht="14.4" customHeight="1" x14ac:dyDescent="0.3">
      <c r="B380" s="795" t="str">
        <f>Affiliates!C364</f>
        <v>Rent Adjustment</v>
      </c>
      <c r="C380" s="773">
        <f>Affiliates!D364</f>
        <v>0</v>
      </c>
      <c r="D380" s="773">
        <f>Affiliates!F364</f>
        <v>0</v>
      </c>
      <c r="E380" s="773">
        <f>Affiliates!H364</f>
        <v>0</v>
      </c>
      <c r="F380" s="774">
        <f>Affiliates!J364</f>
        <v>0</v>
      </c>
    </row>
    <row r="381" spans="2:6" ht="14.4" customHeight="1" x14ac:dyDescent="0.3">
      <c r="B381" s="796" t="str">
        <f>Affiliates!C365</f>
        <v>Other</v>
      </c>
      <c r="C381" s="773">
        <f>Affiliates!D365</f>
        <v>0</v>
      </c>
      <c r="D381" s="773">
        <f>Affiliates!F365</f>
        <v>0</v>
      </c>
      <c r="E381" s="773">
        <f>Affiliates!H365</f>
        <v>0</v>
      </c>
      <c r="F381" s="774">
        <f>Affiliates!J365</f>
        <v>0</v>
      </c>
    </row>
    <row r="382" spans="2:6" ht="14.4" customHeight="1" x14ac:dyDescent="0.3">
      <c r="B382" s="796" t="str">
        <f>Affiliates!C366</f>
        <v>Other</v>
      </c>
      <c r="C382" s="773">
        <f>Affiliates!D366</f>
        <v>0</v>
      </c>
      <c r="D382" s="773">
        <f>Affiliates!F366</f>
        <v>0</v>
      </c>
      <c r="E382" s="773">
        <f>Affiliates!H366</f>
        <v>0</v>
      </c>
      <c r="F382" s="774">
        <f>Affiliates!J366</f>
        <v>0</v>
      </c>
    </row>
    <row r="383" spans="2:6" ht="14.4" customHeight="1" x14ac:dyDescent="0.3">
      <c r="B383" s="795" t="str">
        <f>Affiliates!C367</f>
        <v>Estimated Property Tax</v>
      </c>
      <c r="C383" s="751">
        <f>Affiliates!D367</f>
        <v>0</v>
      </c>
      <c r="D383" s="751">
        <f>Affiliates!F367</f>
        <v>0</v>
      </c>
      <c r="E383" s="751">
        <f>Affiliates!H367</f>
        <v>0</v>
      </c>
      <c r="F383" s="752">
        <f>Affiliates!J367</f>
        <v>0</v>
      </c>
    </row>
    <row r="384" spans="2:6" ht="14.4" customHeight="1" x14ac:dyDescent="0.3">
      <c r="B384" s="795"/>
      <c r="C384" s="735"/>
      <c r="D384" s="735"/>
      <c r="E384" s="735"/>
      <c r="F384" s="736"/>
    </row>
    <row r="385" spans="2:6" ht="14.4" customHeight="1" x14ac:dyDescent="0.3">
      <c r="B385" s="795" t="str">
        <f>Affiliates!C370</f>
        <v>Cash Available</v>
      </c>
      <c r="C385" s="781">
        <f>Affiliates!D370</f>
        <v>0</v>
      </c>
      <c r="D385" s="781">
        <f>Affiliates!F370</f>
        <v>0</v>
      </c>
      <c r="E385" s="781">
        <f>Affiliates!H370</f>
        <v>0</v>
      </c>
      <c r="F385" s="782">
        <f>Affiliates!J370</f>
        <v>0</v>
      </c>
    </row>
    <row r="386" spans="2:6" ht="14.4" customHeight="1" x14ac:dyDescent="0.3">
      <c r="B386" s="795"/>
      <c r="C386" s="735"/>
      <c r="D386" s="735"/>
      <c r="E386" s="735"/>
      <c r="F386" s="736"/>
    </row>
    <row r="387" spans="2:6" ht="14.4" customHeight="1" x14ac:dyDescent="0.3">
      <c r="B387" s="739" t="str">
        <f>Affiliates!C372</f>
        <v>Existing Monthly Debt</v>
      </c>
      <c r="C387" s="711">
        <f>Affiliates!D372</f>
        <v>0</v>
      </c>
      <c r="D387" s="711">
        <f>Affiliates!F372</f>
        <v>0</v>
      </c>
      <c r="E387" s="711">
        <f>Affiliates!H372</f>
        <v>0</v>
      </c>
      <c r="F387" s="797">
        <f>Affiliates!J372</f>
        <v>0</v>
      </c>
    </row>
    <row r="388" spans="2:6" ht="14.4" customHeight="1" x14ac:dyDescent="0.3">
      <c r="B388" s="739" t="str">
        <f>Affiliates!C373</f>
        <v>Existing Debt</v>
      </c>
      <c r="C388" s="754">
        <f>Affiliates!D373</f>
        <v>0</v>
      </c>
      <c r="D388" s="754">
        <f>Affiliates!F373</f>
        <v>0</v>
      </c>
      <c r="E388" s="754">
        <f>Affiliates!H373</f>
        <v>0</v>
      </c>
      <c r="F388" s="755">
        <f>Affiliates!J373</f>
        <v>0</v>
      </c>
    </row>
    <row r="389" spans="2:6" ht="14.4" customHeight="1" x14ac:dyDescent="0.3">
      <c r="B389" s="734"/>
      <c r="C389" s="735"/>
      <c r="D389" s="735"/>
      <c r="E389" s="735"/>
      <c r="F389" s="736"/>
    </row>
    <row r="390" spans="2:6" ht="14.4" customHeight="1" x14ac:dyDescent="0.3">
      <c r="B390" s="792" t="str">
        <f>Affiliates!C375</f>
        <v>DCR</v>
      </c>
      <c r="C390" s="784">
        <f>Affiliates!D375</f>
        <v>0</v>
      </c>
      <c r="D390" s="784">
        <f>Affiliates!F375</f>
        <v>0</v>
      </c>
      <c r="E390" s="784">
        <f>Affiliates!H375</f>
        <v>0</v>
      </c>
      <c r="F390" s="785">
        <f>Affiliates!J375</f>
        <v>0</v>
      </c>
    </row>
    <row r="391" spans="2:6" ht="14.4" customHeight="1" thickBot="1" x14ac:dyDescent="0.35">
      <c r="B391" s="787"/>
      <c r="C391" s="788"/>
      <c r="D391" s="788"/>
      <c r="E391" s="788"/>
      <c r="F391" s="789"/>
    </row>
    <row r="392" spans="2:6" ht="14.4" customHeight="1" x14ac:dyDescent="0.3"/>
    <row r="393" spans="2:6" ht="14.4" customHeight="1" thickBot="1" x14ac:dyDescent="0.35"/>
    <row r="394" spans="2:6" ht="14.4" customHeight="1" x14ac:dyDescent="0.3">
      <c r="B394" s="661" t="s">
        <v>452</v>
      </c>
      <c r="C394" s="662"/>
      <c r="D394" s="662"/>
      <c r="E394" s="662"/>
      <c r="F394" s="663"/>
    </row>
    <row r="395" spans="2:6" ht="14.4" customHeight="1" thickBot="1" x14ac:dyDescent="0.35">
      <c r="B395" s="1296"/>
      <c r="C395" s="1297"/>
      <c r="D395" s="1297"/>
      <c r="E395" s="1297"/>
      <c r="F395" s="1298"/>
    </row>
    <row r="396" spans="2:6" ht="14.4" customHeight="1" x14ac:dyDescent="0.3">
      <c r="B396" s="1144" t="str">
        <f>Affiliates!B379</f>
        <v>{Insert business name which represents Affiliate 7}</v>
      </c>
      <c r="C396" s="1145"/>
      <c r="D396" s="1145"/>
      <c r="E396" s="1145"/>
      <c r="F396" s="1146"/>
    </row>
    <row r="397" spans="2:6" ht="14.4" customHeight="1" x14ac:dyDescent="0.3">
      <c r="B397" s="734"/>
      <c r="C397" s="735"/>
      <c r="D397" s="735"/>
      <c r="E397" s="735"/>
      <c r="F397" s="736"/>
    </row>
    <row r="398" spans="2:6" ht="14.4" customHeight="1" x14ac:dyDescent="0.3">
      <c r="B398" s="739"/>
      <c r="C398" s="740">
        <f>Affiliates!D381</f>
        <v>45291</v>
      </c>
      <c r="D398" s="740">
        <f>Affiliates!F381</f>
        <v>45657</v>
      </c>
      <c r="E398" s="740">
        <f>Affiliates!H381</f>
        <v>46022</v>
      </c>
      <c r="F398" s="741">
        <f>Affiliates!J381</f>
        <v>46112</v>
      </c>
    </row>
    <row r="399" spans="2:6" ht="14.4" customHeight="1" x14ac:dyDescent="0.3">
      <c r="B399" s="743"/>
      <c r="C399" s="744"/>
      <c r="D399" s="744"/>
      <c r="E399" s="744"/>
      <c r="F399" s="745">
        <f>Affiliates!J385</f>
        <v>0</v>
      </c>
    </row>
    <row r="400" spans="2:6" ht="14.4" customHeight="1" x14ac:dyDescent="0.3">
      <c r="B400" s="739" t="str">
        <f>Affiliates!C386</f>
        <v>Total Revenue</v>
      </c>
      <c r="C400" s="748">
        <f>Affiliates!D386</f>
        <v>0</v>
      </c>
      <c r="D400" s="748">
        <f>Affiliates!F386</f>
        <v>0</v>
      </c>
      <c r="E400" s="748">
        <f>Affiliates!H386</f>
        <v>0</v>
      </c>
      <c r="F400" s="749">
        <f>Affiliates!J386</f>
        <v>0</v>
      </c>
    </row>
    <row r="401" spans="2:6" ht="14.4" customHeight="1" x14ac:dyDescent="0.3">
      <c r="B401" s="739" t="str">
        <f>Affiliates!C387</f>
        <v>Total COGS</v>
      </c>
      <c r="C401" s="751">
        <f>Affiliates!D387</f>
        <v>0</v>
      </c>
      <c r="D401" s="751">
        <f>Affiliates!F387</f>
        <v>0</v>
      </c>
      <c r="E401" s="751">
        <f>Affiliates!H387</f>
        <v>0</v>
      </c>
      <c r="F401" s="752">
        <f>Affiliates!J387</f>
        <v>0</v>
      </c>
    </row>
    <row r="402" spans="2:6" ht="14.4" customHeight="1" x14ac:dyDescent="0.3">
      <c r="B402" s="739" t="str">
        <f>Affiliates!C388</f>
        <v>Total Gross Margin</v>
      </c>
      <c r="C402" s="754">
        <f>Affiliates!D388</f>
        <v>0</v>
      </c>
      <c r="D402" s="754">
        <f>Affiliates!F388</f>
        <v>0</v>
      </c>
      <c r="E402" s="754">
        <f>Affiliates!H388</f>
        <v>0</v>
      </c>
      <c r="F402" s="755">
        <f>Affiliates!J388</f>
        <v>0</v>
      </c>
    </row>
    <row r="403" spans="2:6" ht="14.4" customHeight="1" x14ac:dyDescent="0.3">
      <c r="B403" s="739" t="str">
        <f>Affiliates!C403</f>
        <v>Total Operating Expenses</v>
      </c>
      <c r="C403" s="757">
        <f>Affiliates!D403</f>
        <v>0</v>
      </c>
      <c r="D403" s="757">
        <f>Affiliates!F403</f>
        <v>0</v>
      </c>
      <c r="E403" s="757">
        <f>Affiliates!H403</f>
        <v>0</v>
      </c>
      <c r="F403" s="758">
        <f>Affiliates!J403</f>
        <v>0</v>
      </c>
    </row>
    <row r="404" spans="2:6" ht="14.4" customHeight="1" x14ac:dyDescent="0.3">
      <c r="B404" s="792" t="str">
        <f>Affiliates!C405</f>
        <v>Ordinary Income</v>
      </c>
      <c r="C404" s="761">
        <f>Affiliates!D405</f>
        <v>0</v>
      </c>
      <c r="D404" s="761">
        <f>Affiliates!F405</f>
        <v>0</v>
      </c>
      <c r="E404" s="761">
        <f>Affiliates!H405</f>
        <v>0</v>
      </c>
      <c r="F404" s="762">
        <f>Affiliates!J405</f>
        <v>0</v>
      </c>
    </row>
    <row r="405" spans="2:6" ht="14.4" customHeight="1" x14ac:dyDescent="0.3">
      <c r="B405" s="739" t="str">
        <f>Affiliates!C409</f>
        <v>Total Other Income (Expenses)</v>
      </c>
      <c r="C405" s="757">
        <f>Affiliates!D409</f>
        <v>0</v>
      </c>
      <c r="D405" s="757">
        <f>Affiliates!F409</f>
        <v>0</v>
      </c>
      <c r="E405" s="757">
        <f>Affiliates!H409</f>
        <v>0</v>
      </c>
      <c r="F405" s="758">
        <f>Affiliates!J409</f>
        <v>0</v>
      </c>
    </row>
    <row r="406" spans="2:6" ht="14.4" customHeight="1" x14ac:dyDescent="0.3">
      <c r="B406" s="739" t="str">
        <f>Affiliates!C411</f>
        <v>Net Income Before Taxes</v>
      </c>
      <c r="C406" s="754">
        <f>Affiliates!D411</f>
        <v>0</v>
      </c>
      <c r="D406" s="754">
        <f>Affiliates!F411</f>
        <v>0</v>
      </c>
      <c r="E406" s="754">
        <f>Affiliates!H411</f>
        <v>0</v>
      </c>
      <c r="F406" s="755">
        <f>Affiliates!J411</f>
        <v>0</v>
      </c>
    </row>
    <row r="407" spans="2:6" ht="14.4" customHeight="1" x14ac:dyDescent="0.3">
      <c r="B407" s="739" t="str">
        <f>Affiliates!C412</f>
        <v>Income Taxes</v>
      </c>
      <c r="C407" s="757">
        <f>Affiliates!D412</f>
        <v>0</v>
      </c>
      <c r="D407" s="757">
        <f>Affiliates!F412</f>
        <v>0</v>
      </c>
      <c r="E407" s="757">
        <f>Affiliates!H412</f>
        <v>0</v>
      </c>
      <c r="F407" s="758">
        <f>Affiliates!J412</f>
        <v>0</v>
      </c>
    </row>
    <row r="408" spans="2:6" ht="14.4" customHeight="1" x14ac:dyDescent="0.3">
      <c r="B408" s="792" t="str">
        <f>Affiliates!C414</f>
        <v>NET INCOME AFTER TAXES</v>
      </c>
      <c r="C408" s="761">
        <f>Affiliates!D414</f>
        <v>0</v>
      </c>
      <c r="D408" s="761">
        <f>Affiliates!F414</f>
        <v>0</v>
      </c>
      <c r="E408" s="761">
        <f>Affiliates!H414</f>
        <v>0</v>
      </c>
      <c r="F408" s="762">
        <f>Affiliates!J414</f>
        <v>0</v>
      </c>
    </row>
    <row r="409" spans="2:6" ht="14.4" customHeight="1" x14ac:dyDescent="0.3">
      <c r="B409" s="739"/>
      <c r="C409" s="764"/>
      <c r="D409" s="764"/>
      <c r="E409" s="764"/>
      <c r="F409" s="765"/>
    </row>
    <row r="410" spans="2:6" ht="14.4" customHeight="1" x14ac:dyDescent="0.3">
      <c r="B410" s="793" t="str">
        <f>Affiliates!C416</f>
        <v>ADJUSTMENTS</v>
      </c>
      <c r="C410" s="735"/>
      <c r="D410" s="735"/>
      <c r="E410" s="735"/>
      <c r="F410" s="736"/>
    </row>
    <row r="411" spans="2:6" ht="14.4" customHeight="1" x14ac:dyDescent="0.3">
      <c r="B411" s="794" t="str">
        <f>Affiliates!C417</f>
        <v>Compensation of Officers</v>
      </c>
      <c r="C411" s="748">
        <f>Affiliates!D417</f>
        <v>0</v>
      </c>
      <c r="D411" s="748">
        <f>Affiliates!F417</f>
        <v>0</v>
      </c>
      <c r="E411" s="748">
        <f>Affiliates!H417</f>
        <v>0</v>
      </c>
      <c r="F411" s="749">
        <f>Affiliates!J417</f>
        <v>0</v>
      </c>
    </row>
    <row r="412" spans="2:6" ht="14.4" customHeight="1" x14ac:dyDescent="0.3">
      <c r="B412" s="795" t="str">
        <f>Affiliates!C418</f>
        <v>Depreciation/Amortization</v>
      </c>
      <c r="C412" s="773">
        <f>Affiliates!D418</f>
        <v>0</v>
      </c>
      <c r="D412" s="773">
        <f>Affiliates!F418</f>
        <v>0</v>
      </c>
      <c r="E412" s="773">
        <f>Affiliates!H418</f>
        <v>0</v>
      </c>
      <c r="F412" s="774">
        <f>Affiliates!J418</f>
        <v>0</v>
      </c>
    </row>
    <row r="413" spans="2:6" ht="14.4" customHeight="1" x14ac:dyDescent="0.3">
      <c r="B413" s="795" t="str">
        <f>Affiliates!C419</f>
        <v>Interest Expense</v>
      </c>
      <c r="C413" s="773">
        <f>Affiliates!D419</f>
        <v>0</v>
      </c>
      <c r="D413" s="773">
        <f>Affiliates!F419</f>
        <v>0</v>
      </c>
      <c r="E413" s="773">
        <f>Affiliates!H419</f>
        <v>0</v>
      </c>
      <c r="F413" s="774">
        <f>Affiliates!J419</f>
        <v>0</v>
      </c>
    </row>
    <row r="414" spans="2:6" ht="14.4" customHeight="1" x14ac:dyDescent="0.3">
      <c r="B414" s="795" t="str">
        <f>Affiliates!C420</f>
        <v>Rent Adjustment</v>
      </c>
      <c r="C414" s="773">
        <f>Affiliates!D420</f>
        <v>0</v>
      </c>
      <c r="D414" s="773">
        <f>Affiliates!F420</f>
        <v>0</v>
      </c>
      <c r="E414" s="773">
        <f>Affiliates!H420</f>
        <v>0</v>
      </c>
      <c r="F414" s="774">
        <f>Affiliates!J420</f>
        <v>0</v>
      </c>
    </row>
    <row r="415" spans="2:6" ht="14.4" customHeight="1" x14ac:dyDescent="0.3">
      <c r="B415" s="796" t="str">
        <f>Affiliates!C421</f>
        <v>Other</v>
      </c>
      <c r="C415" s="773">
        <f>Affiliates!D421</f>
        <v>0</v>
      </c>
      <c r="D415" s="773">
        <f>Affiliates!F421</f>
        <v>0</v>
      </c>
      <c r="E415" s="773">
        <f>Affiliates!H421</f>
        <v>0</v>
      </c>
      <c r="F415" s="774">
        <f>Affiliates!J421</f>
        <v>0</v>
      </c>
    </row>
    <row r="416" spans="2:6" ht="14.4" customHeight="1" x14ac:dyDescent="0.3">
      <c r="B416" s="796" t="str">
        <f>Affiliates!C422</f>
        <v>Other</v>
      </c>
      <c r="C416" s="773">
        <f>Affiliates!D422</f>
        <v>0</v>
      </c>
      <c r="D416" s="773">
        <f>Affiliates!F422</f>
        <v>0</v>
      </c>
      <c r="E416" s="773">
        <f>Affiliates!H422</f>
        <v>0</v>
      </c>
      <c r="F416" s="774">
        <f>Affiliates!J422</f>
        <v>0</v>
      </c>
    </row>
    <row r="417" spans="2:6" ht="14.4" customHeight="1" x14ac:dyDescent="0.3">
      <c r="B417" s="795" t="str">
        <f>Affiliates!C423</f>
        <v>Estimated Property Tax</v>
      </c>
      <c r="C417" s="751">
        <f>Affiliates!D423</f>
        <v>0</v>
      </c>
      <c r="D417" s="751">
        <f>Affiliates!F423</f>
        <v>0</v>
      </c>
      <c r="E417" s="751">
        <f>Affiliates!H423</f>
        <v>0</v>
      </c>
      <c r="F417" s="752">
        <f>Affiliates!J423</f>
        <v>0</v>
      </c>
    </row>
    <row r="418" spans="2:6" ht="14.4" customHeight="1" x14ac:dyDescent="0.3">
      <c r="B418" s="795"/>
      <c r="C418" s="735"/>
      <c r="D418" s="735"/>
      <c r="E418" s="735"/>
      <c r="F418" s="736"/>
    </row>
    <row r="419" spans="2:6" ht="14.4" customHeight="1" x14ac:dyDescent="0.3">
      <c r="B419" s="795" t="str">
        <f>Affiliates!C426</f>
        <v>Cash Available</v>
      </c>
      <c r="C419" s="781">
        <f>Affiliates!D426</f>
        <v>0</v>
      </c>
      <c r="D419" s="781">
        <f>Affiliates!F426</f>
        <v>0</v>
      </c>
      <c r="E419" s="781">
        <f>Affiliates!H426</f>
        <v>0</v>
      </c>
      <c r="F419" s="782">
        <f>Affiliates!J426</f>
        <v>0</v>
      </c>
    </row>
    <row r="420" spans="2:6" ht="14.4" customHeight="1" x14ac:dyDescent="0.3">
      <c r="B420" s="795"/>
      <c r="C420" s="735"/>
      <c r="D420" s="735"/>
      <c r="E420" s="735"/>
      <c r="F420" s="736"/>
    </row>
    <row r="421" spans="2:6" ht="14.4" customHeight="1" x14ac:dyDescent="0.3">
      <c r="B421" s="739" t="str">
        <f>Affiliates!C428</f>
        <v>Existing Monthly Debt</v>
      </c>
      <c r="C421" s="711">
        <f>Affiliates!D428</f>
        <v>0</v>
      </c>
      <c r="D421" s="711">
        <f>Affiliates!F428</f>
        <v>0</v>
      </c>
      <c r="E421" s="711">
        <f>Affiliates!H428</f>
        <v>0</v>
      </c>
      <c r="F421" s="797">
        <f>Affiliates!J428</f>
        <v>0</v>
      </c>
    </row>
    <row r="422" spans="2:6" ht="14.4" customHeight="1" x14ac:dyDescent="0.3">
      <c r="B422" s="739" t="str">
        <f>Affiliates!C429</f>
        <v>Existing Debt</v>
      </c>
      <c r="C422" s="754">
        <f>Affiliates!D429</f>
        <v>0</v>
      </c>
      <c r="D422" s="754">
        <f>Affiliates!F429</f>
        <v>0</v>
      </c>
      <c r="E422" s="754">
        <f>Affiliates!H429</f>
        <v>0</v>
      </c>
      <c r="F422" s="755">
        <f>Affiliates!J429</f>
        <v>0</v>
      </c>
    </row>
    <row r="423" spans="2:6" ht="14.4" customHeight="1" x14ac:dyDescent="0.3">
      <c r="B423" s="734"/>
      <c r="C423" s="735"/>
      <c r="D423" s="735"/>
      <c r="E423" s="735"/>
      <c r="F423" s="736"/>
    </row>
    <row r="424" spans="2:6" ht="14.4" customHeight="1" x14ac:dyDescent="0.3">
      <c r="B424" s="792" t="str">
        <f>Affiliates!C431</f>
        <v>DCR</v>
      </c>
      <c r="C424" s="784">
        <f>Affiliates!D431</f>
        <v>0</v>
      </c>
      <c r="D424" s="784">
        <f>Affiliates!F431</f>
        <v>0</v>
      </c>
      <c r="E424" s="784">
        <f>Affiliates!H431</f>
        <v>0</v>
      </c>
      <c r="F424" s="785">
        <f>Affiliates!J431</f>
        <v>0</v>
      </c>
    </row>
    <row r="425" spans="2:6" ht="14.4" customHeight="1" thickBot="1" x14ac:dyDescent="0.35">
      <c r="B425" s="787"/>
      <c r="C425" s="788"/>
      <c r="D425" s="788"/>
      <c r="E425" s="788"/>
      <c r="F425" s="789"/>
    </row>
    <row r="426" spans="2:6" ht="14.4" customHeight="1" x14ac:dyDescent="0.3"/>
    <row r="427" spans="2:6" ht="14.4" customHeight="1" thickBot="1" x14ac:dyDescent="0.35"/>
    <row r="428" spans="2:6" ht="14.4" customHeight="1" x14ac:dyDescent="0.3">
      <c r="B428" s="661" t="s">
        <v>453</v>
      </c>
      <c r="C428" s="662"/>
      <c r="D428" s="662"/>
      <c r="E428" s="662"/>
      <c r="F428" s="663"/>
    </row>
    <row r="429" spans="2:6" ht="14.4" customHeight="1" thickBot="1" x14ac:dyDescent="0.35">
      <c r="B429" s="1296"/>
      <c r="C429" s="1297"/>
      <c r="D429" s="1297"/>
      <c r="E429" s="1297"/>
      <c r="F429" s="1298"/>
    </row>
    <row r="430" spans="2:6" ht="14.4" customHeight="1" x14ac:dyDescent="0.3">
      <c r="B430" s="1144" t="str">
        <f>Affiliates!B435</f>
        <v>{Insert business name which represents Affiliate 8}</v>
      </c>
      <c r="C430" s="1145"/>
      <c r="D430" s="1145"/>
      <c r="E430" s="1145"/>
      <c r="F430" s="1146"/>
    </row>
    <row r="431" spans="2:6" ht="14.4" customHeight="1" x14ac:dyDescent="0.3">
      <c r="B431" s="734"/>
      <c r="C431" s="735"/>
      <c r="D431" s="735"/>
      <c r="E431" s="735"/>
      <c r="F431" s="736"/>
    </row>
    <row r="432" spans="2:6" ht="14.4" customHeight="1" x14ac:dyDescent="0.3">
      <c r="B432" s="739"/>
      <c r="C432" s="740">
        <f>Affiliates!D437</f>
        <v>45291</v>
      </c>
      <c r="D432" s="740">
        <f>Affiliates!F437</f>
        <v>45657</v>
      </c>
      <c r="E432" s="740">
        <f>Affiliates!H437</f>
        <v>46022</v>
      </c>
      <c r="F432" s="741">
        <f>Affiliates!J437</f>
        <v>46112</v>
      </c>
    </row>
    <row r="433" spans="2:6" ht="14.4" customHeight="1" x14ac:dyDescent="0.3">
      <c r="B433" s="743"/>
      <c r="C433" s="744"/>
      <c r="D433" s="744"/>
      <c r="E433" s="744"/>
      <c r="F433" s="745">
        <f>Affiliates!J441</f>
        <v>0</v>
      </c>
    </row>
    <row r="434" spans="2:6" ht="14.4" customHeight="1" x14ac:dyDescent="0.3">
      <c r="B434" s="739" t="str">
        <f>Affiliates!C442</f>
        <v>Total Revenue</v>
      </c>
      <c r="C434" s="748">
        <f>Affiliates!D442</f>
        <v>0</v>
      </c>
      <c r="D434" s="748">
        <f>Affiliates!F442</f>
        <v>0</v>
      </c>
      <c r="E434" s="748">
        <f>Affiliates!H442</f>
        <v>0</v>
      </c>
      <c r="F434" s="749">
        <f>Affiliates!J442</f>
        <v>0</v>
      </c>
    </row>
    <row r="435" spans="2:6" ht="14.4" customHeight="1" x14ac:dyDescent="0.3">
      <c r="B435" s="739" t="str">
        <f>Affiliates!C443</f>
        <v>Total COGS</v>
      </c>
      <c r="C435" s="751">
        <f>Affiliates!D443</f>
        <v>0</v>
      </c>
      <c r="D435" s="751">
        <f>Affiliates!F443</f>
        <v>0</v>
      </c>
      <c r="E435" s="751">
        <f>Affiliates!H443</f>
        <v>0</v>
      </c>
      <c r="F435" s="752">
        <f>Affiliates!J443</f>
        <v>0</v>
      </c>
    </row>
    <row r="436" spans="2:6" ht="14.4" customHeight="1" x14ac:dyDescent="0.3">
      <c r="B436" s="739" t="str">
        <f>Affiliates!C444</f>
        <v>Total Gross Margin</v>
      </c>
      <c r="C436" s="754">
        <f>Affiliates!D444</f>
        <v>0</v>
      </c>
      <c r="D436" s="754">
        <f>Affiliates!F444</f>
        <v>0</v>
      </c>
      <c r="E436" s="754">
        <f>Affiliates!H444</f>
        <v>0</v>
      </c>
      <c r="F436" s="755">
        <f>Affiliates!J444</f>
        <v>0</v>
      </c>
    </row>
    <row r="437" spans="2:6" ht="14.4" customHeight="1" x14ac:dyDescent="0.3">
      <c r="B437" s="739" t="str">
        <f>Affiliates!C459</f>
        <v>Total Operating Expenses</v>
      </c>
      <c r="C437" s="757">
        <f>Affiliates!D459</f>
        <v>0</v>
      </c>
      <c r="D437" s="757">
        <f>Affiliates!F459</f>
        <v>0</v>
      </c>
      <c r="E437" s="757">
        <f>Affiliates!H459</f>
        <v>0</v>
      </c>
      <c r="F437" s="758">
        <f>Affiliates!J459</f>
        <v>0</v>
      </c>
    </row>
    <row r="438" spans="2:6" ht="14.4" customHeight="1" x14ac:dyDescent="0.3">
      <c r="B438" s="792" t="str">
        <f>Affiliates!C461</f>
        <v>Ordinary Income</v>
      </c>
      <c r="C438" s="761">
        <f>Affiliates!D461</f>
        <v>0</v>
      </c>
      <c r="D438" s="761">
        <f>Affiliates!F461</f>
        <v>0</v>
      </c>
      <c r="E438" s="761">
        <f>Affiliates!H461</f>
        <v>0</v>
      </c>
      <c r="F438" s="762">
        <f>Affiliates!J461</f>
        <v>0</v>
      </c>
    </row>
    <row r="439" spans="2:6" ht="14.4" customHeight="1" x14ac:dyDescent="0.3">
      <c r="B439" s="739" t="str">
        <f>Affiliates!C465</f>
        <v>Total Other Income (Expenses)</v>
      </c>
      <c r="C439" s="757">
        <f>Affiliates!D465</f>
        <v>0</v>
      </c>
      <c r="D439" s="757">
        <f>Affiliates!F465</f>
        <v>0</v>
      </c>
      <c r="E439" s="757">
        <f>Affiliates!H465</f>
        <v>0</v>
      </c>
      <c r="F439" s="758">
        <f>Affiliates!J465</f>
        <v>0</v>
      </c>
    </row>
    <row r="440" spans="2:6" ht="14.4" customHeight="1" x14ac:dyDescent="0.3">
      <c r="B440" s="739" t="str">
        <f>Affiliates!C467</f>
        <v>Net Income Before Taxes</v>
      </c>
      <c r="C440" s="754">
        <f>Affiliates!D467</f>
        <v>0</v>
      </c>
      <c r="D440" s="754">
        <f>Affiliates!F467</f>
        <v>0</v>
      </c>
      <c r="E440" s="754">
        <f>Affiliates!H467</f>
        <v>0</v>
      </c>
      <c r="F440" s="755">
        <f>Affiliates!J467</f>
        <v>0</v>
      </c>
    </row>
    <row r="441" spans="2:6" ht="14.4" customHeight="1" x14ac:dyDescent="0.3">
      <c r="B441" s="739" t="str">
        <f>Affiliates!C468</f>
        <v>Income Taxes</v>
      </c>
      <c r="C441" s="757">
        <f>Affiliates!D468</f>
        <v>0</v>
      </c>
      <c r="D441" s="757">
        <f>Affiliates!F468</f>
        <v>0</v>
      </c>
      <c r="E441" s="757">
        <f>Affiliates!H468</f>
        <v>0</v>
      </c>
      <c r="F441" s="758">
        <f>Affiliates!J468</f>
        <v>0</v>
      </c>
    </row>
    <row r="442" spans="2:6" ht="14.4" customHeight="1" x14ac:dyDescent="0.3">
      <c r="B442" s="792" t="str">
        <f>Affiliates!C470</f>
        <v>NET INCOME AFTER TAXES</v>
      </c>
      <c r="C442" s="761">
        <f>Affiliates!D470</f>
        <v>0</v>
      </c>
      <c r="D442" s="761">
        <f>Affiliates!F470</f>
        <v>0</v>
      </c>
      <c r="E442" s="761">
        <f>Affiliates!H470</f>
        <v>0</v>
      </c>
      <c r="F442" s="762">
        <f>Affiliates!J470</f>
        <v>0</v>
      </c>
    </row>
    <row r="443" spans="2:6" ht="14.4" customHeight="1" x14ac:dyDescent="0.3">
      <c r="B443" s="739"/>
      <c r="C443" s="764"/>
      <c r="D443" s="764"/>
      <c r="E443" s="764"/>
      <c r="F443" s="765"/>
    </row>
    <row r="444" spans="2:6" ht="14.4" customHeight="1" x14ac:dyDescent="0.3">
      <c r="B444" s="793" t="str">
        <f>Affiliates!C472</f>
        <v>ADJUSTMENTS</v>
      </c>
      <c r="C444" s="735"/>
      <c r="D444" s="735"/>
      <c r="E444" s="735"/>
      <c r="F444" s="736"/>
    </row>
    <row r="445" spans="2:6" ht="14.4" customHeight="1" x14ac:dyDescent="0.3">
      <c r="B445" s="794" t="str">
        <f>Affiliates!C473</f>
        <v>Compensation of Officers</v>
      </c>
      <c r="C445" s="748">
        <f>Affiliates!D473</f>
        <v>0</v>
      </c>
      <c r="D445" s="748">
        <f>Affiliates!F473</f>
        <v>0</v>
      </c>
      <c r="E445" s="748">
        <f>Affiliates!H473</f>
        <v>0</v>
      </c>
      <c r="F445" s="749">
        <f>Affiliates!J473</f>
        <v>0</v>
      </c>
    </row>
    <row r="446" spans="2:6" ht="14.4" customHeight="1" x14ac:dyDescent="0.3">
      <c r="B446" s="795" t="str">
        <f>Affiliates!C474</f>
        <v>Depreciation/Amortization</v>
      </c>
      <c r="C446" s="773">
        <f>Affiliates!D474</f>
        <v>0</v>
      </c>
      <c r="D446" s="773">
        <f>Affiliates!F474</f>
        <v>0</v>
      </c>
      <c r="E446" s="773">
        <f>Affiliates!H474</f>
        <v>0</v>
      </c>
      <c r="F446" s="774">
        <f>Affiliates!J474</f>
        <v>0</v>
      </c>
    </row>
    <row r="447" spans="2:6" ht="14.4" customHeight="1" x14ac:dyDescent="0.3">
      <c r="B447" s="795" t="str">
        <f>Affiliates!C475</f>
        <v>Interest Expense</v>
      </c>
      <c r="C447" s="773">
        <f>Affiliates!D475</f>
        <v>0</v>
      </c>
      <c r="D447" s="773">
        <f>Affiliates!F475</f>
        <v>0</v>
      </c>
      <c r="E447" s="773">
        <f>Affiliates!H475</f>
        <v>0</v>
      </c>
      <c r="F447" s="774">
        <f>Affiliates!J475</f>
        <v>0</v>
      </c>
    </row>
    <row r="448" spans="2:6" ht="14.4" customHeight="1" x14ac:dyDescent="0.3">
      <c r="B448" s="795" t="str">
        <f>Affiliates!C476</f>
        <v>Rent Adjustment</v>
      </c>
      <c r="C448" s="773">
        <f>Affiliates!D476</f>
        <v>0</v>
      </c>
      <c r="D448" s="773">
        <f>Affiliates!F476</f>
        <v>0</v>
      </c>
      <c r="E448" s="773">
        <f>Affiliates!H476</f>
        <v>0</v>
      </c>
      <c r="F448" s="774">
        <f>Affiliates!J476</f>
        <v>0</v>
      </c>
    </row>
    <row r="449" spans="2:6" ht="14.4" customHeight="1" x14ac:dyDescent="0.3">
      <c r="B449" s="796" t="str">
        <f>Affiliates!C477</f>
        <v>Other</v>
      </c>
      <c r="C449" s="773">
        <f>Affiliates!D477</f>
        <v>0</v>
      </c>
      <c r="D449" s="773">
        <f>Affiliates!F477</f>
        <v>0</v>
      </c>
      <c r="E449" s="773">
        <f>Affiliates!H477</f>
        <v>0</v>
      </c>
      <c r="F449" s="774">
        <f>Affiliates!J477</f>
        <v>0</v>
      </c>
    </row>
    <row r="450" spans="2:6" ht="14.4" customHeight="1" x14ac:dyDescent="0.3">
      <c r="B450" s="796" t="str">
        <f>Affiliates!C478</f>
        <v>Other</v>
      </c>
      <c r="C450" s="773">
        <f>Affiliates!D478</f>
        <v>0</v>
      </c>
      <c r="D450" s="773">
        <f>Affiliates!F478</f>
        <v>0</v>
      </c>
      <c r="E450" s="773">
        <f>Affiliates!H478</f>
        <v>0</v>
      </c>
      <c r="F450" s="774">
        <f>Affiliates!J478</f>
        <v>0</v>
      </c>
    </row>
    <row r="451" spans="2:6" ht="14.4" customHeight="1" x14ac:dyDescent="0.3">
      <c r="B451" s="795" t="str">
        <f>Affiliates!C479</f>
        <v>Estimated Property Tax</v>
      </c>
      <c r="C451" s="751">
        <f>Affiliates!D479</f>
        <v>0</v>
      </c>
      <c r="D451" s="751">
        <f>Affiliates!F479</f>
        <v>0</v>
      </c>
      <c r="E451" s="751">
        <f>Affiliates!H479</f>
        <v>0</v>
      </c>
      <c r="F451" s="752">
        <f>Affiliates!J479</f>
        <v>0</v>
      </c>
    </row>
    <row r="452" spans="2:6" ht="14.4" customHeight="1" x14ac:dyDescent="0.3">
      <c r="B452" s="795"/>
      <c r="C452" s="735"/>
      <c r="D452" s="735"/>
      <c r="E452" s="735"/>
      <c r="F452" s="736"/>
    </row>
    <row r="453" spans="2:6" ht="14.4" customHeight="1" x14ac:dyDescent="0.3">
      <c r="B453" s="795" t="str">
        <f>Affiliates!C482</f>
        <v>Cash Available</v>
      </c>
      <c r="C453" s="781">
        <f>Affiliates!D482</f>
        <v>0</v>
      </c>
      <c r="D453" s="781">
        <f>Affiliates!F482</f>
        <v>0</v>
      </c>
      <c r="E453" s="781">
        <f>Affiliates!H482</f>
        <v>0</v>
      </c>
      <c r="F453" s="782">
        <f>Affiliates!J482</f>
        <v>0</v>
      </c>
    </row>
    <row r="454" spans="2:6" ht="14.4" customHeight="1" x14ac:dyDescent="0.3">
      <c r="B454" s="795"/>
      <c r="C454" s="735"/>
      <c r="D454" s="735"/>
      <c r="E454" s="735"/>
      <c r="F454" s="736"/>
    </row>
    <row r="455" spans="2:6" ht="14.4" customHeight="1" x14ac:dyDescent="0.3">
      <c r="B455" s="739" t="str">
        <f>Affiliates!C484</f>
        <v>Existing Monthly Debt</v>
      </c>
      <c r="C455" s="711">
        <f>Affiliates!D484</f>
        <v>0</v>
      </c>
      <c r="D455" s="711">
        <f>Affiliates!F484</f>
        <v>0</v>
      </c>
      <c r="E455" s="711">
        <f>Affiliates!H484</f>
        <v>0</v>
      </c>
      <c r="F455" s="797">
        <f>Affiliates!J484</f>
        <v>0</v>
      </c>
    </row>
    <row r="456" spans="2:6" ht="14.4" customHeight="1" x14ac:dyDescent="0.3">
      <c r="B456" s="739" t="str">
        <f>Affiliates!C485</f>
        <v>Existing Debt</v>
      </c>
      <c r="C456" s="754">
        <f>Affiliates!D485</f>
        <v>0</v>
      </c>
      <c r="D456" s="754">
        <f>Affiliates!F485</f>
        <v>0</v>
      </c>
      <c r="E456" s="754">
        <f>Affiliates!H485</f>
        <v>0</v>
      </c>
      <c r="F456" s="755">
        <f>Affiliates!J485</f>
        <v>0</v>
      </c>
    </row>
    <row r="457" spans="2:6" ht="14.4" customHeight="1" x14ac:dyDescent="0.3">
      <c r="B457" s="734"/>
      <c r="C457" s="735"/>
      <c r="D457" s="735"/>
      <c r="E457" s="735"/>
      <c r="F457" s="736"/>
    </row>
    <row r="458" spans="2:6" ht="14.4" customHeight="1" x14ac:dyDescent="0.3">
      <c r="B458" s="792" t="str">
        <f>Affiliates!C487</f>
        <v>DCR</v>
      </c>
      <c r="C458" s="784">
        <f>Affiliates!D487</f>
        <v>0</v>
      </c>
      <c r="D458" s="784">
        <f>Affiliates!F487</f>
        <v>0</v>
      </c>
      <c r="E458" s="784">
        <f>Affiliates!H487</f>
        <v>0</v>
      </c>
      <c r="F458" s="785">
        <f>Affiliates!J487</f>
        <v>0</v>
      </c>
    </row>
    <row r="459" spans="2:6" ht="14.4" customHeight="1" thickBot="1" x14ac:dyDescent="0.35">
      <c r="B459" s="787"/>
      <c r="C459" s="788"/>
      <c r="D459" s="788"/>
      <c r="E459" s="788"/>
      <c r="F459" s="789"/>
    </row>
    <row r="460" spans="2:6" ht="14.4" customHeight="1" x14ac:dyDescent="0.3"/>
    <row r="461" spans="2:6" ht="14.4" customHeight="1" thickBot="1" x14ac:dyDescent="0.35"/>
    <row r="462" spans="2:6" ht="14.4" customHeight="1" x14ac:dyDescent="0.3">
      <c r="B462" s="661" t="s">
        <v>454</v>
      </c>
      <c r="C462" s="662"/>
      <c r="D462" s="662"/>
      <c r="E462" s="662"/>
      <c r="F462" s="663"/>
    </row>
    <row r="463" spans="2:6" ht="14.4" customHeight="1" thickBot="1" x14ac:dyDescent="0.35">
      <c r="B463" s="1296"/>
      <c r="C463" s="1297"/>
      <c r="D463" s="1297"/>
      <c r="E463" s="1297"/>
      <c r="F463" s="1298"/>
    </row>
    <row r="464" spans="2:6" ht="14.4" customHeight="1" x14ac:dyDescent="0.3">
      <c r="B464" s="1144" t="str">
        <f>Affiliates!B491</f>
        <v>{Insert business name which represents Affiliate 9}</v>
      </c>
      <c r="C464" s="1145"/>
      <c r="D464" s="1145"/>
      <c r="E464" s="1145"/>
      <c r="F464" s="1146"/>
    </row>
    <row r="465" spans="2:6" ht="14.4" customHeight="1" x14ac:dyDescent="0.3">
      <c r="B465" s="734"/>
      <c r="C465" s="735"/>
      <c r="D465" s="735"/>
      <c r="E465" s="735"/>
      <c r="F465" s="736"/>
    </row>
    <row r="466" spans="2:6" ht="14.4" customHeight="1" x14ac:dyDescent="0.3">
      <c r="B466" s="739"/>
      <c r="C466" s="740">
        <f>Affiliates!D493</f>
        <v>45291</v>
      </c>
      <c r="D466" s="740">
        <f>Affiliates!F493</f>
        <v>45657</v>
      </c>
      <c r="E466" s="740">
        <f>Affiliates!H493</f>
        <v>46022</v>
      </c>
      <c r="F466" s="741">
        <f>Affiliates!J493</f>
        <v>46112</v>
      </c>
    </row>
    <row r="467" spans="2:6" ht="14.4" customHeight="1" x14ac:dyDescent="0.3">
      <c r="B467" s="743"/>
      <c r="C467" s="744"/>
      <c r="D467" s="744"/>
      <c r="E467" s="744"/>
      <c r="F467" s="745">
        <f>Affiliates!J497</f>
        <v>0</v>
      </c>
    </row>
    <row r="468" spans="2:6" ht="14.4" customHeight="1" x14ac:dyDescent="0.3">
      <c r="B468" s="739" t="str">
        <f>Affiliates!C498</f>
        <v>Total Revenue</v>
      </c>
      <c r="C468" s="748">
        <f>Affiliates!D498</f>
        <v>0</v>
      </c>
      <c r="D468" s="748">
        <f>Affiliates!F498</f>
        <v>0</v>
      </c>
      <c r="E468" s="748">
        <f>Affiliates!H498</f>
        <v>0</v>
      </c>
      <c r="F468" s="749">
        <f>Affiliates!J498</f>
        <v>0</v>
      </c>
    </row>
    <row r="469" spans="2:6" ht="14.4" customHeight="1" x14ac:dyDescent="0.3">
      <c r="B469" s="739" t="str">
        <f>Affiliates!C499</f>
        <v>Total COGS</v>
      </c>
      <c r="C469" s="751">
        <f>Affiliates!D499</f>
        <v>0</v>
      </c>
      <c r="D469" s="751">
        <f>Affiliates!F499</f>
        <v>0</v>
      </c>
      <c r="E469" s="751">
        <f>Affiliates!H499</f>
        <v>0</v>
      </c>
      <c r="F469" s="752">
        <f>Affiliates!J499</f>
        <v>0</v>
      </c>
    </row>
    <row r="470" spans="2:6" ht="14.4" customHeight="1" x14ac:dyDescent="0.3">
      <c r="B470" s="739" t="str">
        <f>Affiliates!C500</f>
        <v>Total Gross Margin</v>
      </c>
      <c r="C470" s="754">
        <f>Affiliates!D500</f>
        <v>0</v>
      </c>
      <c r="D470" s="754">
        <f>Affiliates!F500</f>
        <v>0</v>
      </c>
      <c r="E470" s="754">
        <f>Affiliates!H500</f>
        <v>0</v>
      </c>
      <c r="F470" s="755">
        <f>Affiliates!J500</f>
        <v>0</v>
      </c>
    </row>
    <row r="471" spans="2:6" ht="14.4" customHeight="1" x14ac:dyDescent="0.3">
      <c r="B471" s="739" t="str">
        <f>Affiliates!C515</f>
        <v>Total Operating Expenses</v>
      </c>
      <c r="C471" s="757">
        <f>Affiliates!D515</f>
        <v>0</v>
      </c>
      <c r="D471" s="757">
        <f>Affiliates!F515</f>
        <v>0</v>
      </c>
      <c r="E471" s="757">
        <f>Affiliates!H515</f>
        <v>0</v>
      </c>
      <c r="F471" s="758">
        <f>Affiliates!J515</f>
        <v>0</v>
      </c>
    </row>
    <row r="472" spans="2:6" ht="14.4" customHeight="1" x14ac:dyDescent="0.3">
      <c r="B472" s="792" t="str">
        <f>Affiliates!C517</f>
        <v>Ordinary Income</v>
      </c>
      <c r="C472" s="761">
        <f>Affiliates!D517</f>
        <v>0</v>
      </c>
      <c r="D472" s="761">
        <f>Affiliates!F517</f>
        <v>0</v>
      </c>
      <c r="E472" s="761">
        <f>Affiliates!H517</f>
        <v>0</v>
      </c>
      <c r="F472" s="762">
        <f>Affiliates!J517</f>
        <v>0</v>
      </c>
    </row>
    <row r="473" spans="2:6" ht="14.4" customHeight="1" x14ac:dyDescent="0.3">
      <c r="B473" s="739" t="str">
        <f>Affiliates!C521</f>
        <v>Total Other Income (Expenses)</v>
      </c>
      <c r="C473" s="757">
        <f>Affiliates!D521</f>
        <v>0</v>
      </c>
      <c r="D473" s="757">
        <f>Affiliates!F521</f>
        <v>0</v>
      </c>
      <c r="E473" s="757">
        <f>Affiliates!H521</f>
        <v>0</v>
      </c>
      <c r="F473" s="758">
        <f>Affiliates!J521</f>
        <v>0</v>
      </c>
    </row>
    <row r="474" spans="2:6" ht="14.4" customHeight="1" x14ac:dyDescent="0.3">
      <c r="B474" s="739" t="str">
        <f>Affiliates!C523</f>
        <v>Net Income Before Taxes</v>
      </c>
      <c r="C474" s="754">
        <f>Affiliates!D523</f>
        <v>0</v>
      </c>
      <c r="D474" s="754">
        <f>Affiliates!F523</f>
        <v>0</v>
      </c>
      <c r="E474" s="754">
        <f>Affiliates!H523</f>
        <v>0</v>
      </c>
      <c r="F474" s="755">
        <f>Affiliates!J523</f>
        <v>0</v>
      </c>
    </row>
    <row r="475" spans="2:6" ht="14.4" customHeight="1" x14ac:dyDescent="0.3">
      <c r="B475" s="739" t="str">
        <f>Affiliates!C524</f>
        <v>Income Taxes</v>
      </c>
      <c r="C475" s="757">
        <f>Affiliates!D524</f>
        <v>0</v>
      </c>
      <c r="D475" s="757">
        <f>Affiliates!F524</f>
        <v>0</v>
      </c>
      <c r="E475" s="757">
        <f>Affiliates!H524</f>
        <v>0</v>
      </c>
      <c r="F475" s="758">
        <f>Affiliates!J524</f>
        <v>0</v>
      </c>
    </row>
    <row r="476" spans="2:6" ht="14.4" customHeight="1" x14ac:dyDescent="0.3">
      <c r="B476" s="792" t="str">
        <f>Affiliates!C526</f>
        <v>NET INCOME AFTER TAXES</v>
      </c>
      <c r="C476" s="761">
        <f>Affiliates!D526</f>
        <v>0</v>
      </c>
      <c r="D476" s="761">
        <f>Affiliates!F526</f>
        <v>0</v>
      </c>
      <c r="E476" s="761">
        <f>Affiliates!H526</f>
        <v>0</v>
      </c>
      <c r="F476" s="762">
        <f>Affiliates!J526</f>
        <v>0</v>
      </c>
    </row>
    <row r="477" spans="2:6" ht="14.4" customHeight="1" x14ac:dyDescent="0.3">
      <c r="B477" s="739"/>
      <c r="C477" s="764"/>
      <c r="D477" s="764"/>
      <c r="E477" s="764"/>
      <c r="F477" s="765"/>
    </row>
    <row r="478" spans="2:6" ht="14.4" customHeight="1" x14ac:dyDescent="0.3">
      <c r="B478" s="793" t="str">
        <f>Affiliates!C528</f>
        <v>ADJUSTMENTS</v>
      </c>
      <c r="C478" s="735"/>
      <c r="D478" s="735"/>
      <c r="E478" s="735"/>
      <c r="F478" s="736"/>
    </row>
    <row r="479" spans="2:6" ht="14.4" customHeight="1" x14ac:dyDescent="0.3">
      <c r="B479" s="794" t="str">
        <f>Affiliates!C529</f>
        <v>Compensation of Officers</v>
      </c>
      <c r="C479" s="748">
        <f>Affiliates!D529</f>
        <v>0</v>
      </c>
      <c r="D479" s="748">
        <f>Affiliates!F529</f>
        <v>0</v>
      </c>
      <c r="E479" s="748">
        <f>Affiliates!H529</f>
        <v>0</v>
      </c>
      <c r="F479" s="749">
        <f>Affiliates!J529</f>
        <v>0</v>
      </c>
    </row>
    <row r="480" spans="2:6" ht="14.4" customHeight="1" x14ac:dyDescent="0.3">
      <c r="B480" s="795" t="str">
        <f>Affiliates!C530</f>
        <v>Depreciation/Amortization</v>
      </c>
      <c r="C480" s="773">
        <f>Affiliates!D530</f>
        <v>0</v>
      </c>
      <c r="D480" s="773">
        <f>Affiliates!F530</f>
        <v>0</v>
      </c>
      <c r="E480" s="773">
        <f>Affiliates!H530</f>
        <v>0</v>
      </c>
      <c r="F480" s="774">
        <f>Affiliates!J530</f>
        <v>0</v>
      </c>
    </row>
    <row r="481" spans="2:6" ht="14.4" customHeight="1" x14ac:dyDescent="0.3">
      <c r="B481" s="795" t="str">
        <f>Affiliates!C531</f>
        <v>Interest Expense</v>
      </c>
      <c r="C481" s="773">
        <f>Affiliates!D531</f>
        <v>0</v>
      </c>
      <c r="D481" s="773">
        <f>Affiliates!F531</f>
        <v>0</v>
      </c>
      <c r="E481" s="773">
        <f>Affiliates!H531</f>
        <v>0</v>
      </c>
      <c r="F481" s="774">
        <f>Affiliates!J531</f>
        <v>0</v>
      </c>
    </row>
    <row r="482" spans="2:6" ht="14.4" customHeight="1" x14ac:dyDescent="0.3">
      <c r="B482" s="795" t="str">
        <f>Affiliates!C532</f>
        <v>Rent Adjustment</v>
      </c>
      <c r="C482" s="773">
        <f>Affiliates!D532</f>
        <v>0</v>
      </c>
      <c r="D482" s="773">
        <f>Affiliates!F532</f>
        <v>0</v>
      </c>
      <c r="E482" s="773">
        <f>Affiliates!H532</f>
        <v>0</v>
      </c>
      <c r="F482" s="774">
        <f>Affiliates!J532</f>
        <v>0</v>
      </c>
    </row>
    <row r="483" spans="2:6" ht="14.4" customHeight="1" x14ac:dyDescent="0.3">
      <c r="B483" s="796" t="str">
        <f>Affiliates!C533</f>
        <v>Other</v>
      </c>
      <c r="C483" s="773">
        <f>Affiliates!D533</f>
        <v>0</v>
      </c>
      <c r="D483" s="773">
        <f>Affiliates!F533</f>
        <v>0</v>
      </c>
      <c r="E483" s="773">
        <f>Affiliates!H533</f>
        <v>0</v>
      </c>
      <c r="F483" s="774">
        <f>Affiliates!J533</f>
        <v>0</v>
      </c>
    </row>
    <row r="484" spans="2:6" ht="14.4" customHeight="1" x14ac:dyDescent="0.3">
      <c r="B484" s="796" t="str">
        <f>Affiliates!C534</f>
        <v>Other</v>
      </c>
      <c r="C484" s="773">
        <f>Affiliates!D534</f>
        <v>0</v>
      </c>
      <c r="D484" s="773">
        <f>Affiliates!F534</f>
        <v>0</v>
      </c>
      <c r="E484" s="773">
        <f>Affiliates!H534</f>
        <v>0</v>
      </c>
      <c r="F484" s="774">
        <f>Affiliates!J534</f>
        <v>0</v>
      </c>
    </row>
    <row r="485" spans="2:6" ht="14.4" customHeight="1" x14ac:dyDescent="0.3">
      <c r="B485" s="795" t="str">
        <f>Affiliates!C535</f>
        <v>Estimated Property Tax</v>
      </c>
      <c r="C485" s="751">
        <f>Affiliates!D535</f>
        <v>0</v>
      </c>
      <c r="D485" s="751">
        <f>Affiliates!F535</f>
        <v>0</v>
      </c>
      <c r="E485" s="751">
        <f>Affiliates!H535</f>
        <v>0</v>
      </c>
      <c r="F485" s="752">
        <f>Affiliates!J535</f>
        <v>0</v>
      </c>
    </row>
    <row r="486" spans="2:6" ht="14.4" customHeight="1" x14ac:dyDescent="0.3">
      <c r="B486" s="795"/>
      <c r="C486" s="735"/>
      <c r="D486" s="735"/>
      <c r="E486" s="735"/>
      <c r="F486" s="736"/>
    </row>
    <row r="487" spans="2:6" ht="14.4" customHeight="1" x14ac:dyDescent="0.3">
      <c r="B487" s="795" t="str">
        <f>Affiliates!C538</f>
        <v>Cash Available</v>
      </c>
      <c r="C487" s="781">
        <f>Affiliates!D538</f>
        <v>0</v>
      </c>
      <c r="D487" s="781">
        <f>Affiliates!F538</f>
        <v>0</v>
      </c>
      <c r="E487" s="781">
        <f>Affiliates!H538</f>
        <v>0</v>
      </c>
      <c r="F487" s="782">
        <f>Affiliates!J538</f>
        <v>0</v>
      </c>
    </row>
    <row r="488" spans="2:6" ht="14.4" customHeight="1" x14ac:dyDescent="0.3">
      <c r="B488" s="795"/>
      <c r="C488" s="735"/>
      <c r="D488" s="735"/>
      <c r="E488" s="735"/>
      <c r="F488" s="736"/>
    </row>
    <row r="489" spans="2:6" ht="14.4" customHeight="1" x14ac:dyDescent="0.3">
      <c r="B489" s="739" t="str">
        <f>Affiliates!C540</f>
        <v>Existing Monthly Debt</v>
      </c>
      <c r="C489" s="711">
        <f>Affiliates!D540</f>
        <v>0</v>
      </c>
      <c r="D489" s="711">
        <f>Affiliates!F540</f>
        <v>0</v>
      </c>
      <c r="E489" s="711">
        <f>Affiliates!H540</f>
        <v>0</v>
      </c>
      <c r="F489" s="797">
        <f>Affiliates!J540</f>
        <v>0</v>
      </c>
    </row>
    <row r="490" spans="2:6" ht="14.4" customHeight="1" x14ac:dyDescent="0.3">
      <c r="B490" s="739" t="str">
        <f>Affiliates!C541</f>
        <v>Existing Debt</v>
      </c>
      <c r="C490" s="754">
        <f>Affiliates!D541</f>
        <v>0</v>
      </c>
      <c r="D490" s="754">
        <f>Affiliates!F541</f>
        <v>0</v>
      </c>
      <c r="E490" s="754">
        <f>Affiliates!H541</f>
        <v>0</v>
      </c>
      <c r="F490" s="755">
        <f>Affiliates!J541</f>
        <v>0</v>
      </c>
    </row>
    <row r="491" spans="2:6" ht="14.4" customHeight="1" x14ac:dyDescent="0.3">
      <c r="B491" s="734"/>
      <c r="C491" s="735"/>
      <c r="D491" s="735"/>
      <c r="E491" s="735"/>
      <c r="F491" s="736"/>
    </row>
    <row r="492" spans="2:6" ht="14.4" customHeight="1" x14ac:dyDescent="0.3">
      <c r="B492" s="792" t="str">
        <f>Affiliates!C543</f>
        <v>DCR</v>
      </c>
      <c r="C492" s="784">
        <f>Affiliates!D543</f>
        <v>0</v>
      </c>
      <c r="D492" s="784">
        <f>Affiliates!F543</f>
        <v>0</v>
      </c>
      <c r="E492" s="784">
        <f>Affiliates!H543</f>
        <v>0</v>
      </c>
      <c r="F492" s="785">
        <f>Affiliates!J543</f>
        <v>0</v>
      </c>
    </row>
    <row r="493" spans="2:6" ht="14.4" customHeight="1" thickBot="1" x14ac:dyDescent="0.35">
      <c r="B493" s="787"/>
      <c r="C493" s="788"/>
      <c r="D493" s="788"/>
      <c r="E493" s="788"/>
      <c r="F493" s="789"/>
    </row>
    <row r="494" spans="2:6" ht="14.4" customHeight="1" x14ac:dyDescent="0.3"/>
    <row r="495" spans="2:6" ht="14.4" customHeight="1" thickBot="1" x14ac:dyDescent="0.35"/>
    <row r="496" spans="2:6" ht="14.4" customHeight="1" x14ac:dyDescent="0.3">
      <c r="B496" s="661" t="s">
        <v>455</v>
      </c>
      <c r="C496" s="662"/>
      <c r="D496" s="662"/>
      <c r="E496" s="662"/>
      <c r="F496" s="663"/>
    </row>
    <row r="497" spans="2:6" ht="14.4" customHeight="1" thickBot="1" x14ac:dyDescent="0.35">
      <c r="B497" s="1296"/>
      <c r="C497" s="1297"/>
      <c r="D497" s="1297"/>
      <c r="E497" s="1297"/>
      <c r="F497" s="1298"/>
    </row>
    <row r="498" spans="2:6" ht="14.4" customHeight="1" x14ac:dyDescent="0.3">
      <c r="B498" s="1144" t="str">
        <f>Affiliates!B547</f>
        <v>{Insert business name which represents Affiliate 10}</v>
      </c>
      <c r="C498" s="1145"/>
      <c r="D498" s="1145"/>
      <c r="E498" s="1145"/>
      <c r="F498" s="1146"/>
    </row>
    <row r="499" spans="2:6" ht="14.4" customHeight="1" x14ac:dyDescent="0.3">
      <c r="B499" s="734"/>
      <c r="C499" s="735"/>
      <c r="D499" s="735"/>
      <c r="E499" s="735"/>
      <c r="F499" s="736"/>
    </row>
    <row r="500" spans="2:6" ht="14.4" customHeight="1" x14ac:dyDescent="0.3">
      <c r="B500" s="739"/>
      <c r="C500" s="740">
        <f>Affiliates!D549</f>
        <v>45291</v>
      </c>
      <c r="D500" s="740">
        <f>Affiliates!F549</f>
        <v>45657</v>
      </c>
      <c r="E500" s="740">
        <f>Affiliates!H549</f>
        <v>46022</v>
      </c>
      <c r="F500" s="741">
        <f>Affiliates!J549</f>
        <v>46112</v>
      </c>
    </row>
    <row r="501" spans="2:6" ht="14.4" customHeight="1" x14ac:dyDescent="0.3">
      <c r="B501" s="743"/>
      <c r="C501" s="744"/>
      <c r="D501" s="744"/>
      <c r="E501" s="744"/>
      <c r="F501" s="745">
        <f>Affiliates!J553</f>
        <v>0</v>
      </c>
    </row>
    <row r="502" spans="2:6" ht="14.4" customHeight="1" x14ac:dyDescent="0.3">
      <c r="B502" s="739" t="str">
        <f>Affiliates!C554</f>
        <v>Total Revenue</v>
      </c>
      <c r="C502" s="748">
        <f>Affiliates!D554</f>
        <v>0</v>
      </c>
      <c r="D502" s="748">
        <f>Affiliates!F554</f>
        <v>0</v>
      </c>
      <c r="E502" s="748">
        <f>Affiliates!H554</f>
        <v>0</v>
      </c>
      <c r="F502" s="749">
        <f>Affiliates!J554</f>
        <v>0</v>
      </c>
    </row>
    <row r="503" spans="2:6" ht="14.4" customHeight="1" x14ac:dyDescent="0.3">
      <c r="B503" s="739" t="str">
        <f>Affiliates!C555</f>
        <v>Total COGS</v>
      </c>
      <c r="C503" s="751">
        <f>Affiliates!D555</f>
        <v>0</v>
      </c>
      <c r="D503" s="751">
        <f>Affiliates!F555</f>
        <v>0</v>
      </c>
      <c r="E503" s="751">
        <f>Affiliates!H555</f>
        <v>0</v>
      </c>
      <c r="F503" s="752">
        <f>Affiliates!J555</f>
        <v>0</v>
      </c>
    </row>
    <row r="504" spans="2:6" ht="14.4" customHeight="1" x14ac:dyDescent="0.3">
      <c r="B504" s="739" t="str">
        <f>Affiliates!C556</f>
        <v>Total Gross Margin</v>
      </c>
      <c r="C504" s="754">
        <f>Affiliates!D556</f>
        <v>0</v>
      </c>
      <c r="D504" s="754">
        <f>Affiliates!F556</f>
        <v>0</v>
      </c>
      <c r="E504" s="754">
        <f>Affiliates!H556</f>
        <v>0</v>
      </c>
      <c r="F504" s="755">
        <f>Affiliates!J556</f>
        <v>0</v>
      </c>
    </row>
    <row r="505" spans="2:6" ht="14.4" customHeight="1" x14ac:dyDescent="0.3">
      <c r="B505" s="739" t="str">
        <f>Affiliates!C571</f>
        <v>Total Operating Expenses</v>
      </c>
      <c r="C505" s="757">
        <f>Affiliates!D571</f>
        <v>0</v>
      </c>
      <c r="D505" s="757">
        <f>Affiliates!F571</f>
        <v>0</v>
      </c>
      <c r="E505" s="757">
        <f>Affiliates!H571</f>
        <v>0</v>
      </c>
      <c r="F505" s="758">
        <f>Affiliates!J571</f>
        <v>0</v>
      </c>
    </row>
    <row r="506" spans="2:6" ht="14.4" customHeight="1" x14ac:dyDescent="0.3">
      <c r="B506" s="792" t="str">
        <f>Affiliates!C573</f>
        <v>Ordinary Income</v>
      </c>
      <c r="C506" s="761">
        <f>Affiliates!D573</f>
        <v>0</v>
      </c>
      <c r="D506" s="761">
        <f>Affiliates!F573</f>
        <v>0</v>
      </c>
      <c r="E506" s="761">
        <f>Affiliates!H573</f>
        <v>0</v>
      </c>
      <c r="F506" s="762">
        <f>Affiliates!J573</f>
        <v>0</v>
      </c>
    </row>
    <row r="507" spans="2:6" ht="14.4" customHeight="1" x14ac:dyDescent="0.3">
      <c r="B507" s="739" t="str">
        <f>Affiliates!C577</f>
        <v>Total Other Income (Expenses)</v>
      </c>
      <c r="C507" s="757">
        <f>Affiliates!D577</f>
        <v>0</v>
      </c>
      <c r="D507" s="757">
        <f>Affiliates!F577</f>
        <v>0</v>
      </c>
      <c r="E507" s="757">
        <f>Affiliates!H577</f>
        <v>0</v>
      </c>
      <c r="F507" s="758">
        <f>Affiliates!J577</f>
        <v>0</v>
      </c>
    </row>
    <row r="508" spans="2:6" ht="14.4" customHeight="1" x14ac:dyDescent="0.3">
      <c r="B508" s="739" t="str">
        <f>Affiliates!C579</f>
        <v>Net Income Before Taxes</v>
      </c>
      <c r="C508" s="754">
        <f>Affiliates!D579</f>
        <v>0</v>
      </c>
      <c r="D508" s="754">
        <f>Affiliates!F579</f>
        <v>0</v>
      </c>
      <c r="E508" s="754">
        <f>Affiliates!H579</f>
        <v>0</v>
      </c>
      <c r="F508" s="755">
        <f>Affiliates!J579</f>
        <v>0</v>
      </c>
    </row>
    <row r="509" spans="2:6" ht="14.4" customHeight="1" x14ac:dyDescent="0.3">
      <c r="B509" s="739" t="str">
        <f>Affiliates!C580</f>
        <v>Income Taxes</v>
      </c>
      <c r="C509" s="757">
        <f>Affiliates!D580</f>
        <v>0</v>
      </c>
      <c r="D509" s="757">
        <f>Affiliates!F580</f>
        <v>0</v>
      </c>
      <c r="E509" s="757">
        <f>Affiliates!H580</f>
        <v>0</v>
      </c>
      <c r="F509" s="758">
        <f>Affiliates!J580</f>
        <v>0</v>
      </c>
    </row>
    <row r="510" spans="2:6" ht="14.4" customHeight="1" x14ac:dyDescent="0.3">
      <c r="B510" s="792" t="str">
        <f>Affiliates!C582</f>
        <v>NET INCOME AFTER TAXES</v>
      </c>
      <c r="C510" s="761">
        <f>Affiliates!D582</f>
        <v>0</v>
      </c>
      <c r="D510" s="761">
        <f>Affiliates!F582</f>
        <v>0</v>
      </c>
      <c r="E510" s="761">
        <f>Affiliates!H582</f>
        <v>0</v>
      </c>
      <c r="F510" s="762">
        <f>Affiliates!J582</f>
        <v>0</v>
      </c>
    </row>
    <row r="511" spans="2:6" ht="14.4" customHeight="1" x14ac:dyDescent="0.3">
      <c r="B511" s="739"/>
      <c r="C511" s="764"/>
      <c r="D511" s="764"/>
      <c r="E511" s="764"/>
      <c r="F511" s="765"/>
    </row>
    <row r="512" spans="2:6" ht="14.4" customHeight="1" x14ac:dyDescent="0.3">
      <c r="B512" s="793" t="str">
        <f>Affiliates!C584</f>
        <v>ADJUSTMENTS</v>
      </c>
      <c r="C512" s="735"/>
      <c r="D512" s="735"/>
      <c r="E512" s="735"/>
      <c r="F512" s="736"/>
    </row>
    <row r="513" spans="2:6" ht="14.4" customHeight="1" x14ac:dyDescent="0.3">
      <c r="B513" s="794" t="str">
        <f>Affiliates!C585</f>
        <v>Compensation of Officers</v>
      </c>
      <c r="C513" s="748">
        <f>Affiliates!D585</f>
        <v>0</v>
      </c>
      <c r="D513" s="748">
        <f>Affiliates!F585</f>
        <v>0</v>
      </c>
      <c r="E513" s="748">
        <f>Affiliates!H585</f>
        <v>0</v>
      </c>
      <c r="F513" s="749">
        <f>Affiliates!J585</f>
        <v>0</v>
      </c>
    </row>
    <row r="514" spans="2:6" ht="14.4" customHeight="1" x14ac:dyDescent="0.3">
      <c r="B514" s="795" t="str">
        <f>Affiliates!C586</f>
        <v>Depreciation/Amortization</v>
      </c>
      <c r="C514" s="773">
        <f>Affiliates!D586</f>
        <v>0</v>
      </c>
      <c r="D514" s="773">
        <f>Affiliates!F586</f>
        <v>0</v>
      </c>
      <c r="E514" s="773">
        <f>Affiliates!H586</f>
        <v>0</v>
      </c>
      <c r="F514" s="774">
        <f>Affiliates!J586</f>
        <v>0</v>
      </c>
    </row>
    <row r="515" spans="2:6" ht="14.4" customHeight="1" x14ac:dyDescent="0.3">
      <c r="B515" s="795" t="str">
        <f>Affiliates!C587</f>
        <v>Interest Expense</v>
      </c>
      <c r="C515" s="773">
        <f>Affiliates!D587</f>
        <v>0</v>
      </c>
      <c r="D515" s="773">
        <f>Affiliates!F587</f>
        <v>0</v>
      </c>
      <c r="E515" s="773">
        <f>Affiliates!H587</f>
        <v>0</v>
      </c>
      <c r="F515" s="774">
        <f>Affiliates!J587</f>
        <v>0</v>
      </c>
    </row>
    <row r="516" spans="2:6" ht="14.4" customHeight="1" x14ac:dyDescent="0.3">
      <c r="B516" s="795" t="str">
        <f>Affiliates!C588</f>
        <v>Rent Adjustment</v>
      </c>
      <c r="C516" s="773">
        <f>Affiliates!D588</f>
        <v>0</v>
      </c>
      <c r="D516" s="773">
        <f>Affiliates!F588</f>
        <v>0</v>
      </c>
      <c r="E516" s="773">
        <f>Affiliates!H588</f>
        <v>0</v>
      </c>
      <c r="F516" s="774">
        <f>Affiliates!J588</f>
        <v>0</v>
      </c>
    </row>
    <row r="517" spans="2:6" ht="14.4" customHeight="1" x14ac:dyDescent="0.3">
      <c r="B517" s="796" t="str">
        <f>Affiliates!C589</f>
        <v>Other</v>
      </c>
      <c r="C517" s="773">
        <f>Affiliates!D589</f>
        <v>0</v>
      </c>
      <c r="D517" s="773">
        <f>Affiliates!F589</f>
        <v>0</v>
      </c>
      <c r="E517" s="773">
        <f>Affiliates!H589</f>
        <v>0</v>
      </c>
      <c r="F517" s="774">
        <f>Affiliates!J589</f>
        <v>0</v>
      </c>
    </row>
    <row r="518" spans="2:6" ht="14.4" customHeight="1" x14ac:dyDescent="0.3">
      <c r="B518" s="796" t="str">
        <f>Affiliates!C590</f>
        <v>Other</v>
      </c>
      <c r="C518" s="773">
        <f>Affiliates!D590</f>
        <v>0</v>
      </c>
      <c r="D518" s="773">
        <f>Affiliates!F590</f>
        <v>0</v>
      </c>
      <c r="E518" s="773">
        <f>Affiliates!H590</f>
        <v>0</v>
      </c>
      <c r="F518" s="774">
        <f>Affiliates!J590</f>
        <v>0</v>
      </c>
    </row>
    <row r="519" spans="2:6" ht="14.4" customHeight="1" x14ac:dyDescent="0.3">
      <c r="B519" s="795" t="str">
        <f>Affiliates!C591</f>
        <v>Estimated Property Tax</v>
      </c>
      <c r="C519" s="751">
        <f>Affiliates!D591</f>
        <v>0</v>
      </c>
      <c r="D519" s="751">
        <f>Affiliates!F591</f>
        <v>0</v>
      </c>
      <c r="E519" s="751">
        <f>Affiliates!H591</f>
        <v>0</v>
      </c>
      <c r="F519" s="752">
        <f>Affiliates!J591</f>
        <v>0</v>
      </c>
    </row>
    <row r="520" spans="2:6" ht="14.4" customHeight="1" x14ac:dyDescent="0.3">
      <c r="B520" s="795"/>
      <c r="C520" s="735"/>
      <c r="D520" s="735"/>
      <c r="E520" s="735"/>
      <c r="F520" s="736"/>
    </row>
    <row r="521" spans="2:6" ht="14.4" customHeight="1" x14ac:dyDescent="0.3">
      <c r="B521" s="795" t="str">
        <f>Affiliates!C594</f>
        <v>Cash Available</v>
      </c>
      <c r="C521" s="781">
        <f>Affiliates!D594</f>
        <v>0</v>
      </c>
      <c r="D521" s="781">
        <f>Affiliates!F594</f>
        <v>0</v>
      </c>
      <c r="E521" s="781">
        <f>Affiliates!H594</f>
        <v>0</v>
      </c>
      <c r="F521" s="782">
        <f>Affiliates!J594</f>
        <v>0</v>
      </c>
    </row>
    <row r="522" spans="2:6" ht="14.4" customHeight="1" x14ac:dyDescent="0.3">
      <c r="B522" s="795"/>
      <c r="C522" s="735"/>
      <c r="D522" s="735"/>
      <c r="E522" s="735"/>
      <c r="F522" s="736"/>
    </row>
    <row r="523" spans="2:6" ht="14.4" customHeight="1" x14ac:dyDescent="0.3">
      <c r="B523" s="739" t="str">
        <f>Affiliates!C596</f>
        <v>Existing Monthly Debt</v>
      </c>
      <c r="C523" s="711">
        <f>Affiliates!D596</f>
        <v>0</v>
      </c>
      <c r="D523" s="711">
        <f>Affiliates!F596</f>
        <v>0</v>
      </c>
      <c r="E523" s="711">
        <f>Affiliates!H596</f>
        <v>0</v>
      </c>
      <c r="F523" s="797">
        <f>Affiliates!J596</f>
        <v>0</v>
      </c>
    </row>
    <row r="524" spans="2:6" ht="14.4" customHeight="1" x14ac:dyDescent="0.3">
      <c r="B524" s="739" t="str">
        <f>Affiliates!C597</f>
        <v>Existing Debt</v>
      </c>
      <c r="C524" s="754">
        <f>Affiliates!D597</f>
        <v>0</v>
      </c>
      <c r="D524" s="754">
        <f>Affiliates!F597</f>
        <v>0</v>
      </c>
      <c r="E524" s="754">
        <f>Affiliates!H597</f>
        <v>0</v>
      </c>
      <c r="F524" s="755">
        <f>Affiliates!J597</f>
        <v>0</v>
      </c>
    </row>
    <row r="525" spans="2:6" ht="14.4" customHeight="1" x14ac:dyDescent="0.3">
      <c r="B525" s="734"/>
      <c r="C525" s="735"/>
      <c r="D525" s="735"/>
      <c r="E525" s="735"/>
      <c r="F525" s="736"/>
    </row>
    <row r="526" spans="2:6" ht="14.4" customHeight="1" x14ac:dyDescent="0.3">
      <c r="B526" s="792" t="str">
        <f>Affiliates!C599</f>
        <v>DCR</v>
      </c>
      <c r="C526" s="784">
        <f>Affiliates!D599</f>
        <v>0</v>
      </c>
      <c r="D526" s="784">
        <f>Affiliates!F599</f>
        <v>0</v>
      </c>
      <c r="E526" s="784">
        <f>Affiliates!H599</f>
        <v>0</v>
      </c>
      <c r="F526" s="785">
        <f>Affiliates!J599</f>
        <v>0</v>
      </c>
    </row>
    <row r="527" spans="2:6" ht="14.4" customHeight="1" thickBot="1" x14ac:dyDescent="0.35">
      <c r="B527" s="787"/>
      <c r="C527" s="788"/>
      <c r="D527" s="788"/>
      <c r="E527" s="788"/>
      <c r="F527" s="789"/>
    </row>
    <row r="528" spans="2:6" ht="14.4" customHeight="1" x14ac:dyDescent="0.3"/>
    <row r="529" spans="2:6" ht="14.4" customHeight="1" thickBot="1" x14ac:dyDescent="0.35"/>
    <row r="530" spans="2:6" ht="14.4" customHeight="1" x14ac:dyDescent="0.3">
      <c r="B530" s="661" t="s">
        <v>456</v>
      </c>
      <c r="C530" s="662"/>
      <c r="D530" s="662"/>
      <c r="E530" s="662"/>
      <c r="F530" s="663"/>
    </row>
    <row r="531" spans="2:6" ht="14.4" customHeight="1" thickBot="1" x14ac:dyDescent="0.35">
      <c r="B531" s="1296"/>
      <c r="C531" s="1297"/>
      <c r="D531" s="1297"/>
      <c r="E531" s="1297"/>
      <c r="F531" s="1298"/>
    </row>
    <row r="532" spans="2:6" ht="14.4" customHeight="1" x14ac:dyDescent="0.3">
      <c r="B532" s="1144" t="str">
        <f>Affiliates!B603</f>
        <v>{Insert business name which represents Affiliate 11}</v>
      </c>
      <c r="C532" s="1145"/>
      <c r="D532" s="1145"/>
      <c r="E532" s="1145"/>
      <c r="F532" s="1146"/>
    </row>
    <row r="533" spans="2:6" ht="14.4" customHeight="1" x14ac:dyDescent="0.3">
      <c r="B533" s="734"/>
      <c r="C533" s="735"/>
      <c r="D533" s="735"/>
      <c r="E533" s="735"/>
      <c r="F533" s="736"/>
    </row>
    <row r="534" spans="2:6" ht="14.4" customHeight="1" x14ac:dyDescent="0.3">
      <c r="B534" s="739"/>
      <c r="C534" s="740">
        <f>Affiliates!D605</f>
        <v>45291</v>
      </c>
      <c r="D534" s="740">
        <f>Affiliates!F605</f>
        <v>45657</v>
      </c>
      <c r="E534" s="740">
        <f>Affiliates!H605</f>
        <v>46022</v>
      </c>
      <c r="F534" s="741">
        <f>Affiliates!J605</f>
        <v>46112</v>
      </c>
    </row>
    <row r="535" spans="2:6" ht="14.4" customHeight="1" x14ac:dyDescent="0.3">
      <c r="B535" s="743"/>
      <c r="C535" s="744"/>
      <c r="D535" s="744"/>
      <c r="E535" s="744"/>
      <c r="F535" s="745">
        <f>Affiliates!J609</f>
        <v>0</v>
      </c>
    </row>
    <row r="536" spans="2:6" ht="14.4" customHeight="1" x14ac:dyDescent="0.3">
      <c r="B536" s="739" t="str">
        <f>Affiliates!C610</f>
        <v>Total Revenue</v>
      </c>
      <c r="C536" s="748">
        <f>Affiliates!D610</f>
        <v>0</v>
      </c>
      <c r="D536" s="748">
        <f>Affiliates!F610</f>
        <v>0</v>
      </c>
      <c r="E536" s="748">
        <f>Affiliates!H610</f>
        <v>0</v>
      </c>
      <c r="F536" s="749">
        <f>Affiliates!J610</f>
        <v>0</v>
      </c>
    </row>
    <row r="537" spans="2:6" ht="14.4" customHeight="1" x14ac:dyDescent="0.3">
      <c r="B537" s="739" t="str">
        <f>Affiliates!C611</f>
        <v>Total COGS</v>
      </c>
      <c r="C537" s="751">
        <f>Affiliates!D611</f>
        <v>0</v>
      </c>
      <c r="D537" s="751">
        <f>Affiliates!F611</f>
        <v>0</v>
      </c>
      <c r="E537" s="751">
        <f>Affiliates!H611</f>
        <v>0</v>
      </c>
      <c r="F537" s="752">
        <f>Affiliates!J611</f>
        <v>0</v>
      </c>
    </row>
    <row r="538" spans="2:6" ht="14.4" customHeight="1" x14ac:dyDescent="0.3">
      <c r="B538" s="739" t="str">
        <f>Affiliates!C612</f>
        <v>Total Gross Margin</v>
      </c>
      <c r="C538" s="754">
        <f>Affiliates!D612</f>
        <v>0</v>
      </c>
      <c r="D538" s="754">
        <f>Affiliates!F612</f>
        <v>0</v>
      </c>
      <c r="E538" s="754">
        <f>Affiliates!H612</f>
        <v>0</v>
      </c>
      <c r="F538" s="755">
        <f>Affiliates!J612</f>
        <v>0</v>
      </c>
    </row>
    <row r="539" spans="2:6" ht="14.4" customHeight="1" x14ac:dyDescent="0.3">
      <c r="B539" s="739" t="str">
        <f>Affiliates!C627</f>
        <v>Total Operating Expenses</v>
      </c>
      <c r="C539" s="757">
        <f>Affiliates!D627</f>
        <v>0</v>
      </c>
      <c r="D539" s="757">
        <f>Affiliates!F627</f>
        <v>0</v>
      </c>
      <c r="E539" s="757">
        <f>Affiliates!H627</f>
        <v>0</v>
      </c>
      <c r="F539" s="758">
        <f>Affiliates!J627</f>
        <v>0</v>
      </c>
    </row>
    <row r="540" spans="2:6" ht="14.4" customHeight="1" x14ac:dyDescent="0.3">
      <c r="B540" s="792" t="str">
        <f>Affiliates!C629</f>
        <v>Ordinary Income</v>
      </c>
      <c r="C540" s="761">
        <f>Affiliates!D629</f>
        <v>0</v>
      </c>
      <c r="D540" s="761">
        <f>Affiliates!F629</f>
        <v>0</v>
      </c>
      <c r="E540" s="761">
        <f>Affiliates!H629</f>
        <v>0</v>
      </c>
      <c r="F540" s="762">
        <f>Affiliates!J629</f>
        <v>0</v>
      </c>
    </row>
    <row r="541" spans="2:6" ht="14.4" customHeight="1" x14ac:dyDescent="0.3">
      <c r="B541" s="739" t="str">
        <f>Affiliates!C633</f>
        <v>Total Other Income (Expenses)</v>
      </c>
      <c r="C541" s="757">
        <f>Affiliates!D633</f>
        <v>0</v>
      </c>
      <c r="D541" s="757">
        <f>Affiliates!F633</f>
        <v>0</v>
      </c>
      <c r="E541" s="757">
        <f>Affiliates!H633</f>
        <v>0</v>
      </c>
      <c r="F541" s="758">
        <f>Affiliates!J633</f>
        <v>0</v>
      </c>
    </row>
    <row r="542" spans="2:6" ht="14.4" customHeight="1" x14ac:dyDescent="0.3">
      <c r="B542" s="739" t="str">
        <f>Affiliates!C635</f>
        <v>Net Income Before Taxes</v>
      </c>
      <c r="C542" s="754">
        <f>Affiliates!D635</f>
        <v>0</v>
      </c>
      <c r="D542" s="754">
        <f>Affiliates!F635</f>
        <v>0</v>
      </c>
      <c r="E542" s="754">
        <f>Affiliates!H635</f>
        <v>0</v>
      </c>
      <c r="F542" s="755">
        <f>Affiliates!J635</f>
        <v>0</v>
      </c>
    </row>
    <row r="543" spans="2:6" ht="14.4" customHeight="1" x14ac:dyDescent="0.3">
      <c r="B543" s="739" t="str">
        <f>Affiliates!C636</f>
        <v>Income Taxes</v>
      </c>
      <c r="C543" s="757">
        <f>Affiliates!D636</f>
        <v>0</v>
      </c>
      <c r="D543" s="757">
        <f>Affiliates!F636</f>
        <v>0</v>
      </c>
      <c r="E543" s="757">
        <f>Affiliates!H636</f>
        <v>0</v>
      </c>
      <c r="F543" s="758">
        <f>Affiliates!J636</f>
        <v>0</v>
      </c>
    </row>
    <row r="544" spans="2:6" ht="14.4" customHeight="1" x14ac:dyDescent="0.3">
      <c r="B544" s="792" t="str">
        <f>Affiliates!C638</f>
        <v>NET INCOME AFTER TAXES</v>
      </c>
      <c r="C544" s="761">
        <f>Affiliates!D638</f>
        <v>0</v>
      </c>
      <c r="D544" s="761">
        <f>Affiliates!F638</f>
        <v>0</v>
      </c>
      <c r="E544" s="761">
        <f>Affiliates!H638</f>
        <v>0</v>
      </c>
      <c r="F544" s="762">
        <f>Affiliates!J638</f>
        <v>0</v>
      </c>
    </row>
    <row r="545" spans="2:6" ht="14.4" customHeight="1" x14ac:dyDescent="0.3">
      <c r="B545" s="739"/>
      <c r="C545" s="764"/>
      <c r="D545" s="764"/>
      <c r="E545" s="764"/>
      <c r="F545" s="765"/>
    </row>
    <row r="546" spans="2:6" ht="14.4" customHeight="1" x14ac:dyDescent="0.3">
      <c r="B546" s="793" t="str">
        <f>Affiliates!C640</f>
        <v>ADJUSTMENTS</v>
      </c>
      <c r="C546" s="735"/>
      <c r="D546" s="735"/>
      <c r="E546" s="735"/>
      <c r="F546" s="736"/>
    </row>
    <row r="547" spans="2:6" ht="14.4" customHeight="1" x14ac:dyDescent="0.3">
      <c r="B547" s="794" t="str">
        <f>Affiliates!C641</f>
        <v>Compensation of Officers</v>
      </c>
      <c r="C547" s="748">
        <f>Affiliates!D641</f>
        <v>0</v>
      </c>
      <c r="D547" s="748">
        <f>Affiliates!F641</f>
        <v>0</v>
      </c>
      <c r="E547" s="748">
        <f>Affiliates!H641</f>
        <v>0</v>
      </c>
      <c r="F547" s="749">
        <f>Affiliates!J641</f>
        <v>0</v>
      </c>
    </row>
    <row r="548" spans="2:6" ht="14.4" customHeight="1" x14ac:dyDescent="0.3">
      <c r="B548" s="795" t="str">
        <f>Affiliates!C642</f>
        <v>Depreciation/Amortization</v>
      </c>
      <c r="C548" s="773">
        <f>Affiliates!D642</f>
        <v>0</v>
      </c>
      <c r="D548" s="773">
        <f>Affiliates!F642</f>
        <v>0</v>
      </c>
      <c r="E548" s="773">
        <f>Affiliates!H642</f>
        <v>0</v>
      </c>
      <c r="F548" s="774">
        <f>Affiliates!J642</f>
        <v>0</v>
      </c>
    </row>
    <row r="549" spans="2:6" ht="14.4" customHeight="1" x14ac:dyDescent="0.3">
      <c r="B549" s="795" t="str">
        <f>Affiliates!C643</f>
        <v>Interest Expense</v>
      </c>
      <c r="C549" s="773">
        <f>Affiliates!D643</f>
        <v>0</v>
      </c>
      <c r="D549" s="773">
        <f>Affiliates!F643</f>
        <v>0</v>
      </c>
      <c r="E549" s="773">
        <f>Affiliates!H643</f>
        <v>0</v>
      </c>
      <c r="F549" s="774">
        <f>Affiliates!J643</f>
        <v>0</v>
      </c>
    </row>
    <row r="550" spans="2:6" ht="14.4" customHeight="1" x14ac:dyDescent="0.3">
      <c r="B550" s="795" t="str">
        <f>Affiliates!C644</f>
        <v>Rent Adjustment</v>
      </c>
      <c r="C550" s="773">
        <f>Affiliates!D644</f>
        <v>0</v>
      </c>
      <c r="D550" s="773">
        <f>Affiliates!F644</f>
        <v>0</v>
      </c>
      <c r="E550" s="773">
        <f>Affiliates!H644</f>
        <v>0</v>
      </c>
      <c r="F550" s="774">
        <f>Affiliates!J644</f>
        <v>0</v>
      </c>
    </row>
    <row r="551" spans="2:6" ht="14.4" customHeight="1" x14ac:dyDescent="0.3">
      <c r="B551" s="796" t="str">
        <f>Affiliates!C645</f>
        <v>Other</v>
      </c>
      <c r="C551" s="773">
        <f>Affiliates!D645</f>
        <v>0</v>
      </c>
      <c r="D551" s="773">
        <f>Affiliates!F645</f>
        <v>0</v>
      </c>
      <c r="E551" s="773">
        <f>Affiliates!H645</f>
        <v>0</v>
      </c>
      <c r="F551" s="774">
        <f>Affiliates!J645</f>
        <v>0</v>
      </c>
    </row>
    <row r="552" spans="2:6" ht="14.4" customHeight="1" x14ac:dyDescent="0.3">
      <c r="B552" s="796" t="str">
        <f>Affiliates!C646</f>
        <v>Other</v>
      </c>
      <c r="C552" s="773">
        <f>Affiliates!D646</f>
        <v>0</v>
      </c>
      <c r="D552" s="773">
        <f>Affiliates!F646</f>
        <v>0</v>
      </c>
      <c r="E552" s="773">
        <f>Affiliates!H646</f>
        <v>0</v>
      </c>
      <c r="F552" s="774">
        <f>Affiliates!J646</f>
        <v>0</v>
      </c>
    </row>
    <row r="553" spans="2:6" ht="14.4" customHeight="1" x14ac:dyDescent="0.3">
      <c r="B553" s="795" t="str">
        <f>Affiliates!C647</f>
        <v>Estimated Property Tax</v>
      </c>
      <c r="C553" s="751">
        <f>Affiliates!D647</f>
        <v>0</v>
      </c>
      <c r="D553" s="751">
        <f>Affiliates!F647</f>
        <v>0</v>
      </c>
      <c r="E553" s="751">
        <f>Affiliates!H647</f>
        <v>0</v>
      </c>
      <c r="F553" s="752">
        <f>Affiliates!J647</f>
        <v>0</v>
      </c>
    </row>
    <row r="554" spans="2:6" ht="14.4" customHeight="1" x14ac:dyDescent="0.3">
      <c r="B554" s="795"/>
      <c r="C554" s="735"/>
      <c r="D554" s="735"/>
      <c r="E554" s="735"/>
      <c r="F554" s="736"/>
    </row>
    <row r="555" spans="2:6" ht="14.4" customHeight="1" x14ac:dyDescent="0.3">
      <c r="B555" s="795" t="str">
        <f>Affiliates!C650</f>
        <v>Cash Available</v>
      </c>
      <c r="C555" s="781">
        <f>Affiliates!D650</f>
        <v>0</v>
      </c>
      <c r="D555" s="781">
        <f>Affiliates!F650</f>
        <v>0</v>
      </c>
      <c r="E555" s="781">
        <f>Affiliates!H650</f>
        <v>0</v>
      </c>
      <c r="F555" s="782">
        <f>Affiliates!J650</f>
        <v>0</v>
      </c>
    </row>
    <row r="556" spans="2:6" ht="14.4" customHeight="1" x14ac:dyDescent="0.3">
      <c r="B556" s="795"/>
      <c r="C556" s="735"/>
      <c r="D556" s="735"/>
      <c r="E556" s="735"/>
      <c r="F556" s="736"/>
    </row>
    <row r="557" spans="2:6" ht="14.4" customHeight="1" x14ac:dyDescent="0.3">
      <c r="B557" s="739" t="str">
        <f>Affiliates!C652</f>
        <v>Existing Monthly Debt</v>
      </c>
      <c r="C557" s="711">
        <f>Affiliates!D652</f>
        <v>0</v>
      </c>
      <c r="D557" s="711">
        <f>Affiliates!F652</f>
        <v>0</v>
      </c>
      <c r="E557" s="711">
        <f>Affiliates!H652</f>
        <v>0</v>
      </c>
      <c r="F557" s="797">
        <f>Affiliates!J652</f>
        <v>0</v>
      </c>
    </row>
    <row r="558" spans="2:6" ht="14.4" customHeight="1" x14ac:dyDescent="0.3">
      <c r="B558" s="739" t="str">
        <f>Affiliates!C653</f>
        <v>Existing Debt</v>
      </c>
      <c r="C558" s="754">
        <f>Affiliates!D653</f>
        <v>0</v>
      </c>
      <c r="D558" s="754">
        <f>Affiliates!F653</f>
        <v>0</v>
      </c>
      <c r="E558" s="754">
        <f>Affiliates!H653</f>
        <v>0</v>
      </c>
      <c r="F558" s="755">
        <f>Affiliates!J653</f>
        <v>0</v>
      </c>
    </row>
    <row r="559" spans="2:6" ht="14.4" customHeight="1" x14ac:dyDescent="0.3">
      <c r="B559" s="734"/>
      <c r="C559" s="735"/>
      <c r="D559" s="735"/>
      <c r="E559" s="735"/>
      <c r="F559" s="736"/>
    </row>
    <row r="560" spans="2:6" ht="14.4" customHeight="1" x14ac:dyDescent="0.3">
      <c r="B560" s="792" t="str">
        <f>Affiliates!C655</f>
        <v>DCR</v>
      </c>
      <c r="C560" s="784">
        <f>Affiliates!D655</f>
        <v>0</v>
      </c>
      <c r="D560" s="784">
        <f>Affiliates!F655</f>
        <v>0</v>
      </c>
      <c r="E560" s="784">
        <f>Affiliates!H655</f>
        <v>0</v>
      </c>
      <c r="F560" s="785">
        <f>Affiliates!J655</f>
        <v>0</v>
      </c>
    </row>
    <row r="561" spans="2:6" ht="14.4" customHeight="1" thickBot="1" x14ac:dyDescent="0.35">
      <c r="B561" s="787"/>
      <c r="C561" s="788"/>
      <c r="D561" s="788"/>
      <c r="E561" s="788"/>
      <c r="F561" s="789"/>
    </row>
    <row r="562" spans="2:6" ht="14.4" customHeight="1" x14ac:dyDescent="0.3"/>
    <row r="563" spans="2:6" ht="14.4" customHeight="1" thickBot="1" x14ac:dyDescent="0.35"/>
    <row r="564" spans="2:6" ht="14.4" customHeight="1" x14ac:dyDescent="0.3">
      <c r="B564" s="661" t="s">
        <v>457</v>
      </c>
      <c r="C564" s="662"/>
      <c r="D564" s="662"/>
      <c r="E564" s="662"/>
      <c r="F564" s="663"/>
    </row>
    <row r="565" spans="2:6" ht="14.4" customHeight="1" thickBot="1" x14ac:dyDescent="0.35">
      <c r="B565" s="1296"/>
      <c r="C565" s="1297"/>
      <c r="D565" s="1297"/>
      <c r="E565" s="1297"/>
      <c r="F565" s="1298"/>
    </row>
    <row r="566" spans="2:6" ht="14.4" customHeight="1" x14ac:dyDescent="0.3">
      <c r="B566" s="1144" t="str">
        <f>Affiliates!B659</f>
        <v>{Insert business name which represents Affiliate 12}</v>
      </c>
      <c r="C566" s="1145"/>
      <c r="D566" s="1145"/>
      <c r="E566" s="1145"/>
      <c r="F566" s="1146"/>
    </row>
    <row r="567" spans="2:6" ht="14.4" customHeight="1" x14ac:dyDescent="0.3">
      <c r="B567" s="734"/>
      <c r="C567" s="735"/>
      <c r="D567" s="735"/>
      <c r="E567" s="735"/>
      <c r="F567" s="736"/>
    </row>
    <row r="568" spans="2:6" ht="14.4" customHeight="1" x14ac:dyDescent="0.3">
      <c r="B568" s="739"/>
      <c r="C568" s="740">
        <f>Affiliates!D661</f>
        <v>45291</v>
      </c>
      <c r="D568" s="740">
        <f>Affiliates!F661</f>
        <v>45657</v>
      </c>
      <c r="E568" s="740">
        <f>Affiliates!H661</f>
        <v>46022</v>
      </c>
      <c r="F568" s="741">
        <f>Affiliates!J661</f>
        <v>46112</v>
      </c>
    </row>
    <row r="569" spans="2:6" ht="14.4" customHeight="1" x14ac:dyDescent="0.3">
      <c r="B569" s="743"/>
      <c r="C569" s="744"/>
      <c r="D569" s="744"/>
      <c r="E569" s="744"/>
      <c r="F569" s="745">
        <f>Affiliates!J665</f>
        <v>0</v>
      </c>
    </row>
    <row r="570" spans="2:6" ht="14.4" customHeight="1" x14ac:dyDescent="0.3">
      <c r="B570" s="739" t="str">
        <f>Affiliates!C666</f>
        <v>Total Revenue</v>
      </c>
      <c r="C570" s="748">
        <f>Affiliates!D666</f>
        <v>0</v>
      </c>
      <c r="D570" s="748">
        <f>Affiliates!F666</f>
        <v>0</v>
      </c>
      <c r="E570" s="748">
        <f>Affiliates!H666</f>
        <v>0</v>
      </c>
      <c r="F570" s="749">
        <f>Affiliates!J666</f>
        <v>0</v>
      </c>
    </row>
    <row r="571" spans="2:6" ht="14.4" customHeight="1" x14ac:dyDescent="0.3">
      <c r="B571" s="739" t="str">
        <f>Affiliates!C667</f>
        <v>Total COGS</v>
      </c>
      <c r="C571" s="751">
        <f>Affiliates!D667</f>
        <v>0</v>
      </c>
      <c r="D571" s="751">
        <f>Affiliates!F667</f>
        <v>0</v>
      </c>
      <c r="E571" s="751">
        <f>Affiliates!H667</f>
        <v>0</v>
      </c>
      <c r="F571" s="752">
        <f>Affiliates!J667</f>
        <v>0</v>
      </c>
    </row>
    <row r="572" spans="2:6" ht="14.4" customHeight="1" x14ac:dyDescent="0.3">
      <c r="B572" s="739" t="str">
        <f>Affiliates!C668</f>
        <v>Total Gross Margin</v>
      </c>
      <c r="C572" s="754">
        <f>Affiliates!D668</f>
        <v>0</v>
      </c>
      <c r="D572" s="754">
        <f>Affiliates!F668</f>
        <v>0</v>
      </c>
      <c r="E572" s="754">
        <f>Affiliates!H668</f>
        <v>0</v>
      </c>
      <c r="F572" s="755">
        <f>Affiliates!J668</f>
        <v>0</v>
      </c>
    </row>
    <row r="573" spans="2:6" ht="14.4" customHeight="1" x14ac:dyDescent="0.3">
      <c r="B573" s="739" t="str">
        <f>Affiliates!C683</f>
        <v>Total Operating Expenses</v>
      </c>
      <c r="C573" s="757">
        <f>Affiliates!D683</f>
        <v>0</v>
      </c>
      <c r="D573" s="757">
        <f>Affiliates!F683</f>
        <v>0</v>
      </c>
      <c r="E573" s="757">
        <f>Affiliates!H683</f>
        <v>0</v>
      </c>
      <c r="F573" s="758">
        <f>Affiliates!J683</f>
        <v>0</v>
      </c>
    </row>
    <row r="574" spans="2:6" ht="14.4" customHeight="1" x14ac:dyDescent="0.3">
      <c r="B574" s="792" t="str">
        <f>Affiliates!C685</f>
        <v>Ordinary Income</v>
      </c>
      <c r="C574" s="761">
        <f>Affiliates!D685</f>
        <v>0</v>
      </c>
      <c r="D574" s="761">
        <f>Affiliates!F685</f>
        <v>0</v>
      </c>
      <c r="E574" s="761">
        <f>Affiliates!H685</f>
        <v>0</v>
      </c>
      <c r="F574" s="762">
        <f>Affiliates!J685</f>
        <v>0</v>
      </c>
    </row>
    <row r="575" spans="2:6" ht="14.4" customHeight="1" x14ac:dyDescent="0.3">
      <c r="B575" s="739" t="str">
        <f>Affiliates!C689</f>
        <v>Total Other Income (Expenses)</v>
      </c>
      <c r="C575" s="757">
        <f>Affiliates!D689</f>
        <v>0</v>
      </c>
      <c r="D575" s="757">
        <f>Affiliates!F689</f>
        <v>0</v>
      </c>
      <c r="E575" s="757">
        <f>Affiliates!H689</f>
        <v>0</v>
      </c>
      <c r="F575" s="758">
        <f>Affiliates!J689</f>
        <v>0</v>
      </c>
    </row>
    <row r="576" spans="2:6" ht="14.4" customHeight="1" x14ac:dyDescent="0.3">
      <c r="B576" s="739" t="str">
        <f>Affiliates!C691</f>
        <v>Net Income Before Taxes</v>
      </c>
      <c r="C576" s="754">
        <f>Affiliates!D691</f>
        <v>0</v>
      </c>
      <c r="D576" s="754">
        <f>Affiliates!F691</f>
        <v>0</v>
      </c>
      <c r="E576" s="754">
        <f>Affiliates!H691</f>
        <v>0</v>
      </c>
      <c r="F576" s="755">
        <f>Affiliates!J691</f>
        <v>0</v>
      </c>
    </row>
    <row r="577" spans="2:6" ht="14.4" customHeight="1" x14ac:dyDescent="0.3">
      <c r="B577" s="739" t="str">
        <f>Affiliates!C692</f>
        <v>Income Taxes</v>
      </c>
      <c r="C577" s="757">
        <f>Affiliates!D692</f>
        <v>0</v>
      </c>
      <c r="D577" s="757">
        <f>Affiliates!F692</f>
        <v>0</v>
      </c>
      <c r="E577" s="757">
        <f>Affiliates!H692</f>
        <v>0</v>
      </c>
      <c r="F577" s="758">
        <f>Affiliates!J692</f>
        <v>0</v>
      </c>
    </row>
    <row r="578" spans="2:6" ht="14.4" customHeight="1" x14ac:dyDescent="0.3">
      <c r="B578" s="792" t="str">
        <f>Affiliates!C694</f>
        <v>NET INCOME AFTER TAXES</v>
      </c>
      <c r="C578" s="761">
        <f>Affiliates!D694</f>
        <v>0</v>
      </c>
      <c r="D578" s="761">
        <f>Affiliates!F694</f>
        <v>0</v>
      </c>
      <c r="E578" s="761">
        <f>Affiliates!H694</f>
        <v>0</v>
      </c>
      <c r="F578" s="762">
        <f>Affiliates!J694</f>
        <v>0</v>
      </c>
    </row>
    <row r="579" spans="2:6" ht="14.4" customHeight="1" x14ac:dyDescent="0.3">
      <c r="B579" s="739"/>
      <c r="C579" s="764"/>
      <c r="D579" s="764"/>
      <c r="E579" s="764"/>
      <c r="F579" s="765"/>
    </row>
    <row r="580" spans="2:6" ht="14.4" customHeight="1" x14ac:dyDescent="0.3">
      <c r="B580" s="793" t="str">
        <f>Affiliates!C696</f>
        <v>ADJUSTMENTS</v>
      </c>
      <c r="C580" s="735"/>
      <c r="D580" s="735"/>
      <c r="E580" s="735"/>
      <c r="F580" s="736"/>
    </row>
    <row r="581" spans="2:6" ht="14.4" customHeight="1" x14ac:dyDescent="0.3">
      <c r="B581" s="794" t="str">
        <f>Affiliates!C697</f>
        <v>Compensation of Officers</v>
      </c>
      <c r="C581" s="748">
        <f>Affiliates!D697</f>
        <v>0</v>
      </c>
      <c r="D581" s="748">
        <f>Affiliates!F697</f>
        <v>0</v>
      </c>
      <c r="E581" s="748">
        <f>Affiliates!H697</f>
        <v>0</v>
      </c>
      <c r="F581" s="749">
        <f>Affiliates!J697</f>
        <v>0</v>
      </c>
    </row>
    <row r="582" spans="2:6" ht="14.4" customHeight="1" x14ac:dyDescent="0.3">
      <c r="B582" s="795" t="str">
        <f>Affiliates!C698</f>
        <v>Depreciation/Amortization</v>
      </c>
      <c r="C582" s="773">
        <f>Affiliates!D698</f>
        <v>0</v>
      </c>
      <c r="D582" s="773">
        <f>Affiliates!F698</f>
        <v>0</v>
      </c>
      <c r="E582" s="773">
        <f>Affiliates!H698</f>
        <v>0</v>
      </c>
      <c r="F582" s="774">
        <f>Affiliates!J698</f>
        <v>0</v>
      </c>
    </row>
    <row r="583" spans="2:6" ht="14.4" customHeight="1" x14ac:dyDescent="0.3">
      <c r="B583" s="795" t="str">
        <f>Affiliates!C699</f>
        <v>Interest Expense</v>
      </c>
      <c r="C583" s="773">
        <f>Affiliates!D699</f>
        <v>0</v>
      </c>
      <c r="D583" s="773">
        <f>Affiliates!F699</f>
        <v>0</v>
      </c>
      <c r="E583" s="773">
        <f>Affiliates!H699</f>
        <v>0</v>
      </c>
      <c r="F583" s="774">
        <f>Affiliates!J699</f>
        <v>0</v>
      </c>
    </row>
    <row r="584" spans="2:6" ht="14.4" customHeight="1" x14ac:dyDescent="0.3">
      <c r="B584" s="795" t="str">
        <f>Affiliates!C700</f>
        <v>Rent Adjustment</v>
      </c>
      <c r="C584" s="773">
        <f>Affiliates!D700</f>
        <v>0</v>
      </c>
      <c r="D584" s="773">
        <f>Affiliates!F700</f>
        <v>0</v>
      </c>
      <c r="E584" s="773">
        <f>Affiliates!H700</f>
        <v>0</v>
      </c>
      <c r="F584" s="774">
        <f>Affiliates!J700</f>
        <v>0</v>
      </c>
    </row>
    <row r="585" spans="2:6" ht="14.4" customHeight="1" x14ac:dyDescent="0.3">
      <c r="B585" s="796" t="str">
        <f>Affiliates!C701</f>
        <v>Other</v>
      </c>
      <c r="C585" s="773">
        <f>Affiliates!D701</f>
        <v>0</v>
      </c>
      <c r="D585" s="773">
        <f>Affiliates!F701</f>
        <v>0</v>
      </c>
      <c r="E585" s="773">
        <f>Affiliates!H701</f>
        <v>0</v>
      </c>
      <c r="F585" s="774">
        <f>Affiliates!J701</f>
        <v>0</v>
      </c>
    </row>
    <row r="586" spans="2:6" ht="14.4" customHeight="1" x14ac:dyDescent="0.3">
      <c r="B586" s="796" t="str">
        <f>Affiliates!C702</f>
        <v>Other</v>
      </c>
      <c r="C586" s="773">
        <f>Affiliates!D702</f>
        <v>0</v>
      </c>
      <c r="D586" s="773">
        <f>Affiliates!F702</f>
        <v>0</v>
      </c>
      <c r="E586" s="773">
        <f>Affiliates!H702</f>
        <v>0</v>
      </c>
      <c r="F586" s="774">
        <f>Affiliates!J702</f>
        <v>0</v>
      </c>
    </row>
    <row r="587" spans="2:6" ht="14.4" customHeight="1" x14ac:dyDescent="0.3">
      <c r="B587" s="795" t="str">
        <f>Affiliates!C703</f>
        <v>Estimated Property Tax</v>
      </c>
      <c r="C587" s="751">
        <f>Affiliates!D703</f>
        <v>0</v>
      </c>
      <c r="D587" s="751">
        <f>Affiliates!F703</f>
        <v>0</v>
      </c>
      <c r="E587" s="751">
        <f>Affiliates!H703</f>
        <v>0</v>
      </c>
      <c r="F587" s="752">
        <f>Affiliates!J703</f>
        <v>0</v>
      </c>
    </row>
    <row r="588" spans="2:6" ht="14.4" customHeight="1" x14ac:dyDescent="0.3">
      <c r="B588" s="795"/>
      <c r="C588" s="735"/>
      <c r="D588" s="735"/>
      <c r="E588" s="735"/>
      <c r="F588" s="736"/>
    </row>
    <row r="589" spans="2:6" ht="14.4" customHeight="1" x14ac:dyDescent="0.3">
      <c r="B589" s="795" t="str">
        <f>Affiliates!C706</f>
        <v>Cash Available</v>
      </c>
      <c r="C589" s="781">
        <f>Affiliates!D706</f>
        <v>0</v>
      </c>
      <c r="D589" s="781">
        <f>Affiliates!F706</f>
        <v>0</v>
      </c>
      <c r="E589" s="781">
        <f>Affiliates!H706</f>
        <v>0</v>
      </c>
      <c r="F589" s="782">
        <f>Affiliates!J706</f>
        <v>0</v>
      </c>
    </row>
    <row r="590" spans="2:6" ht="14.4" customHeight="1" x14ac:dyDescent="0.3">
      <c r="B590" s="795"/>
      <c r="C590" s="735"/>
      <c r="D590" s="735"/>
      <c r="E590" s="735"/>
      <c r="F590" s="736"/>
    </row>
    <row r="591" spans="2:6" ht="14.4" customHeight="1" x14ac:dyDescent="0.3">
      <c r="B591" s="739" t="str">
        <f>Affiliates!C708</f>
        <v>Existing Monthly Debt</v>
      </c>
      <c r="C591" s="711">
        <f>Affiliates!D708</f>
        <v>0</v>
      </c>
      <c r="D591" s="711">
        <f>Affiliates!F708</f>
        <v>0</v>
      </c>
      <c r="E591" s="711">
        <f>Affiliates!H708</f>
        <v>0</v>
      </c>
      <c r="F591" s="797">
        <f>Affiliates!J708</f>
        <v>0</v>
      </c>
    </row>
    <row r="592" spans="2:6" ht="14.4" customHeight="1" x14ac:dyDescent="0.3">
      <c r="B592" s="739" t="str">
        <f>Affiliates!C709</f>
        <v>Existing Debt</v>
      </c>
      <c r="C592" s="754">
        <f>Affiliates!D709</f>
        <v>0</v>
      </c>
      <c r="D592" s="754">
        <f>Affiliates!F709</f>
        <v>0</v>
      </c>
      <c r="E592" s="754">
        <f>Affiliates!H709</f>
        <v>0</v>
      </c>
      <c r="F592" s="755">
        <f>Affiliates!J709</f>
        <v>0</v>
      </c>
    </row>
    <row r="593" spans="2:6" ht="14.4" customHeight="1" x14ac:dyDescent="0.3">
      <c r="B593" s="734"/>
      <c r="C593" s="735"/>
      <c r="D593" s="735"/>
      <c r="E593" s="735"/>
      <c r="F593" s="736"/>
    </row>
    <row r="594" spans="2:6" ht="14.4" customHeight="1" x14ac:dyDescent="0.3">
      <c r="B594" s="792" t="str">
        <f>Affiliates!C711</f>
        <v>DCR</v>
      </c>
      <c r="C594" s="784">
        <f>Affiliates!D711</f>
        <v>0</v>
      </c>
      <c r="D594" s="784">
        <f>Affiliates!F711</f>
        <v>0</v>
      </c>
      <c r="E594" s="784">
        <f>Affiliates!H711</f>
        <v>0</v>
      </c>
      <c r="F594" s="785">
        <f>Affiliates!J711</f>
        <v>0</v>
      </c>
    </row>
    <row r="595" spans="2:6" ht="14.4" customHeight="1" thickBot="1" x14ac:dyDescent="0.35">
      <c r="B595" s="787"/>
      <c r="C595" s="788"/>
      <c r="D595" s="788"/>
      <c r="E595" s="788"/>
      <c r="F595" s="789"/>
    </row>
    <row r="596" spans="2:6" ht="14.4" customHeight="1" x14ac:dyDescent="0.3"/>
    <row r="597" spans="2:6" ht="14.4" customHeight="1" x14ac:dyDescent="0.3"/>
    <row r="598" spans="2:6" ht="14.4" customHeight="1" x14ac:dyDescent="0.3"/>
    <row r="599" spans="2:6" ht="14.4" customHeight="1" x14ac:dyDescent="0.3"/>
    <row r="600" spans="2:6" ht="14.4" customHeight="1" x14ac:dyDescent="0.3"/>
    <row r="601" spans="2:6" ht="14.4" customHeight="1" x14ac:dyDescent="0.3"/>
    <row r="602" spans="2:6" ht="14.4" customHeight="1" x14ac:dyDescent="0.3"/>
    <row r="603" spans="2:6" ht="14.4" customHeight="1" x14ac:dyDescent="0.3"/>
    <row r="604" spans="2:6" ht="14.4" customHeight="1" x14ac:dyDescent="0.3"/>
    <row r="605" spans="2:6" ht="14.4" customHeight="1" x14ac:dyDescent="0.3"/>
    <row r="606" spans="2:6" ht="14.4" customHeight="1" x14ac:dyDescent="0.3"/>
    <row r="607" spans="2:6" ht="14.4" customHeight="1" x14ac:dyDescent="0.3"/>
    <row r="608" spans="2:6" ht="14.4" customHeight="1" x14ac:dyDescent="0.3"/>
    <row r="609" ht="14.4" customHeight="1" x14ac:dyDescent="0.3"/>
    <row r="610" ht="14.4" customHeight="1" x14ac:dyDescent="0.3"/>
    <row r="611" ht="14.4" customHeight="1" x14ac:dyDescent="0.3"/>
    <row r="612" ht="14.4" customHeight="1" x14ac:dyDescent="0.3"/>
    <row r="613" ht="14.4" customHeight="1" x14ac:dyDescent="0.3"/>
    <row r="614" ht="14.4" customHeight="1" x14ac:dyDescent="0.3"/>
    <row r="615" ht="14.4" customHeight="1" x14ac:dyDescent="0.3"/>
    <row r="616" ht="14.4" customHeight="1" x14ac:dyDescent="0.3"/>
    <row r="617" ht="14.4" customHeight="1" x14ac:dyDescent="0.3"/>
    <row r="618" ht="14.4" customHeight="1" x14ac:dyDescent="0.3"/>
    <row r="619" ht="14.4" customHeight="1" x14ac:dyDescent="0.3"/>
    <row r="620" ht="14.4" customHeight="1" x14ac:dyDescent="0.3"/>
    <row r="621" ht="14.4" customHeight="1" x14ac:dyDescent="0.3"/>
    <row r="622" ht="14.4" customHeight="1" x14ac:dyDescent="0.3"/>
    <row r="623" ht="14.4" customHeight="1" x14ac:dyDescent="0.3"/>
    <row r="624" ht="14.4" customHeight="1" x14ac:dyDescent="0.3"/>
    <row r="625" ht="14.4" customHeight="1" x14ac:dyDescent="0.3"/>
    <row r="626" ht="14.4" customHeight="1" x14ac:dyDescent="0.3"/>
    <row r="627" ht="14.4" customHeight="1" x14ac:dyDescent="0.3"/>
    <row r="628" ht="14.4" customHeight="1" x14ac:dyDescent="0.3"/>
    <row r="629" ht="14.4" customHeight="1" x14ac:dyDescent="0.3"/>
    <row r="630" ht="14.4" customHeight="1" x14ac:dyDescent="0.3"/>
    <row r="631" ht="14.4" customHeight="1" x14ac:dyDescent="0.3"/>
    <row r="632" ht="14.4" customHeight="1" x14ac:dyDescent="0.3"/>
    <row r="633" ht="14.4" customHeight="1" x14ac:dyDescent="0.3"/>
    <row r="634" ht="14.4" customHeight="1" x14ac:dyDescent="0.3"/>
    <row r="635" ht="14.4" customHeight="1" x14ac:dyDescent="0.3"/>
    <row r="636" ht="14.4" customHeight="1" x14ac:dyDescent="0.3"/>
    <row r="637" ht="14.4" customHeight="1" x14ac:dyDescent="0.3"/>
    <row r="638" ht="14.4" customHeight="1" x14ac:dyDescent="0.3"/>
    <row r="639" ht="14.4" customHeight="1" x14ac:dyDescent="0.3"/>
    <row r="640" ht="14.4" customHeight="1" x14ac:dyDescent="0.3"/>
    <row r="641" ht="14.4" customHeight="1" x14ac:dyDescent="0.3"/>
    <row r="642" ht="14.4" customHeight="1" x14ac:dyDescent="0.3"/>
    <row r="643" ht="14.4" customHeight="1" x14ac:dyDescent="0.3"/>
    <row r="644" ht="14.4" customHeight="1" x14ac:dyDescent="0.3"/>
    <row r="645" ht="14.4" customHeight="1" x14ac:dyDescent="0.3"/>
    <row r="646" ht="14.4" customHeight="1" x14ac:dyDescent="0.3"/>
    <row r="647" ht="14.4" customHeight="1" x14ac:dyDescent="0.3"/>
    <row r="648" ht="14.4" customHeight="1" x14ac:dyDescent="0.3"/>
    <row r="649" ht="14.4" customHeight="1" x14ac:dyDescent="0.3"/>
    <row r="650" ht="14.4" customHeight="1" x14ac:dyDescent="0.3"/>
    <row r="651" ht="14.4" customHeight="1" x14ac:dyDescent="0.3"/>
    <row r="652" ht="14.4" customHeight="1" x14ac:dyDescent="0.3"/>
    <row r="653" ht="14.4" customHeight="1" x14ac:dyDescent="0.3"/>
    <row r="654" ht="14.4" customHeight="1" x14ac:dyDescent="0.3"/>
    <row r="655" ht="14.4" customHeight="1" x14ac:dyDescent="0.3"/>
    <row r="656" ht="14.4" customHeight="1" x14ac:dyDescent="0.3"/>
    <row r="657" ht="14.4" customHeight="1" x14ac:dyDescent="0.3"/>
    <row r="658" ht="14.4" customHeight="1" x14ac:dyDescent="0.3"/>
    <row r="659" ht="14.4" customHeight="1" x14ac:dyDescent="0.3"/>
    <row r="660" ht="14.4" customHeight="1" x14ac:dyDescent="0.3"/>
    <row r="661" ht="14.4" customHeight="1" x14ac:dyDescent="0.3"/>
    <row r="662" ht="14.4" customHeight="1" x14ac:dyDescent="0.3"/>
    <row r="663" ht="14.4" customHeight="1" x14ac:dyDescent="0.3"/>
    <row r="664" ht="14.4" customHeight="1" x14ac:dyDescent="0.3"/>
    <row r="665" ht="14.4" customHeight="1" x14ac:dyDescent="0.3"/>
    <row r="666" ht="14.4" customHeight="1" x14ac:dyDescent="0.3"/>
    <row r="667" ht="14.4" customHeight="1" x14ac:dyDescent="0.3"/>
    <row r="668" ht="14.4" customHeight="1" x14ac:dyDescent="0.3"/>
    <row r="669" ht="14.4" customHeight="1" x14ac:dyDescent="0.3"/>
    <row r="670" ht="14.4" customHeight="1" x14ac:dyDescent="0.3"/>
    <row r="671" ht="14.4" customHeight="1" x14ac:dyDescent="0.3"/>
    <row r="672" ht="14.4" customHeight="1" x14ac:dyDescent="0.3"/>
    <row r="673" ht="14.4" customHeight="1" x14ac:dyDescent="0.3"/>
    <row r="674" ht="14.4" customHeight="1" x14ac:dyDescent="0.3"/>
    <row r="675" ht="14.4" customHeight="1" x14ac:dyDescent="0.3"/>
    <row r="676" ht="14.4" customHeight="1" x14ac:dyDescent="0.3"/>
    <row r="677" ht="14.4" customHeight="1" x14ac:dyDescent="0.3"/>
    <row r="678" ht="14.4" customHeight="1" x14ac:dyDescent="0.3"/>
    <row r="679" ht="14.4" customHeight="1" x14ac:dyDescent="0.3"/>
    <row r="680" ht="14.4" customHeight="1" x14ac:dyDescent="0.3"/>
    <row r="681" ht="14.4" customHeight="1" x14ac:dyDescent="0.3"/>
    <row r="682" ht="14.4" customHeight="1" x14ac:dyDescent="0.3"/>
    <row r="683" ht="14.4" customHeight="1" x14ac:dyDescent="0.3"/>
    <row r="684" ht="14.4" customHeight="1" x14ac:dyDescent="0.3"/>
    <row r="685" ht="14.4" customHeight="1" x14ac:dyDescent="0.3"/>
    <row r="686" ht="14.4" customHeight="1" x14ac:dyDescent="0.3"/>
    <row r="687" ht="14.4" customHeight="1" x14ac:dyDescent="0.3"/>
    <row r="688" ht="14.4" customHeight="1" x14ac:dyDescent="0.3"/>
    <row r="689" ht="14.4" customHeight="1" x14ac:dyDescent="0.3"/>
    <row r="690" ht="14.4" customHeight="1" x14ac:dyDescent="0.3"/>
    <row r="691" ht="14.4" customHeight="1" x14ac:dyDescent="0.3"/>
    <row r="692" ht="14.4" customHeight="1" x14ac:dyDescent="0.3"/>
    <row r="693" ht="14.4" customHeight="1" x14ac:dyDescent="0.3"/>
    <row r="694" ht="14.4" customHeight="1" x14ac:dyDescent="0.3"/>
    <row r="695" ht="14.4" customHeight="1" x14ac:dyDescent="0.3"/>
    <row r="696" ht="14.4" customHeight="1" x14ac:dyDescent="0.3"/>
    <row r="697" ht="14.4" customHeight="1" x14ac:dyDescent="0.3"/>
    <row r="698" ht="14.4" customHeight="1" x14ac:dyDescent="0.3"/>
    <row r="699" ht="14.4" customHeight="1" x14ac:dyDescent="0.3"/>
    <row r="700" ht="14.4" customHeight="1" x14ac:dyDescent="0.3"/>
    <row r="701" ht="14.4" customHeight="1" x14ac:dyDescent="0.3"/>
    <row r="702" ht="14.4" customHeight="1" x14ac:dyDescent="0.3"/>
    <row r="703" ht="14.4" customHeight="1" x14ac:dyDescent="0.3"/>
    <row r="704" ht="14.4" customHeight="1" x14ac:dyDescent="0.3"/>
  </sheetData>
  <sheetProtection sheet="1" objects="1" scenarios="1" formatColumns="0" formatRows="0"/>
  <mergeCells count="32">
    <mergeCell ref="M74:P75"/>
    <mergeCell ref="M31:P32"/>
    <mergeCell ref="B565:F565"/>
    <mergeCell ref="B497:F497"/>
    <mergeCell ref="B531:F531"/>
    <mergeCell ref="B429:F429"/>
    <mergeCell ref="B83:C83"/>
    <mergeCell ref="B95:C95"/>
    <mergeCell ref="B94:C94"/>
    <mergeCell ref="B93:C93"/>
    <mergeCell ref="B463:F463"/>
    <mergeCell ref="B361:F361"/>
    <mergeCell ref="B395:F395"/>
    <mergeCell ref="E94:G94"/>
    <mergeCell ref="B191:F191"/>
    <mergeCell ref="B225:F225"/>
    <mergeCell ref="B327:F327"/>
    <mergeCell ref="B293:F293"/>
    <mergeCell ref="B92:C92"/>
    <mergeCell ref="B91:C91"/>
    <mergeCell ref="B84:C84"/>
    <mergeCell ref="B90:C90"/>
    <mergeCell ref="B86:C86"/>
    <mergeCell ref="B88:C88"/>
    <mergeCell ref="B87:C87"/>
    <mergeCell ref="B89:C89"/>
    <mergeCell ref="B85:C85"/>
    <mergeCell ref="E95:G95"/>
    <mergeCell ref="B96:C96"/>
    <mergeCell ref="E96:G96"/>
    <mergeCell ref="G149:H149"/>
    <mergeCell ref="B259:F259"/>
  </mergeCells>
  <conditionalFormatting sqref="B27:B36">
    <cfRule type="expression" dxfId="56" priority="57">
      <formula>C$29="N/A"</formula>
    </cfRule>
  </conditionalFormatting>
  <conditionalFormatting sqref="B101:C101">
    <cfRule type="expression" dxfId="55" priority="117">
      <formula>$B101&lt;&gt;""</formula>
    </cfRule>
  </conditionalFormatting>
  <conditionalFormatting sqref="B101:C128">
    <cfRule type="expression" dxfId="54" priority="111">
      <formula>ROW()-ROW($B$101)+1=SUMPRODUCT(($N$101:$N$124&lt;&gt;0)*1)+4</formula>
    </cfRule>
    <cfRule type="expression" dxfId="53" priority="112">
      <formula>OR(ROW()-ROW($B$101)+1=SUMPRODUCT(($N$101:$N$124&lt;&gt;0)*1)+2,ROW()-ROW($B$101)+1=SUMPRODUCT(($N$101:$N$124&lt;&gt;0)*1)+3)</formula>
    </cfRule>
    <cfRule type="expression" dxfId="52" priority="113">
      <formula>ROW()-ROW($B$101)+1=SUMPRODUCT(($N$101:$N$124&lt;&gt;0)*1)+1</formula>
    </cfRule>
    <cfRule type="expression" dxfId="51" priority="114">
      <formula>ROW()-ROW($B$101)+1&lt;=SUMPRODUCT(($N$101:$N$124&lt;&gt;0)*1)</formula>
    </cfRule>
    <cfRule type="expression" dxfId="50" priority="115">
      <formula>ROW()-ROW($B$101)+1&gt;SUMPRODUCT(($N$101:$N$124&lt;&gt;0)*1)+4</formula>
    </cfRule>
  </conditionalFormatting>
  <conditionalFormatting sqref="B42:E58">
    <cfRule type="expression" dxfId="49" priority="99" stopIfTrue="1">
      <formula>$B42=""</formula>
    </cfRule>
    <cfRule type="expression" dxfId="48" priority="100">
      <formula>$B42="Total Estimated Closing Costs"</formula>
    </cfRule>
    <cfRule type="expression" dxfId="47" priority="101">
      <formula>$B42="Total Estimated Closing Costs"</formula>
    </cfRule>
    <cfRule type="expression" dxfId="46" priority="102">
      <formula>LEFT($B42,5)="Other"</formula>
    </cfRule>
    <cfRule type="expression" dxfId="45" priority="105">
      <formula>LEFT($B42,5)="Other"</formula>
    </cfRule>
    <cfRule type="expression" dxfId="44" priority="106">
      <formula>$B42="Total Estimated Closing Costs"</formula>
    </cfRule>
    <cfRule type="expression" dxfId="43" priority="107">
      <formula>LEFT($B43,5)="Other"</formula>
    </cfRule>
  </conditionalFormatting>
  <conditionalFormatting sqref="B134:G144">
    <cfRule type="expression" dxfId="42" priority="118">
      <formula>$B134="Total"</formula>
    </cfRule>
    <cfRule type="expression" dxfId="41" priority="119">
      <formula>AND($B134&lt;&gt;"",$B134&lt;&gt;"Total")</formula>
    </cfRule>
    <cfRule type="expression" dxfId="40" priority="120">
      <formula>$B134=""</formula>
    </cfRule>
  </conditionalFormatting>
  <conditionalFormatting sqref="B6:K24">
    <cfRule type="expression" dxfId="39" priority="72" stopIfTrue="1">
      <formula>$B6=""</formula>
    </cfRule>
    <cfRule type="expression" dxfId="38" priority="96">
      <formula>$B6="Project Total"</formula>
    </cfRule>
    <cfRule type="expression" dxfId="37" priority="97">
      <formula>$B6="Percentages"</formula>
    </cfRule>
    <cfRule type="expression" dxfId="36" priority="98">
      <formula>$B6="Percentages"</formula>
    </cfRule>
  </conditionalFormatting>
  <conditionalFormatting sqref="C101:C128">
    <cfRule type="expression" dxfId="35" priority="116">
      <formula>ROW()-ROW($B$101)+1&lt;=SUMPRODUCT(($N$101:$N$124&lt;&gt;0)*1)+4</formula>
    </cfRule>
  </conditionalFormatting>
  <conditionalFormatting sqref="C42:D58">
    <cfRule type="expression" dxfId="34" priority="103">
      <formula>LEFT($B42,5)="Other"</formula>
    </cfRule>
    <cfRule type="expression" dxfId="33" priority="104">
      <formula>$B42="Total Estimated Closing Costs"</formula>
    </cfRule>
  </conditionalFormatting>
  <conditionalFormatting sqref="C27:H36">
    <cfRule type="expression" dxfId="32" priority="58">
      <formula>AND(C$29&lt;&gt;"N/A",D$29="N/A")</formula>
    </cfRule>
  </conditionalFormatting>
  <conditionalFormatting sqref="C27:I36">
    <cfRule type="expression" dxfId="31" priority="50">
      <formula>C$29="N/A"</formula>
    </cfRule>
  </conditionalFormatting>
  <conditionalFormatting sqref="C3:J5">
    <cfRule type="expression" dxfId="30" priority="73">
      <formula>AND(C$5&lt;&gt;"N/A",D$5="N/A")</formula>
    </cfRule>
  </conditionalFormatting>
  <conditionalFormatting sqref="C6:J24">
    <cfRule type="expression" dxfId="29" priority="74">
      <formula>AND(C$5&lt;&gt;"N/A",D$5="N/A",$B6&lt;&gt;"")</formula>
    </cfRule>
  </conditionalFormatting>
  <conditionalFormatting sqref="D5:J24">
    <cfRule type="expression" dxfId="28" priority="89">
      <formula>E$5&lt;&gt;"N/A"</formula>
    </cfRule>
  </conditionalFormatting>
  <conditionalFormatting sqref="D3:K24">
    <cfRule type="expression" dxfId="27" priority="64" stopIfTrue="1">
      <formula>D$5="N/A"</formula>
    </cfRule>
  </conditionalFormatting>
  <conditionalFormatting sqref="M103:M105 M112:M114">
    <cfRule type="duplicateValues" dxfId="26" priority="33"/>
  </conditionalFormatting>
  <conditionalFormatting sqref="O3:V24">
    <cfRule type="expression" dxfId="25" priority="34">
      <formula>O$5="N/A"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9CA32C6-BAB8-411D-8993-AE568CDDECAE}">
          <x14:formula1>
            <xm:f>Lists!$Y$3:$Y$6</xm:f>
          </x14:formula1>
          <xm:sqref>C34:I34</xm:sqref>
        </x14:dataValidation>
        <x14:dataValidation type="list" allowBlank="1" showInputMessage="1" showErrorMessage="1" xr:uid="{EB8899D0-63AE-4F55-9712-2954C9874A20}">
          <x14:formula1>
            <xm:f>'BDO Prequal'!$E$15:$K$15</xm:f>
          </x14:formula1>
          <xm:sqref>C64:C65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Y92"/>
  <sheetViews>
    <sheetView workbookViewId="0"/>
  </sheetViews>
  <sheetFormatPr defaultColWidth="18.6640625" defaultRowHeight="16.95" customHeight="1" x14ac:dyDescent="0.3"/>
  <cols>
    <col min="1" max="1" width="18.6640625" style="165"/>
    <col min="2" max="2" width="18.77734375" style="165" bestFit="1" customWidth="1"/>
    <col min="3" max="3" width="10.77734375" style="165" customWidth="1"/>
    <col min="4" max="4" width="4.33203125" style="165" bestFit="1" customWidth="1"/>
    <col min="5" max="5" width="5.77734375" style="165" customWidth="1"/>
    <col min="6" max="6" width="9.77734375" style="165" bestFit="1" customWidth="1"/>
    <col min="7" max="7" width="5.77734375" style="165" customWidth="1"/>
    <col min="8" max="8" width="6" style="165" bestFit="1" customWidth="1"/>
    <col min="9" max="9" width="5.77734375" style="165" customWidth="1"/>
    <col min="10" max="10" width="13.44140625" style="165" bestFit="1" customWidth="1"/>
    <col min="11" max="11" width="5.77734375" style="165" customWidth="1"/>
    <col min="12" max="12" width="14.5546875" style="165" bestFit="1" customWidth="1"/>
    <col min="13" max="13" width="5.77734375" style="165" customWidth="1"/>
    <col min="14" max="14" width="13.44140625" style="165" bestFit="1" customWidth="1"/>
    <col min="15" max="15" width="5.77734375" style="165" customWidth="1"/>
    <col min="16" max="16" width="14.44140625" style="165" bestFit="1" customWidth="1"/>
    <col min="17" max="17" width="5.77734375" style="165" customWidth="1"/>
    <col min="18" max="18" width="16.5546875" style="165" bestFit="1" customWidth="1"/>
    <col min="19" max="19" width="5.77734375" style="165" customWidth="1"/>
    <col min="20" max="20" width="19" style="165" bestFit="1" customWidth="1"/>
    <col min="21" max="21" width="5.77734375" style="165" customWidth="1"/>
    <col min="22" max="22" width="21.77734375" style="165" bestFit="1" customWidth="1"/>
    <col min="23" max="23" width="13.44140625" style="165" bestFit="1" customWidth="1"/>
    <col min="24" max="24" width="5.77734375" style="165" customWidth="1"/>
    <col min="25" max="25" width="18.6640625" style="165"/>
    <col min="26" max="26" width="5.77734375" style="165" customWidth="1"/>
    <col min="27" max="16384" width="18.6640625" style="165"/>
  </cols>
  <sheetData>
    <row r="1" spans="1:25" ht="16.95" customHeight="1" x14ac:dyDescent="0.3">
      <c r="A1" s="541" t="s">
        <v>420</v>
      </c>
      <c r="D1" s="542" t="s">
        <v>306</v>
      </c>
      <c r="E1" s="543"/>
      <c r="F1" s="542" t="s">
        <v>287</v>
      </c>
      <c r="G1" s="543"/>
      <c r="H1" s="542" t="s">
        <v>279</v>
      </c>
      <c r="I1" s="544"/>
      <c r="J1" s="545" t="s">
        <v>469</v>
      </c>
      <c r="K1" s="543"/>
      <c r="L1" s="542" t="s">
        <v>278</v>
      </c>
      <c r="M1" s="542"/>
      <c r="N1" s="542" t="s">
        <v>280</v>
      </c>
      <c r="O1" s="543"/>
      <c r="P1" s="542" t="s">
        <v>136</v>
      </c>
      <c r="Q1" s="543"/>
      <c r="R1" s="542" t="s">
        <v>28</v>
      </c>
      <c r="S1" s="543"/>
      <c r="T1" s="542" t="s">
        <v>140</v>
      </c>
      <c r="U1" s="543"/>
      <c r="V1" s="545" t="s">
        <v>418</v>
      </c>
      <c r="W1" s="545" t="s">
        <v>419</v>
      </c>
      <c r="Y1" s="545" t="s">
        <v>500</v>
      </c>
    </row>
    <row r="2" spans="1:25" ht="14.4" customHeight="1" thickBot="1" x14ac:dyDescent="0.35">
      <c r="D2" s="546"/>
      <c r="E2" s="546"/>
      <c r="F2" s="546"/>
      <c r="G2" s="546"/>
      <c r="H2" s="546"/>
      <c r="K2" s="546"/>
      <c r="L2" s="546"/>
      <c r="M2" s="547"/>
      <c r="N2" s="546"/>
      <c r="O2" s="546"/>
      <c r="P2" s="546"/>
      <c r="Q2" s="546"/>
      <c r="R2" s="548"/>
      <c r="S2" s="546"/>
      <c r="T2" s="546"/>
      <c r="U2" s="546"/>
    </row>
    <row r="3" spans="1:25" ht="14.4" customHeight="1" thickBot="1" x14ac:dyDescent="0.35">
      <c r="A3" s="167" t="s">
        <v>421</v>
      </c>
      <c r="B3" s="549" t="s">
        <v>421</v>
      </c>
      <c r="D3" s="550" t="s">
        <v>307</v>
      </c>
      <c r="E3" s="546"/>
      <c r="F3" s="548" t="s">
        <v>289</v>
      </c>
      <c r="G3" s="546"/>
      <c r="H3" s="550" t="s">
        <v>130</v>
      </c>
      <c r="J3" s="551" t="s">
        <v>470</v>
      </c>
      <c r="K3" s="546"/>
      <c r="L3" s="550" t="s">
        <v>209</v>
      </c>
      <c r="M3" s="547"/>
      <c r="N3" s="550" t="s">
        <v>281</v>
      </c>
      <c r="O3" s="546"/>
      <c r="P3" s="550" t="s">
        <v>137</v>
      </c>
      <c r="Q3" s="546"/>
      <c r="R3" s="548" t="s">
        <v>127</v>
      </c>
      <c r="S3" s="546"/>
      <c r="T3" s="550" t="s">
        <v>295</v>
      </c>
      <c r="U3" s="546"/>
      <c r="V3" s="551" t="s">
        <v>413</v>
      </c>
      <c r="W3" s="552">
        <v>0.85</v>
      </c>
      <c r="Y3" s="551" t="s">
        <v>501</v>
      </c>
    </row>
    <row r="4" spans="1:25" ht="14.4" customHeight="1" x14ac:dyDescent="0.3">
      <c r="A4" s="167" t="s">
        <v>422</v>
      </c>
      <c r="B4" s="553" t="s">
        <v>422</v>
      </c>
      <c r="D4" s="546"/>
      <c r="E4" s="546"/>
      <c r="F4" s="548" t="s">
        <v>291</v>
      </c>
      <c r="G4" s="546"/>
      <c r="H4" s="550" t="s">
        <v>43</v>
      </c>
      <c r="J4" s="551" t="s">
        <v>11</v>
      </c>
      <c r="K4" s="546"/>
      <c r="L4" s="550" t="s">
        <v>366</v>
      </c>
      <c r="M4" s="547"/>
      <c r="N4" s="550" t="s">
        <v>379</v>
      </c>
      <c r="O4" s="546"/>
      <c r="P4" s="550" t="s">
        <v>297</v>
      </c>
      <c r="Q4" s="546"/>
      <c r="R4" s="548" t="s">
        <v>29</v>
      </c>
      <c r="S4" s="546"/>
      <c r="T4" s="550" t="s">
        <v>298</v>
      </c>
      <c r="U4" s="546"/>
      <c r="V4" s="551" t="s">
        <v>414</v>
      </c>
      <c r="W4" s="552">
        <v>0.85</v>
      </c>
      <c r="Y4" s="551" t="s">
        <v>251</v>
      </c>
    </row>
    <row r="5" spans="1:25" ht="14.4" customHeight="1" x14ac:dyDescent="0.3">
      <c r="A5" s="167" t="s">
        <v>423</v>
      </c>
      <c r="B5" s="554" t="s">
        <v>423</v>
      </c>
      <c r="D5" s="546"/>
      <c r="E5" s="546"/>
      <c r="F5" s="546"/>
      <c r="G5" s="546"/>
      <c r="H5" s="550" t="s">
        <v>209</v>
      </c>
      <c r="J5" s="551" t="s">
        <v>471</v>
      </c>
      <c r="K5" s="546"/>
      <c r="L5" s="550" t="s">
        <v>361</v>
      </c>
      <c r="M5" s="547"/>
      <c r="N5" s="550" t="s">
        <v>282</v>
      </c>
      <c r="O5" s="546"/>
      <c r="P5" s="550" t="s">
        <v>299</v>
      </c>
      <c r="Q5" s="546"/>
      <c r="R5" s="548" t="s">
        <v>131</v>
      </c>
      <c r="S5" s="546"/>
      <c r="T5" s="550" t="s">
        <v>300</v>
      </c>
      <c r="U5" s="546"/>
      <c r="V5" s="551" t="s">
        <v>62</v>
      </c>
      <c r="W5" s="552">
        <v>0.5</v>
      </c>
      <c r="Y5" s="551" t="s">
        <v>502</v>
      </c>
    </row>
    <row r="6" spans="1:25" ht="14.4" customHeight="1" thickBot="1" x14ac:dyDescent="0.35">
      <c r="A6" s="167" t="s">
        <v>424</v>
      </c>
      <c r="B6" s="555"/>
      <c r="D6" s="546"/>
      <c r="E6" s="546"/>
      <c r="F6" s="546"/>
      <c r="G6" s="546"/>
      <c r="H6" s="546"/>
      <c r="J6" s="551" t="s">
        <v>472</v>
      </c>
      <c r="K6" s="546"/>
      <c r="L6" s="550" t="s">
        <v>362</v>
      </c>
      <c r="M6" s="546"/>
      <c r="N6" s="550" t="s">
        <v>283</v>
      </c>
      <c r="O6" s="546"/>
      <c r="P6" s="550" t="s">
        <v>301</v>
      </c>
      <c r="Q6" s="546"/>
      <c r="R6" s="548" t="s">
        <v>378</v>
      </c>
      <c r="S6" s="546"/>
      <c r="T6" s="550" t="s">
        <v>153</v>
      </c>
      <c r="U6" s="546"/>
      <c r="V6" s="551" t="s">
        <v>417</v>
      </c>
      <c r="W6" s="552">
        <v>0.5</v>
      </c>
      <c r="Y6" s="551" t="s">
        <v>503</v>
      </c>
    </row>
    <row r="7" spans="1:25" ht="16.95" customHeight="1" x14ac:dyDescent="0.3">
      <c r="A7" s="167" t="s">
        <v>425</v>
      </c>
      <c r="B7" s="556" t="s">
        <v>425</v>
      </c>
      <c r="D7" s="546"/>
      <c r="E7" s="546"/>
      <c r="F7" s="546"/>
      <c r="G7" s="546"/>
      <c r="H7" s="546"/>
      <c r="J7" s="551" t="s">
        <v>13</v>
      </c>
      <c r="K7" s="546"/>
      <c r="L7" s="550" t="s">
        <v>363</v>
      </c>
      <c r="M7" s="546"/>
      <c r="N7" s="550" t="s">
        <v>285</v>
      </c>
      <c r="O7" s="546"/>
      <c r="P7" s="550" t="s">
        <v>302</v>
      </c>
      <c r="Q7" s="546"/>
      <c r="R7" s="548" t="s">
        <v>381</v>
      </c>
      <c r="S7" s="546"/>
      <c r="T7" s="546"/>
      <c r="U7" s="546"/>
      <c r="V7" s="551" t="s">
        <v>190</v>
      </c>
      <c r="W7" s="552">
        <v>0.1</v>
      </c>
    </row>
    <row r="8" spans="1:25" ht="14.4" x14ac:dyDescent="0.3">
      <c r="D8" s="546"/>
      <c r="E8" s="546"/>
      <c r="F8" s="546"/>
      <c r="G8" s="546"/>
      <c r="H8" s="546"/>
      <c r="J8" s="551" t="s">
        <v>370</v>
      </c>
      <c r="K8" s="546"/>
      <c r="L8" s="550" t="s">
        <v>364</v>
      </c>
      <c r="M8" s="546"/>
      <c r="N8" s="550" t="s">
        <v>288</v>
      </c>
      <c r="O8" s="546"/>
      <c r="P8" s="550" t="s">
        <v>138</v>
      </c>
      <c r="Q8" s="546"/>
      <c r="R8" s="546"/>
      <c r="S8" s="546"/>
      <c r="T8" s="546"/>
      <c r="U8" s="546"/>
      <c r="V8" s="551" t="s">
        <v>68</v>
      </c>
      <c r="W8" s="552">
        <v>0.1</v>
      </c>
    </row>
    <row r="9" spans="1:25" ht="14.4" x14ac:dyDescent="0.3">
      <c r="D9" s="546"/>
      <c r="E9" s="546"/>
      <c r="F9" s="546"/>
      <c r="G9" s="546"/>
      <c r="H9" s="546"/>
      <c r="J9" s="551" t="s">
        <v>209</v>
      </c>
      <c r="K9" s="546"/>
      <c r="L9" s="550" t="s">
        <v>12</v>
      </c>
      <c r="M9" s="546"/>
      <c r="N9" s="550" t="s">
        <v>290</v>
      </c>
      <c r="O9" s="546"/>
      <c r="P9" s="550" t="s">
        <v>303</v>
      </c>
      <c r="Q9" s="546"/>
      <c r="R9" s="546"/>
      <c r="S9" s="546"/>
      <c r="T9" s="546"/>
      <c r="U9" s="546"/>
      <c r="V9" s="551" t="s">
        <v>415</v>
      </c>
      <c r="W9" s="552">
        <v>0.1</v>
      </c>
    </row>
    <row r="10" spans="1:25" ht="14.4" x14ac:dyDescent="0.3">
      <c r="D10" s="546"/>
      <c r="E10" s="546"/>
      <c r="F10" s="546"/>
      <c r="G10" s="546"/>
      <c r="H10" s="546"/>
      <c r="J10" s="546"/>
      <c r="K10" s="546"/>
      <c r="L10" s="550" t="s">
        <v>365</v>
      </c>
      <c r="M10" s="546"/>
      <c r="N10" s="550" t="s">
        <v>369</v>
      </c>
      <c r="O10" s="546"/>
      <c r="P10" s="550" t="s">
        <v>304</v>
      </c>
      <c r="Q10" s="546"/>
      <c r="R10" s="546"/>
      <c r="S10" s="546"/>
      <c r="T10" s="546"/>
      <c r="U10" s="546"/>
      <c r="V10" s="551" t="s">
        <v>416</v>
      </c>
      <c r="W10" s="552">
        <v>0.05</v>
      </c>
    </row>
    <row r="11" spans="1:25" ht="14.4" x14ac:dyDescent="0.3">
      <c r="D11" s="546"/>
      <c r="E11" s="546"/>
      <c r="F11" s="546"/>
      <c r="G11" s="546"/>
      <c r="H11" s="546"/>
      <c r="J11" s="546"/>
      <c r="K11" s="546"/>
      <c r="L11" s="550" t="s">
        <v>284</v>
      </c>
      <c r="M11" s="546"/>
      <c r="N11" s="550" t="s">
        <v>380</v>
      </c>
      <c r="O11" s="546"/>
      <c r="P11" s="550" t="s">
        <v>153</v>
      </c>
      <c r="Q11" s="546"/>
      <c r="R11" s="546"/>
      <c r="S11" s="546"/>
      <c r="T11" s="546"/>
      <c r="U11" s="546"/>
      <c r="V11" s="551" t="s">
        <v>191</v>
      </c>
      <c r="W11" s="552">
        <v>0</v>
      </c>
    </row>
    <row r="12" spans="1:25" ht="14.4" x14ac:dyDescent="0.3">
      <c r="D12" s="546"/>
      <c r="E12" s="546"/>
      <c r="F12" s="546"/>
      <c r="G12" s="546"/>
      <c r="H12" s="546"/>
      <c r="J12" s="546"/>
      <c r="K12" s="546"/>
      <c r="L12" s="550" t="s">
        <v>286</v>
      </c>
      <c r="M12" s="546"/>
      <c r="N12" s="550" t="s">
        <v>292</v>
      </c>
      <c r="O12" s="546"/>
      <c r="P12" s="546"/>
      <c r="Q12" s="546"/>
      <c r="R12" s="546"/>
      <c r="S12" s="546"/>
      <c r="T12" s="546"/>
      <c r="U12" s="546"/>
      <c r="V12" s="546"/>
      <c r="W12" s="546"/>
    </row>
    <row r="13" spans="1:25" ht="14.4" x14ac:dyDescent="0.3">
      <c r="D13" s="546"/>
      <c r="E13" s="546"/>
      <c r="F13" s="546"/>
      <c r="G13" s="546"/>
      <c r="H13" s="546"/>
      <c r="J13" s="546"/>
      <c r="K13" s="546"/>
      <c r="L13" s="550" t="s">
        <v>368</v>
      </c>
      <c r="M13" s="546"/>
      <c r="N13" s="550" t="s">
        <v>293</v>
      </c>
      <c r="O13" s="546"/>
      <c r="P13" s="546"/>
      <c r="Q13" s="546"/>
      <c r="R13" s="546"/>
      <c r="S13" s="546"/>
      <c r="T13" s="546"/>
      <c r="U13" s="546"/>
      <c r="V13" s="546"/>
      <c r="W13" s="546"/>
    </row>
    <row r="14" spans="1:25" ht="14.4" x14ac:dyDescent="0.3">
      <c r="D14" s="546"/>
      <c r="E14" s="546"/>
      <c r="F14" s="546"/>
      <c r="G14" s="546"/>
      <c r="H14" s="546"/>
      <c r="J14" s="546"/>
      <c r="K14" s="546"/>
      <c r="M14" s="546"/>
      <c r="N14" s="550" t="s">
        <v>294</v>
      </c>
      <c r="O14" s="546"/>
      <c r="P14" s="546"/>
      <c r="Q14" s="546"/>
      <c r="R14" s="546"/>
      <c r="S14" s="546"/>
      <c r="T14" s="546"/>
      <c r="U14" s="546"/>
      <c r="V14" s="546"/>
      <c r="W14" s="546"/>
    </row>
    <row r="15" spans="1:25" ht="14.4" x14ac:dyDescent="0.3">
      <c r="D15" s="546"/>
      <c r="E15" s="546"/>
      <c r="F15" s="546"/>
      <c r="G15" s="546"/>
      <c r="H15" s="546"/>
      <c r="J15" s="546"/>
      <c r="K15" s="546"/>
      <c r="L15" s="550"/>
      <c r="M15" s="546"/>
      <c r="N15" s="550" t="s">
        <v>296</v>
      </c>
      <c r="O15" s="546"/>
      <c r="P15" s="546"/>
      <c r="Q15" s="546"/>
      <c r="R15" s="546"/>
      <c r="S15" s="546"/>
      <c r="T15" s="546"/>
      <c r="U15" s="546"/>
      <c r="V15" s="546"/>
      <c r="W15" s="546"/>
    </row>
    <row r="16" spans="1:25" ht="14.4" x14ac:dyDescent="0.3">
      <c r="D16" s="546"/>
      <c r="E16" s="546"/>
      <c r="F16" s="546"/>
      <c r="G16" s="546"/>
      <c r="H16" s="550"/>
      <c r="J16" s="546"/>
      <c r="K16" s="546"/>
      <c r="L16" s="546"/>
      <c r="M16" s="546"/>
      <c r="N16" s="546"/>
      <c r="O16" s="546"/>
      <c r="P16" s="546"/>
      <c r="Q16" s="546"/>
      <c r="R16" s="546"/>
      <c r="S16" s="546"/>
      <c r="T16" s="546"/>
      <c r="U16" s="546"/>
      <c r="V16" s="546"/>
      <c r="W16" s="546"/>
    </row>
    <row r="17" spans="4:23" ht="14.4" x14ac:dyDescent="0.3">
      <c r="D17" s="546"/>
      <c r="E17" s="546"/>
      <c r="F17" s="546"/>
      <c r="G17" s="546"/>
      <c r="H17" s="546"/>
      <c r="K17" s="546"/>
      <c r="L17" s="546"/>
      <c r="M17" s="546"/>
      <c r="N17" s="546"/>
      <c r="O17" s="546"/>
      <c r="P17" s="546"/>
      <c r="Q17" s="546"/>
      <c r="R17" s="546"/>
      <c r="S17" s="546"/>
      <c r="T17" s="546"/>
      <c r="U17" s="546"/>
      <c r="V17" s="546"/>
      <c r="W17" s="546"/>
    </row>
    <row r="18" spans="4:23" ht="14.4" x14ac:dyDescent="0.3">
      <c r="D18" s="546"/>
      <c r="E18" s="546"/>
      <c r="F18" s="546"/>
      <c r="G18" s="546"/>
      <c r="H18" s="546"/>
      <c r="K18" s="546"/>
      <c r="L18" s="546"/>
      <c r="M18" s="546"/>
      <c r="N18" s="546"/>
      <c r="O18" s="546"/>
      <c r="P18" s="546"/>
      <c r="Q18" s="546"/>
      <c r="R18" s="546"/>
      <c r="S18" s="546"/>
      <c r="T18" s="546"/>
      <c r="U18" s="546"/>
      <c r="V18" s="546"/>
      <c r="W18" s="546"/>
    </row>
    <row r="19" spans="4:23" ht="14.4" x14ac:dyDescent="0.3">
      <c r="D19" s="546"/>
      <c r="E19" s="546"/>
      <c r="F19" s="547"/>
      <c r="G19" s="546"/>
      <c r="H19" s="546"/>
      <c r="K19" s="546"/>
      <c r="L19" s="546"/>
      <c r="M19" s="546"/>
      <c r="N19" s="546"/>
      <c r="O19" s="546"/>
      <c r="P19" s="546"/>
      <c r="Q19" s="546"/>
      <c r="R19" s="546"/>
      <c r="S19" s="546"/>
      <c r="T19" s="546"/>
      <c r="U19" s="546"/>
      <c r="V19" s="546"/>
      <c r="W19" s="546"/>
    </row>
    <row r="20" spans="4:23" ht="14.4" x14ac:dyDescent="0.3">
      <c r="D20" s="546"/>
      <c r="E20" s="546"/>
      <c r="F20" s="546"/>
      <c r="G20" s="546"/>
      <c r="H20" s="546"/>
      <c r="K20" s="546"/>
      <c r="L20" s="546"/>
      <c r="M20" s="546"/>
      <c r="N20" s="546"/>
      <c r="O20" s="546"/>
      <c r="P20" s="546"/>
      <c r="Q20" s="546"/>
      <c r="R20" s="546"/>
      <c r="S20" s="546"/>
      <c r="T20" s="546"/>
      <c r="U20" s="546"/>
      <c r="V20" s="546"/>
      <c r="W20" s="546"/>
    </row>
    <row r="21" spans="4:23" ht="14.4" x14ac:dyDescent="0.3">
      <c r="D21" s="546"/>
      <c r="E21" s="546"/>
      <c r="F21" s="546"/>
      <c r="G21" s="546"/>
      <c r="H21" s="546"/>
      <c r="K21" s="546"/>
      <c r="L21" s="546"/>
      <c r="M21" s="546"/>
      <c r="N21" s="546"/>
      <c r="O21" s="546"/>
      <c r="P21" s="546"/>
      <c r="Q21" s="546"/>
      <c r="R21" s="546"/>
      <c r="S21" s="546"/>
      <c r="T21" s="546"/>
      <c r="U21" s="546"/>
      <c r="V21" s="546"/>
      <c r="W21" s="546"/>
    </row>
    <row r="22" spans="4:23" ht="14.4" x14ac:dyDescent="0.3">
      <c r="D22" s="546"/>
      <c r="E22" s="546"/>
      <c r="F22" s="546"/>
      <c r="G22" s="546"/>
      <c r="H22" s="546"/>
      <c r="K22" s="546"/>
      <c r="L22" s="546"/>
      <c r="M22" s="546"/>
      <c r="N22" s="546"/>
      <c r="O22" s="546"/>
      <c r="P22" s="546"/>
      <c r="Q22" s="546"/>
      <c r="R22" s="546"/>
      <c r="S22" s="546"/>
      <c r="T22" s="546"/>
      <c r="U22" s="546"/>
      <c r="V22" s="546"/>
      <c r="W22" s="546"/>
    </row>
    <row r="23" spans="4:23" ht="14.4" x14ac:dyDescent="0.3">
      <c r="D23" s="546"/>
      <c r="E23" s="546"/>
      <c r="F23" s="546"/>
      <c r="G23" s="546"/>
      <c r="H23" s="546"/>
      <c r="K23" s="546"/>
      <c r="L23" s="546"/>
      <c r="M23" s="546"/>
      <c r="N23" s="546"/>
      <c r="O23" s="546"/>
      <c r="P23" s="546"/>
      <c r="Q23" s="546"/>
      <c r="R23" s="546"/>
      <c r="S23" s="546"/>
      <c r="T23" s="546"/>
      <c r="U23" s="546"/>
      <c r="V23" s="546"/>
      <c r="W23" s="546"/>
    </row>
    <row r="24" spans="4:23" ht="14.4" x14ac:dyDescent="0.3">
      <c r="D24" s="546"/>
      <c r="E24" s="546"/>
      <c r="F24" s="546"/>
      <c r="G24" s="546"/>
      <c r="H24" s="546"/>
      <c r="K24" s="546"/>
      <c r="L24" s="546"/>
      <c r="M24" s="546"/>
      <c r="N24" s="546"/>
      <c r="O24" s="546"/>
      <c r="P24" s="546"/>
      <c r="Q24" s="546"/>
      <c r="R24" s="546"/>
      <c r="S24" s="546"/>
      <c r="T24" s="546"/>
      <c r="U24" s="546"/>
      <c r="V24" s="546"/>
      <c r="W24" s="546"/>
    </row>
    <row r="25" spans="4:23" ht="14.4" x14ac:dyDescent="0.3">
      <c r="D25" s="546"/>
      <c r="E25" s="546"/>
      <c r="F25" s="546"/>
      <c r="G25" s="546"/>
      <c r="H25" s="546"/>
      <c r="K25" s="546"/>
      <c r="L25" s="546"/>
      <c r="M25" s="546"/>
      <c r="N25" s="546"/>
      <c r="O25" s="546"/>
      <c r="P25" s="546"/>
      <c r="Q25" s="546"/>
      <c r="R25" s="546"/>
      <c r="S25" s="546"/>
      <c r="T25" s="546"/>
      <c r="U25" s="546"/>
      <c r="V25" s="546"/>
      <c r="W25" s="546"/>
    </row>
    <row r="26" spans="4:23" ht="14.4" x14ac:dyDescent="0.3">
      <c r="D26" s="546"/>
      <c r="E26" s="546"/>
      <c r="F26" s="546"/>
      <c r="G26" s="546"/>
      <c r="H26" s="546"/>
      <c r="K26" s="546"/>
      <c r="L26" s="546"/>
      <c r="M26" s="546"/>
      <c r="N26" s="546"/>
      <c r="O26" s="546"/>
      <c r="P26" s="546"/>
      <c r="Q26" s="546"/>
      <c r="R26" s="546"/>
      <c r="S26" s="546"/>
      <c r="T26" s="546"/>
      <c r="U26" s="546"/>
      <c r="V26" s="546"/>
      <c r="W26" s="546"/>
    </row>
    <row r="27" spans="4:23" ht="14.4" x14ac:dyDescent="0.3">
      <c r="D27" s="546"/>
      <c r="E27" s="546"/>
      <c r="F27" s="546"/>
      <c r="G27" s="546"/>
      <c r="H27" s="546"/>
      <c r="K27" s="546"/>
      <c r="L27" s="546"/>
      <c r="M27" s="546"/>
      <c r="N27" s="546"/>
      <c r="O27" s="546"/>
      <c r="P27" s="546"/>
      <c r="Q27" s="546"/>
      <c r="R27" s="546"/>
      <c r="S27" s="546"/>
      <c r="T27" s="546"/>
      <c r="U27" s="546"/>
      <c r="V27" s="546"/>
      <c r="W27" s="546"/>
    </row>
    <row r="28" spans="4:23" ht="14.4" x14ac:dyDescent="0.3">
      <c r="D28" s="546"/>
      <c r="E28" s="546"/>
      <c r="F28" s="546"/>
      <c r="G28" s="546"/>
      <c r="H28" s="546"/>
      <c r="K28" s="546"/>
      <c r="L28" s="546"/>
      <c r="M28" s="546"/>
      <c r="N28" s="546"/>
      <c r="O28" s="546"/>
      <c r="P28" s="546"/>
      <c r="Q28" s="546"/>
      <c r="R28" s="546"/>
      <c r="S28" s="546"/>
      <c r="T28" s="546"/>
      <c r="U28" s="546"/>
      <c r="V28" s="546"/>
      <c r="W28" s="546"/>
    </row>
    <row r="29" spans="4:23" ht="14.4" x14ac:dyDescent="0.3"/>
    <row r="30" spans="4:23" ht="14.4" x14ac:dyDescent="0.3"/>
    <row r="31" spans="4:23" ht="14.4" x14ac:dyDescent="0.3"/>
    <row r="32" spans="4:23" ht="14.4" x14ac:dyDescent="0.3"/>
    <row r="33" spans="1:8" ht="14.4" x14ac:dyDescent="0.3"/>
    <row r="34" spans="1:8" ht="14.4" x14ac:dyDescent="0.3"/>
    <row r="36" spans="1:8" ht="14.4" x14ac:dyDescent="0.3">
      <c r="H36" s="557"/>
    </row>
    <row r="37" spans="1:8" ht="14.4" x14ac:dyDescent="0.3">
      <c r="A37" s="557"/>
      <c r="B37" s="557"/>
      <c r="F37" s="557"/>
      <c r="G37" s="557"/>
    </row>
    <row r="38" spans="1:8" ht="14.4" x14ac:dyDescent="0.3">
      <c r="C38" s="557"/>
      <c r="H38" s="558"/>
    </row>
    <row r="39" spans="1:8" ht="14.4" x14ac:dyDescent="0.3">
      <c r="A39" s="558"/>
      <c r="B39" s="558"/>
      <c r="F39" s="558"/>
      <c r="G39" s="558"/>
      <c r="H39" s="558"/>
    </row>
    <row r="40" spans="1:8" ht="14.4" x14ac:dyDescent="0.3">
      <c r="A40" s="558"/>
      <c r="B40" s="558"/>
      <c r="C40" s="558"/>
      <c r="F40" s="558"/>
      <c r="G40" s="558"/>
    </row>
    <row r="41" spans="1:8" ht="14.4" x14ac:dyDescent="0.3">
      <c r="A41" s="558"/>
      <c r="B41" s="558"/>
      <c r="C41" s="558"/>
      <c r="F41" s="558"/>
      <c r="G41" s="558"/>
    </row>
    <row r="42" spans="1:8" ht="14.4" x14ac:dyDescent="0.3">
      <c r="A42" s="558"/>
      <c r="B42" s="558"/>
      <c r="C42" s="558"/>
      <c r="F42" s="558"/>
      <c r="G42" s="558"/>
    </row>
    <row r="43" spans="1:8" ht="14.4" x14ac:dyDescent="0.3">
      <c r="B43" s="558"/>
      <c r="F43" s="558"/>
      <c r="G43" s="558"/>
    </row>
    <row r="44" spans="1:8" ht="14.4" x14ac:dyDescent="0.3">
      <c r="F44" s="558"/>
      <c r="G44" s="558"/>
      <c r="H44" s="557"/>
    </row>
    <row r="45" spans="1:8" ht="14.4" x14ac:dyDescent="0.3">
      <c r="F45" s="558"/>
      <c r="G45" s="558"/>
    </row>
    <row r="46" spans="1:8" ht="14.4" x14ac:dyDescent="0.3">
      <c r="A46" s="557"/>
      <c r="B46" s="557"/>
      <c r="F46" s="558"/>
      <c r="G46" s="558"/>
      <c r="H46" s="558"/>
    </row>
    <row r="47" spans="1:8" ht="14.4" x14ac:dyDescent="0.3">
      <c r="F47" s="558"/>
      <c r="G47" s="557"/>
      <c r="H47" s="558"/>
    </row>
    <row r="48" spans="1:8" ht="14.4" x14ac:dyDescent="0.3">
      <c r="A48" s="558"/>
      <c r="B48" s="558"/>
      <c r="F48" s="558"/>
      <c r="H48" s="558"/>
    </row>
    <row r="49" spans="1:8" ht="14.4" x14ac:dyDescent="0.3">
      <c r="A49" s="558"/>
      <c r="B49" s="558"/>
      <c r="F49" s="558"/>
      <c r="G49" s="558"/>
      <c r="H49" s="558"/>
    </row>
    <row r="50" spans="1:8" ht="14.4" x14ac:dyDescent="0.3">
      <c r="A50" s="558"/>
      <c r="B50" s="558"/>
      <c r="F50" s="558"/>
      <c r="G50" s="558"/>
      <c r="H50" s="558"/>
    </row>
    <row r="51" spans="1:8" ht="14.4" x14ac:dyDescent="0.3">
      <c r="F51" s="558"/>
      <c r="G51" s="558"/>
      <c r="H51" s="558"/>
    </row>
    <row r="52" spans="1:8" ht="14.4" x14ac:dyDescent="0.3">
      <c r="A52" s="557"/>
      <c r="F52" s="558"/>
      <c r="G52" s="558"/>
      <c r="H52" s="558"/>
    </row>
    <row r="53" spans="1:8" ht="14.4" x14ac:dyDescent="0.3">
      <c r="C53" s="557"/>
      <c r="F53" s="558"/>
      <c r="G53" s="558"/>
      <c r="H53" s="558"/>
    </row>
    <row r="54" spans="1:8" ht="14.4" x14ac:dyDescent="0.3">
      <c r="A54" s="557"/>
      <c r="G54" s="558"/>
      <c r="H54" s="558"/>
    </row>
    <row r="55" spans="1:8" ht="14.4" x14ac:dyDescent="0.3">
      <c r="A55" s="557"/>
      <c r="B55" s="557"/>
      <c r="C55" s="558"/>
      <c r="G55" s="558"/>
      <c r="H55" s="558"/>
    </row>
    <row r="56" spans="1:8" ht="14.4" x14ac:dyDescent="0.3">
      <c r="C56" s="558"/>
      <c r="G56" s="558"/>
      <c r="H56" s="558"/>
    </row>
    <row r="57" spans="1:8" ht="14.4" x14ac:dyDescent="0.3">
      <c r="A57" s="550"/>
      <c r="B57" s="558"/>
      <c r="C57" s="558"/>
    </row>
    <row r="58" spans="1:8" ht="14.4" x14ac:dyDescent="0.3">
      <c r="A58" s="550"/>
      <c r="B58" s="558"/>
      <c r="C58" s="558"/>
    </row>
    <row r="59" spans="1:8" ht="14.4" x14ac:dyDescent="0.3">
      <c r="A59" s="550"/>
      <c r="B59" s="558"/>
      <c r="F59" s="557"/>
    </row>
    <row r="60" spans="1:8" ht="14.4" x14ac:dyDescent="0.3">
      <c r="B60" s="558"/>
      <c r="C60" s="557"/>
      <c r="G60" s="557"/>
      <c r="H60" s="557"/>
    </row>
    <row r="61" spans="1:8" ht="14.4" x14ac:dyDescent="0.3">
      <c r="A61" s="557"/>
      <c r="B61" s="558"/>
      <c r="F61" s="558"/>
    </row>
    <row r="62" spans="1:8" ht="14.4" x14ac:dyDescent="0.3">
      <c r="B62" s="558"/>
      <c r="C62" s="558"/>
      <c r="F62" s="558"/>
      <c r="G62" s="558"/>
      <c r="H62" s="558"/>
    </row>
    <row r="63" spans="1:8" ht="14.4" x14ac:dyDescent="0.3">
      <c r="A63" s="558"/>
      <c r="C63" s="558"/>
      <c r="F63" s="558"/>
      <c r="G63" s="558"/>
      <c r="H63" s="558"/>
    </row>
    <row r="64" spans="1:8" ht="14.4" x14ac:dyDescent="0.3">
      <c r="A64" s="558"/>
      <c r="C64" s="558"/>
      <c r="F64" s="558"/>
      <c r="H64" s="558"/>
    </row>
    <row r="65" spans="1:8" ht="14.4" x14ac:dyDescent="0.3">
      <c r="C65" s="558"/>
      <c r="F65" s="558"/>
    </row>
    <row r="66" spans="1:8" ht="14.4" x14ac:dyDescent="0.3">
      <c r="F66" s="558"/>
    </row>
    <row r="67" spans="1:8" ht="14.4" x14ac:dyDescent="0.3">
      <c r="H67" s="557"/>
    </row>
    <row r="68" spans="1:8" ht="14.4" x14ac:dyDescent="0.3">
      <c r="A68" s="557"/>
      <c r="B68" s="557"/>
      <c r="F68" s="557"/>
    </row>
    <row r="69" spans="1:8" ht="14.4" x14ac:dyDescent="0.3">
      <c r="H69" s="558"/>
    </row>
    <row r="70" spans="1:8" ht="14.4" x14ac:dyDescent="0.3">
      <c r="A70" s="558"/>
      <c r="B70" s="558"/>
      <c r="F70" s="558"/>
      <c r="H70" s="558"/>
    </row>
    <row r="71" spans="1:8" ht="14.4" x14ac:dyDescent="0.3">
      <c r="A71" s="558"/>
      <c r="B71" s="558"/>
      <c r="F71" s="558"/>
    </row>
    <row r="72" spans="1:8" ht="14.4" x14ac:dyDescent="0.3">
      <c r="A72" s="558"/>
      <c r="B72" s="558"/>
      <c r="F72" s="558"/>
    </row>
    <row r="73" spans="1:8" ht="14.4" x14ac:dyDescent="0.3">
      <c r="A73" s="558"/>
    </row>
    <row r="74" spans="1:8" ht="14.4" x14ac:dyDescent="0.3">
      <c r="A74" s="558"/>
    </row>
    <row r="75" spans="1:8" ht="14.4" x14ac:dyDescent="0.3">
      <c r="A75" s="558"/>
      <c r="H75" s="557"/>
    </row>
    <row r="76" spans="1:8" ht="14.4" x14ac:dyDescent="0.3">
      <c r="A76" s="558"/>
      <c r="H76" s="550"/>
    </row>
    <row r="77" spans="1:8" ht="14.4" x14ac:dyDescent="0.3">
      <c r="H77" s="559"/>
    </row>
    <row r="78" spans="1:8" ht="14.4" x14ac:dyDescent="0.3">
      <c r="A78" s="557"/>
      <c r="B78" s="557"/>
      <c r="C78" s="557"/>
      <c r="F78" s="557"/>
      <c r="G78" s="557"/>
      <c r="H78" s="550"/>
    </row>
    <row r="79" spans="1:8" ht="14.4" x14ac:dyDescent="0.3">
      <c r="H79" s="550"/>
    </row>
    <row r="80" spans="1:8" ht="14.4" x14ac:dyDescent="0.3">
      <c r="A80" s="558"/>
      <c r="B80" s="558"/>
      <c r="C80" s="560"/>
      <c r="F80" s="561"/>
      <c r="G80" s="561"/>
      <c r="H80" s="550"/>
    </row>
    <row r="81" spans="1:8" ht="14.4" x14ac:dyDescent="0.3">
      <c r="A81" s="558"/>
      <c r="B81" s="558"/>
      <c r="C81" s="560"/>
      <c r="F81" s="561"/>
      <c r="G81" s="561"/>
    </row>
    <row r="82" spans="1:8" ht="14.4" x14ac:dyDescent="0.3">
      <c r="A82" s="558"/>
      <c r="B82" s="558"/>
      <c r="C82" s="560"/>
      <c r="F82" s="561"/>
      <c r="G82" s="561"/>
      <c r="H82" s="557"/>
    </row>
    <row r="83" spans="1:8" ht="14.4" x14ac:dyDescent="0.3">
      <c r="A83" s="558"/>
      <c r="C83" s="560"/>
      <c r="F83" s="561"/>
      <c r="G83" s="561"/>
    </row>
    <row r="84" spans="1:8" ht="14.4" x14ac:dyDescent="0.3">
      <c r="F84" s="561"/>
      <c r="G84" s="561"/>
      <c r="H84" s="558"/>
    </row>
    <row r="85" spans="1:8" ht="14.4" x14ac:dyDescent="0.3">
      <c r="F85" s="561"/>
      <c r="H85" s="558"/>
    </row>
    <row r="86" spans="1:8" ht="14.4" x14ac:dyDescent="0.3">
      <c r="H86" s="558"/>
    </row>
    <row r="87" spans="1:8" ht="14.4" x14ac:dyDescent="0.3">
      <c r="A87" s="557"/>
      <c r="B87" s="557"/>
      <c r="H87" s="558"/>
    </row>
    <row r="88" spans="1:8" ht="14.4" x14ac:dyDescent="0.3">
      <c r="H88" s="558"/>
    </row>
    <row r="89" spans="1:8" ht="14.4" x14ac:dyDescent="0.3">
      <c r="A89" s="558"/>
      <c r="H89" s="558"/>
    </row>
    <row r="90" spans="1:8" ht="14.4" x14ac:dyDescent="0.3">
      <c r="A90" s="558"/>
      <c r="H90" s="558"/>
    </row>
    <row r="91" spans="1:8" ht="14.4" x14ac:dyDescent="0.3">
      <c r="A91" s="558"/>
      <c r="H91" s="558"/>
    </row>
    <row r="92" spans="1:8" ht="14.4" x14ac:dyDescent="0.3">
      <c r="H92" s="558"/>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2808-DEDC-4387-8C19-BD7B9C43FEF6}">
  <sheetPr>
    <tabColor theme="5" tint="0.79998168889431442"/>
  </sheetPr>
  <dimension ref="B1:Z48"/>
  <sheetViews>
    <sheetView workbookViewId="0">
      <selection activeCell="E47" sqref="E47"/>
    </sheetView>
  </sheetViews>
  <sheetFormatPr defaultRowHeight="14.4" x14ac:dyDescent="0.3"/>
  <cols>
    <col min="1" max="1" width="3.6640625" style="165" customWidth="1"/>
    <col min="2" max="2" width="15" style="165" bestFit="1" customWidth="1"/>
    <col min="3" max="3" width="14.109375" style="165" customWidth="1"/>
    <col min="4" max="4" width="11.5546875" style="165" bestFit="1" customWidth="1"/>
    <col min="5" max="5" width="9.44140625" style="165" bestFit="1" customWidth="1"/>
    <col min="6" max="6" width="9" style="165" bestFit="1" customWidth="1"/>
    <col min="7" max="7" width="10.77734375" style="165" bestFit="1" customWidth="1"/>
    <col min="8" max="8" width="9.88671875" style="165" bestFit="1" customWidth="1"/>
    <col min="9" max="9" width="6.109375" style="165" bestFit="1" customWidth="1"/>
    <col min="10" max="10" width="21.44140625" style="165" bestFit="1" customWidth="1"/>
    <col min="11" max="11" width="12.5546875" style="165" customWidth="1"/>
    <col min="12" max="12" width="3.44140625" style="165" customWidth="1"/>
    <col min="13" max="13" width="8.88671875" style="165"/>
    <col min="14" max="14" width="9.5546875" style="165" bestFit="1" customWidth="1"/>
    <col min="15" max="15" width="11" style="165" bestFit="1" customWidth="1"/>
    <col min="16" max="16" width="6" style="165" bestFit="1" customWidth="1"/>
    <col min="17" max="17" width="16" style="165" customWidth="1"/>
    <col min="18" max="18" width="17.21875" style="165" customWidth="1"/>
    <col min="19" max="19" width="3.44140625" style="165" customWidth="1"/>
    <col min="20" max="20" width="11.6640625" style="165" bestFit="1" customWidth="1"/>
    <col min="21" max="21" width="12" style="165" customWidth="1"/>
    <col min="22" max="22" width="8.88671875" style="165"/>
    <col min="23" max="23" width="25" style="165" bestFit="1" customWidth="1"/>
    <col min="24" max="24" width="13.21875" style="165" customWidth="1"/>
    <col min="25" max="25" width="11.77734375" style="165" customWidth="1"/>
    <col min="26" max="26" width="11.6640625" style="165" customWidth="1"/>
    <col min="27" max="16384" width="8.88671875" style="165"/>
  </cols>
  <sheetData>
    <row r="1" spans="2:26" ht="15" thickBot="1" x14ac:dyDescent="0.35"/>
    <row r="2" spans="2:26" x14ac:dyDescent="0.3">
      <c r="B2" s="91" t="str">
        <f>'BDO Prequal'!E16</f>
        <v>T Bank</v>
      </c>
      <c r="C2" s="92"/>
      <c r="D2" s="93"/>
      <c r="E2" s="93"/>
      <c r="F2" s="93"/>
      <c r="G2" s="93"/>
      <c r="H2" s="93"/>
      <c r="I2" s="93"/>
      <c r="J2" s="93"/>
      <c r="K2" s="93"/>
      <c r="L2" s="94"/>
      <c r="N2" s="1331" t="s">
        <v>64</v>
      </c>
      <c r="O2" s="1332"/>
      <c r="P2" s="1332"/>
      <c r="Q2" s="114">
        <f>IF(U2="SBA 7a",'BDO Prequal'!E55,0)</f>
        <v>612591</v>
      </c>
      <c r="R2" s="115"/>
      <c r="S2" s="115"/>
      <c r="T2" s="116" t="s">
        <v>372</v>
      </c>
      <c r="U2" s="117" t="str">
        <f>IF('BDO Prequal'!E17="SBA 7(a)","SBA 7a","Not 7a")</f>
        <v>SBA 7a</v>
      </c>
      <c r="W2" s="141" t="s">
        <v>375</v>
      </c>
      <c r="X2" s="142" t="str">
        <f>IF('BDO Prequal'!E17=Lists!$L$10,"USDA","Not USDA")</f>
        <v>Not USDA</v>
      </c>
      <c r="Y2" s="1329" t="str">
        <f>B2</f>
        <v>T Bank</v>
      </c>
      <c r="Z2" s="1330"/>
    </row>
    <row r="3" spans="2:26" x14ac:dyDescent="0.3">
      <c r="B3" s="95" t="s">
        <v>117</v>
      </c>
      <c r="C3" s="96" t="s">
        <v>64</v>
      </c>
      <c r="D3" s="96" t="s">
        <v>118</v>
      </c>
      <c r="E3" s="96" t="s">
        <v>119</v>
      </c>
      <c r="F3" s="96" t="s">
        <v>120</v>
      </c>
      <c r="G3" s="96" t="s">
        <v>121</v>
      </c>
      <c r="H3" s="96" t="s">
        <v>122</v>
      </c>
      <c r="I3" s="96" t="s">
        <v>123</v>
      </c>
      <c r="J3" s="96" t="s">
        <v>124</v>
      </c>
      <c r="K3" s="96" t="s">
        <v>125</v>
      </c>
      <c r="L3" s="97"/>
      <c r="N3" s="1333" t="s">
        <v>67</v>
      </c>
      <c r="O3" s="1334"/>
      <c r="P3" s="1334"/>
      <c r="Q3" s="118">
        <f>Q2*U3</f>
        <v>459443.25</v>
      </c>
      <c r="R3" s="119"/>
      <c r="S3" s="120"/>
      <c r="T3" s="121" t="s">
        <v>316</v>
      </c>
      <c r="U3" s="122">
        <f>'BDO Prequal'!$J$30</f>
        <v>0.75</v>
      </c>
      <c r="W3" s="143" t="s">
        <v>376</v>
      </c>
      <c r="X3" s="163">
        <f>'BDO Prequal'!J31</f>
        <v>0.8</v>
      </c>
      <c r="Y3" s="144"/>
      <c r="Z3" s="145"/>
    </row>
    <row r="4" spans="2:26" x14ac:dyDescent="0.3">
      <c r="B4" s="95" t="s">
        <v>127</v>
      </c>
      <c r="C4" s="98">
        <f>IF('BDO Prequal'!$E$55&gt;0,'BDO Prequal'!$E$55,'BDO Prequal'!$E$18)</f>
        <v>612591</v>
      </c>
      <c r="D4" s="99">
        <f>'BDO Prequal'!$E$21</f>
        <v>8.2500000000000004E-2</v>
      </c>
      <c r="E4" s="100">
        <f>'BDO Prequal'!$E$23*12</f>
        <v>120</v>
      </c>
      <c r="F4" s="101">
        <f>'BDO Prequal'!$E$24</f>
        <v>120</v>
      </c>
      <c r="G4" s="102">
        <f ca="1">TODAY()+45</f>
        <v>46205</v>
      </c>
      <c r="H4" s="102">
        <f ca="1">DATE(YEAR(G4)+F4/12,MONTH(G4),DAY(G4))</f>
        <v>49858</v>
      </c>
      <c r="I4" s="100">
        <f ca="1">H4-G4</f>
        <v>3653</v>
      </c>
      <c r="J4" s="103">
        <f>IFERROR((D4/360)*30*12,0)</f>
        <v>8.2500000000000018E-2</v>
      </c>
      <c r="K4" s="104">
        <f>IFERROR(PMT(J4/12,F4,-C4),0)</f>
        <v>7513.5894255567364</v>
      </c>
      <c r="L4" s="97"/>
      <c r="M4" s="166"/>
      <c r="N4" s="123" t="s">
        <v>83</v>
      </c>
      <c r="O4" s="124">
        <v>150000</v>
      </c>
      <c r="P4" s="139">
        <v>0.02</v>
      </c>
      <c r="Q4" s="125">
        <f>IF(Q2&lt;=150000,Q3*0.02,0)</f>
        <v>0</v>
      </c>
      <c r="R4" s="120"/>
      <c r="S4" s="120"/>
      <c r="T4" s="120"/>
      <c r="U4" s="126"/>
      <c r="W4" s="146"/>
      <c r="X4" s="153" t="s">
        <v>111</v>
      </c>
      <c r="Y4" s="154">
        <f>X3</f>
        <v>0.8</v>
      </c>
      <c r="Z4" s="155" t="s">
        <v>112</v>
      </c>
    </row>
    <row r="5" spans="2:26" x14ac:dyDescent="0.3">
      <c r="B5" s="95" t="s">
        <v>29</v>
      </c>
      <c r="C5" s="98">
        <f>IF('BDO Prequal'!$E$55&gt;0,'BDO Prequal'!$E$55,'BDO Prequal'!$E$18)</f>
        <v>612591</v>
      </c>
      <c r="D5" s="99">
        <f>'BDO Prequal'!$E$21</f>
        <v>8.2500000000000004E-2</v>
      </c>
      <c r="E5" s="100">
        <f>'BDO Prequal'!$E$23*12</f>
        <v>120</v>
      </c>
      <c r="F5" s="101">
        <f>'BDO Prequal'!$E$24</f>
        <v>120</v>
      </c>
      <c r="G5" s="102">
        <f ca="1">TODAY()+45</f>
        <v>46205</v>
      </c>
      <c r="H5" s="102">
        <f ca="1">DATE(YEAR(G5)+F5/12,MONTH(G5),DAY(G5))</f>
        <v>49858</v>
      </c>
      <c r="I5" s="100">
        <f ca="1">H5-G5</f>
        <v>3653</v>
      </c>
      <c r="J5" s="103">
        <f ca="1">IFERROR((D5/(365*F5/12))*I5,0)</f>
        <v>8.2567808219178085E-2</v>
      </c>
      <c r="K5" s="104">
        <f ca="1">IFERROR(PMT(J5/12,F5,-C5),0)</f>
        <v>7515.7978922910297</v>
      </c>
      <c r="L5" s="97"/>
      <c r="N5" s="127">
        <v>150001</v>
      </c>
      <c r="O5" s="128">
        <v>700000</v>
      </c>
      <c r="P5" s="139">
        <v>0.03</v>
      </c>
      <c r="Q5" s="125">
        <f>IF(AND(Q2&gt;150000,Q2&lt;=700000),Q3*0.03,0)</f>
        <v>13783.297499999999</v>
      </c>
      <c r="R5" s="129"/>
      <c r="S5" s="129"/>
      <c r="T5" s="129"/>
      <c r="U5" s="130"/>
      <c r="W5" s="146" t="s">
        <v>113</v>
      </c>
      <c r="X5" s="156">
        <f>'BDO Prequal'!E55-'BDO Prequal'!E48-'BDO Prequal'!E49</f>
        <v>389784</v>
      </c>
      <c r="Y5" s="157">
        <f>X5*Y4</f>
        <v>311827.20000000001</v>
      </c>
      <c r="Z5" s="158">
        <f>Y5*0.03</f>
        <v>9354.8160000000007</v>
      </c>
    </row>
    <row r="6" spans="2:26" ht="15" thickBot="1" x14ac:dyDescent="0.35">
      <c r="B6" s="95" t="s">
        <v>131</v>
      </c>
      <c r="C6" s="98">
        <f>IF('BDO Prequal'!$E$55&gt;0,'BDO Prequal'!$E$55,'BDO Prequal'!$E$18)</f>
        <v>612591</v>
      </c>
      <c r="D6" s="99">
        <f>'BDO Prequal'!$E$21</f>
        <v>8.2500000000000004E-2</v>
      </c>
      <c r="E6" s="100">
        <f>'BDO Prequal'!$E$23*12</f>
        <v>120</v>
      </c>
      <c r="F6" s="101">
        <f>'BDO Prequal'!$E$24</f>
        <v>120</v>
      </c>
      <c r="G6" s="102">
        <f ca="1">TODAY()+45</f>
        <v>46205</v>
      </c>
      <c r="H6" s="102">
        <f ca="1">DATE(YEAR(G6)+F6/12,MONTH(G6),DAY(G6))</f>
        <v>49858</v>
      </c>
      <c r="I6" s="100">
        <f ca="1">H6-G6</f>
        <v>3653</v>
      </c>
      <c r="J6" s="103">
        <f ca="1">IFERROR((D6/(360*F6/12))*I6,0)</f>
        <v>8.3714583333333328E-2</v>
      </c>
      <c r="K6" s="104">
        <f ca="1">IFERROR(PMT(J6/12,F6,-C6),0)</f>
        <v>7553.2023567371261</v>
      </c>
      <c r="L6" s="97"/>
      <c r="N6" s="127">
        <v>700001</v>
      </c>
      <c r="O6" s="128">
        <v>5000000</v>
      </c>
      <c r="P6" s="139">
        <v>3.5000000000000003E-2</v>
      </c>
      <c r="Q6" s="125">
        <f>IF(Q2&gt;700000,MIN(Q3,1000000)*0.035,0)</f>
        <v>0</v>
      </c>
      <c r="R6" s="131" t="s">
        <v>70</v>
      </c>
      <c r="S6" s="96"/>
      <c r="T6" s="132"/>
      <c r="U6" s="133">
        <f>SUM(Q4:Q7)</f>
        <v>13783.297499999999</v>
      </c>
      <c r="W6" s="147" t="s">
        <v>374</v>
      </c>
      <c r="X6" s="159">
        <f>'BDO Prequal'!E48+'BDO Prequal'!E49</f>
        <v>222807</v>
      </c>
      <c r="Y6" s="160">
        <f>X6*Y4</f>
        <v>178245.6</v>
      </c>
      <c r="Z6" s="161">
        <f>Y6*0.035</f>
        <v>6238.5960000000005</v>
      </c>
    </row>
    <row r="7" spans="2:26" ht="15" thickBot="1" x14ac:dyDescent="0.35">
      <c r="B7" s="95" t="s">
        <v>378</v>
      </c>
      <c r="C7" s="98">
        <f>IF('BDO Prequal'!$E$55&gt;0,'BDO Prequal'!$E$55,'BDO Prequal'!$E$18)</f>
        <v>612591</v>
      </c>
      <c r="D7" s="99">
        <f>'BDO Prequal'!$E$21</f>
        <v>8.2500000000000004E-2</v>
      </c>
      <c r="E7" s="100">
        <f>'BDO Prequal'!$E$23*12</f>
        <v>120</v>
      </c>
      <c r="F7" s="101">
        <f>'BDO Prequal'!$E$24</f>
        <v>120</v>
      </c>
      <c r="G7" s="102">
        <f ca="1">TODAY()+45</f>
        <v>46205</v>
      </c>
      <c r="H7" s="102">
        <f ca="1">DATE(YEAR(G7)+F7/12,MONTH(G7),DAY(G7))</f>
        <v>49858</v>
      </c>
      <c r="I7" s="100">
        <f ca="1">H7-G7</f>
        <v>3653</v>
      </c>
      <c r="J7" s="103">
        <f ca="1">IFERROR((D7/(360*F7/12))*I7,0)</f>
        <v>8.3714583333333328E-2</v>
      </c>
      <c r="K7" s="104">
        <f ca="1">IFERROR(C7*J7/12,0)</f>
        <v>4273.566693229167</v>
      </c>
      <c r="L7" s="97"/>
      <c r="N7" s="134"/>
      <c r="O7" s="135"/>
      <c r="P7" s="140">
        <v>3.7499999999999999E-2</v>
      </c>
      <c r="Q7" s="136">
        <f>IF(AND(Q2&gt;700000,Q3&gt;1000000),(Q3-1000000)*0.0375,0)</f>
        <v>0</v>
      </c>
      <c r="R7" s="137" t="s">
        <v>77</v>
      </c>
      <c r="S7" s="138"/>
      <c r="T7" s="1335">
        <f>ROUNDUP(U6,-0.1)</f>
        <v>13784</v>
      </c>
      <c r="U7" s="1336"/>
      <c r="W7" s="148" t="s">
        <v>116</v>
      </c>
      <c r="X7" s="149"/>
      <c r="Y7" s="150"/>
      <c r="Z7" s="162">
        <f>ROUNDUP(Z5+Z6,0)</f>
        <v>15594</v>
      </c>
    </row>
    <row r="8" spans="2:26" x14ac:dyDescent="0.3">
      <c r="B8" s="91" t="str">
        <f>'BDO Prequal'!F17</f>
        <v>SBA 7(a)</v>
      </c>
      <c r="C8" s="92"/>
      <c r="D8" s="93"/>
      <c r="E8" s="93"/>
      <c r="F8" s="93"/>
      <c r="G8" s="93"/>
      <c r="H8" s="93"/>
      <c r="I8" s="93"/>
      <c r="J8" s="93"/>
      <c r="K8" s="93"/>
      <c r="L8" s="94"/>
      <c r="N8" s="1331" t="s">
        <v>64</v>
      </c>
      <c r="O8" s="1332"/>
      <c r="P8" s="1332"/>
      <c r="Q8" s="114">
        <f>IF(U8="SBA 7a",'BDO Prequal'!F55,0)</f>
        <v>2746607</v>
      </c>
      <c r="R8" s="115"/>
      <c r="S8" s="115"/>
      <c r="T8" s="116" t="s">
        <v>372</v>
      </c>
      <c r="U8" s="117" t="str">
        <f>IF('BDO Prequal'!F17="SBA 7(a)","SBA 7a","Not 7a")</f>
        <v>SBA 7a</v>
      </c>
      <c r="W8" s="141" t="s">
        <v>375</v>
      </c>
      <c r="X8" s="142" t="str">
        <f>IF('BDO Prequal'!F17=Lists!$L$10,"USDA","Not USDA")</f>
        <v>Not USDA</v>
      </c>
      <c r="Y8" s="1329" t="str">
        <f>B8</f>
        <v>SBA 7(a)</v>
      </c>
      <c r="Z8" s="1330"/>
    </row>
    <row r="9" spans="2:26" x14ac:dyDescent="0.3">
      <c r="B9" s="95" t="s">
        <v>117</v>
      </c>
      <c r="C9" s="96" t="s">
        <v>64</v>
      </c>
      <c r="D9" s="96" t="s">
        <v>118</v>
      </c>
      <c r="E9" s="96" t="s">
        <v>119</v>
      </c>
      <c r="F9" s="96" t="s">
        <v>120</v>
      </c>
      <c r="G9" s="96" t="s">
        <v>121</v>
      </c>
      <c r="H9" s="96" t="s">
        <v>122</v>
      </c>
      <c r="I9" s="96" t="s">
        <v>123</v>
      </c>
      <c r="J9" s="96" t="s">
        <v>124</v>
      </c>
      <c r="K9" s="96" t="s">
        <v>125</v>
      </c>
      <c r="L9" s="97"/>
      <c r="N9" s="1333" t="s">
        <v>67</v>
      </c>
      <c r="O9" s="1334"/>
      <c r="P9" s="1334"/>
      <c r="Q9" s="118">
        <f>Q8*U9</f>
        <v>2059955.25</v>
      </c>
      <c r="R9" s="119"/>
      <c r="S9" s="120"/>
      <c r="T9" s="121" t="s">
        <v>316</v>
      </c>
      <c r="U9" s="122">
        <f>'BDO Prequal'!$J$30</f>
        <v>0.75</v>
      </c>
      <c r="W9" s="143" t="s">
        <v>376</v>
      </c>
      <c r="X9" s="163">
        <f>'BDO Prequal'!J31</f>
        <v>0.8</v>
      </c>
      <c r="Y9" s="144"/>
      <c r="Z9" s="145"/>
    </row>
    <row r="10" spans="2:26" x14ac:dyDescent="0.3">
      <c r="B10" s="95" t="s">
        <v>127</v>
      </c>
      <c r="C10" s="98">
        <f>IF('BDO Prequal'!$F$55&gt;0,'BDO Prequal'!$F$55,'BDO Prequal'!$F$18)</f>
        <v>2746607</v>
      </c>
      <c r="D10" s="99">
        <f>'BDO Prequal'!$F$21</f>
        <v>5.9400000000000001E-2</v>
      </c>
      <c r="E10" s="100">
        <f>'BDO Prequal'!$F$23*12</f>
        <v>120</v>
      </c>
      <c r="F10" s="101">
        <f>'BDO Prequal'!$F$24</f>
        <v>120</v>
      </c>
      <c r="G10" s="102">
        <f ca="1">TODAY()+45</f>
        <v>46205</v>
      </c>
      <c r="H10" s="102">
        <f ca="1">DATE(YEAR(G10)+F10/12,MONTH(G10),DAY(G10))</f>
        <v>49858</v>
      </c>
      <c r="I10" s="100">
        <f ca="1">H10-G10</f>
        <v>3653</v>
      </c>
      <c r="J10" s="103">
        <f>IFERROR((D10/360)*30*12,0)</f>
        <v>5.9399999999999994E-2</v>
      </c>
      <c r="K10" s="104">
        <f>IFERROR(PMT(J10/12,F10,-C10),0)</f>
        <v>30410.277553594675</v>
      </c>
      <c r="L10" s="97"/>
      <c r="N10" s="123" t="s">
        <v>83</v>
      </c>
      <c r="O10" s="124">
        <v>150000</v>
      </c>
      <c r="P10" s="139">
        <v>0.02</v>
      </c>
      <c r="Q10" s="125">
        <f>IF(Q8&lt;=150000,Q9*0.02,0)</f>
        <v>0</v>
      </c>
      <c r="R10" s="120"/>
      <c r="S10" s="120"/>
      <c r="T10" s="120"/>
      <c r="U10" s="126"/>
      <c r="W10" s="146"/>
      <c r="X10" s="153" t="s">
        <v>111</v>
      </c>
      <c r="Y10" s="154">
        <f>X9</f>
        <v>0.8</v>
      </c>
      <c r="Z10" s="155" t="s">
        <v>112</v>
      </c>
    </row>
    <row r="11" spans="2:26" x14ac:dyDescent="0.3">
      <c r="B11" s="95" t="s">
        <v>29</v>
      </c>
      <c r="C11" s="98">
        <f>IF('BDO Prequal'!$F$55&gt;0,'BDO Prequal'!$F$55,'BDO Prequal'!$F$18)</f>
        <v>2746607</v>
      </c>
      <c r="D11" s="99">
        <f>'BDO Prequal'!$F$21</f>
        <v>5.9400000000000001E-2</v>
      </c>
      <c r="E11" s="100">
        <f>'BDO Prequal'!$F$23*12</f>
        <v>120</v>
      </c>
      <c r="F11" s="101">
        <f>'BDO Prequal'!$F$24</f>
        <v>120</v>
      </c>
      <c r="G11" s="102">
        <f ca="1">TODAY()+45</f>
        <v>46205</v>
      </c>
      <c r="H11" s="102">
        <f ca="1">DATE(YEAR(G11)+F11/12,MONTH(G11),DAY(G11))</f>
        <v>49858</v>
      </c>
      <c r="I11" s="100">
        <f ca="1">H11-G11</f>
        <v>3653</v>
      </c>
      <c r="J11" s="103">
        <f ca="1">IFERROR((D11/(365*F11/12))*I11,0)</f>
        <v>5.9448821917808217E-2</v>
      </c>
      <c r="K11" s="104">
        <f ca="1">IFERROR(PMT(J11/12,F11,-C11),0)</f>
        <v>30417.001209321479</v>
      </c>
      <c r="L11" s="97"/>
      <c r="N11" s="127">
        <v>150001</v>
      </c>
      <c r="O11" s="128">
        <v>700000</v>
      </c>
      <c r="P11" s="139">
        <v>0.03</v>
      </c>
      <c r="Q11" s="125">
        <f>IF(AND(Q8&gt;150000,Q8&lt;=700000),Q9*0.03,0)</f>
        <v>0</v>
      </c>
      <c r="R11" s="129"/>
      <c r="S11" s="129"/>
      <c r="T11" s="129"/>
      <c r="U11" s="130"/>
      <c r="W11" s="146" t="s">
        <v>113</v>
      </c>
      <c r="X11" s="156">
        <f>'BDO Prequal'!F55-'BDO Prequal'!F48-'BDO Prequal'!F49</f>
        <v>794749</v>
      </c>
      <c r="Y11" s="157">
        <f>X11*Y10</f>
        <v>635799.20000000007</v>
      </c>
      <c r="Z11" s="158">
        <f>Y11*0.03</f>
        <v>19073.976000000002</v>
      </c>
    </row>
    <row r="12" spans="2:26" ht="15" thickBot="1" x14ac:dyDescent="0.35">
      <c r="B12" s="95" t="s">
        <v>131</v>
      </c>
      <c r="C12" s="98">
        <f>IF('BDO Prequal'!$F$55&gt;0,'BDO Prequal'!$F$55,'BDO Prequal'!$F$18)</f>
        <v>2746607</v>
      </c>
      <c r="D12" s="99">
        <f>'BDO Prequal'!$F$21</f>
        <v>5.9400000000000001E-2</v>
      </c>
      <c r="E12" s="100">
        <f>'BDO Prequal'!$F$23*12</f>
        <v>120</v>
      </c>
      <c r="F12" s="101">
        <f>'BDO Prequal'!$F$24</f>
        <v>120</v>
      </c>
      <c r="G12" s="102">
        <f ca="1">TODAY()+45</f>
        <v>46205</v>
      </c>
      <c r="H12" s="102">
        <f ca="1">DATE(YEAR(G12)+F12/12,MONTH(G12),DAY(G12))</f>
        <v>49858</v>
      </c>
      <c r="I12" s="100">
        <f ca="1">H12-G12</f>
        <v>3653</v>
      </c>
      <c r="J12" s="103">
        <f ca="1">IFERROR((D12/(360*F12/12))*I12,0)</f>
        <v>6.0274500000000002E-2</v>
      </c>
      <c r="K12" s="104">
        <f ca="1">IFERROR(PMT(J12/12,F12,-C12),0)</f>
        <v>30530.843867192809</v>
      </c>
      <c r="L12" s="97"/>
      <c r="N12" s="127">
        <v>700001</v>
      </c>
      <c r="O12" s="128">
        <v>5000000</v>
      </c>
      <c r="P12" s="139">
        <v>3.5000000000000003E-2</v>
      </c>
      <c r="Q12" s="125">
        <f>IF(Q8&gt;700000,MIN(Q9,1000000)*0.035,0)</f>
        <v>35000</v>
      </c>
      <c r="R12" s="131" t="s">
        <v>70</v>
      </c>
      <c r="S12" s="96"/>
      <c r="T12" s="132"/>
      <c r="U12" s="133">
        <f>SUM(Q10:Q13)</f>
        <v>74748.321874999994</v>
      </c>
      <c r="W12" s="147" t="s">
        <v>374</v>
      </c>
      <c r="X12" s="159">
        <f>'BDO Prequal'!F48+'BDO Prequal'!F49</f>
        <v>1951858</v>
      </c>
      <c r="Y12" s="160">
        <f>X12*Y10</f>
        <v>1561486.4000000001</v>
      </c>
      <c r="Z12" s="161">
        <f>Y12*0.035</f>
        <v>54652.024000000012</v>
      </c>
    </row>
    <row r="13" spans="2:26" ht="15" thickBot="1" x14ac:dyDescent="0.35">
      <c r="B13" s="95" t="s">
        <v>378</v>
      </c>
      <c r="C13" s="98">
        <f>IF('BDO Prequal'!$F$55&gt;0,'BDO Prequal'!$F$55,'BDO Prequal'!$F$18)</f>
        <v>2746607</v>
      </c>
      <c r="D13" s="99">
        <f>'BDO Prequal'!$F$21</f>
        <v>5.9400000000000001E-2</v>
      </c>
      <c r="E13" s="100">
        <f>'BDO Prequal'!$F$23*12</f>
        <v>120</v>
      </c>
      <c r="F13" s="101">
        <f>'BDO Prequal'!$F$24</f>
        <v>120</v>
      </c>
      <c r="G13" s="102">
        <f ca="1">TODAY()+45</f>
        <v>46205</v>
      </c>
      <c r="H13" s="102">
        <f ca="1">DATE(YEAR(G13)+F13/12,MONTH(G13),DAY(G13))</f>
        <v>49858</v>
      </c>
      <c r="I13" s="100">
        <f ca="1">H13-G13</f>
        <v>3653</v>
      </c>
      <c r="J13" s="103">
        <f ca="1">IFERROR((D13/(360*F13/12))*I13,0)</f>
        <v>6.0274500000000002E-2</v>
      </c>
      <c r="K13" s="104">
        <f ca="1">IFERROR(C13*J13/12,0)</f>
        <v>13795.863635125001</v>
      </c>
      <c r="L13" s="97"/>
      <c r="N13" s="134"/>
      <c r="O13" s="135"/>
      <c r="P13" s="140">
        <v>3.7499999999999999E-2</v>
      </c>
      <c r="Q13" s="136">
        <f>IF(AND(Q8&gt;700000,Q9&gt;1000000),(Q9-1000000)*0.0375,0)</f>
        <v>39748.321875000001</v>
      </c>
      <c r="R13" s="137" t="s">
        <v>77</v>
      </c>
      <c r="S13" s="138"/>
      <c r="T13" s="1335">
        <f>ROUNDUP(U12,-0.1)</f>
        <v>74749</v>
      </c>
      <c r="U13" s="1336"/>
      <c r="W13" s="148" t="s">
        <v>116</v>
      </c>
      <c r="X13" s="149"/>
      <c r="Y13" s="150"/>
      <c r="Z13" s="162">
        <f>ROUNDUP(Z11+Z12,0)</f>
        <v>73726</v>
      </c>
    </row>
    <row r="14" spans="2:26" x14ac:dyDescent="0.3">
      <c r="B14" s="91" t="str">
        <f>'BDO Prequal'!G17</f>
        <v>SBA 504</v>
      </c>
      <c r="C14" s="92"/>
      <c r="D14" s="93"/>
      <c r="E14" s="93"/>
      <c r="F14" s="93"/>
      <c r="G14" s="93"/>
      <c r="H14" s="93"/>
      <c r="I14" s="93"/>
      <c r="J14" s="93"/>
      <c r="K14" s="93"/>
      <c r="L14" s="94"/>
      <c r="N14" s="1331" t="s">
        <v>64</v>
      </c>
      <c r="O14" s="1332"/>
      <c r="P14" s="1332"/>
      <c r="Q14" s="114">
        <f>IF(U14="SBA 7a",'BDO Prequal'!G55,0)</f>
        <v>0</v>
      </c>
      <c r="R14" s="115"/>
      <c r="S14" s="115"/>
      <c r="T14" s="116" t="s">
        <v>372</v>
      </c>
      <c r="U14" s="117" t="str">
        <f>IF('BDO Prequal'!G17="SBA 7(a)","SBA 7a","Not 7a")</f>
        <v>Not 7a</v>
      </c>
      <c r="W14" s="141" t="s">
        <v>375</v>
      </c>
      <c r="X14" s="142" t="str">
        <f>IF('BDO Prequal'!G17=Lists!$L$10,"USDA","Not USDA")</f>
        <v>Not USDA</v>
      </c>
      <c r="Y14" s="151"/>
      <c r="Z14" s="164" t="str">
        <f>B14</f>
        <v>SBA 504</v>
      </c>
    </row>
    <row r="15" spans="2:26" x14ac:dyDescent="0.3">
      <c r="B15" s="95" t="s">
        <v>117</v>
      </c>
      <c r="C15" s="96" t="s">
        <v>64</v>
      </c>
      <c r="D15" s="96" t="s">
        <v>118</v>
      </c>
      <c r="E15" s="96" t="s">
        <v>119</v>
      </c>
      <c r="F15" s="96" t="s">
        <v>120</v>
      </c>
      <c r="G15" s="96" t="s">
        <v>121</v>
      </c>
      <c r="H15" s="96" t="s">
        <v>122</v>
      </c>
      <c r="I15" s="96" t="s">
        <v>123</v>
      </c>
      <c r="J15" s="96" t="s">
        <v>124</v>
      </c>
      <c r="K15" s="96" t="s">
        <v>125</v>
      </c>
      <c r="L15" s="97"/>
      <c r="N15" s="1333" t="s">
        <v>67</v>
      </c>
      <c r="O15" s="1334"/>
      <c r="P15" s="1334"/>
      <c r="Q15" s="118">
        <f>Q14*U15</f>
        <v>0</v>
      </c>
      <c r="R15" s="119"/>
      <c r="S15" s="120"/>
      <c r="T15" s="121" t="s">
        <v>316</v>
      </c>
      <c r="U15" s="122">
        <f>'BDO Prequal'!$J$30</f>
        <v>0.75</v>
      </c>
      <c r="W15" s="143" t="s">
        <v>376</v>
      </c>
      <c r="X15" s="163">
        <f>'BDO Prequal'!J31</f>
        <v>0.8</v>
      </c>
      <c r="Y15" s="144"/>
      <c r="Z15" s="152"/>
    </row>
    <row r="16" spans="2:26" x14ac:dyDescent="0.3">
      <c r="B16" s="95" t="s">
        <v>127</v>
      </c>
      <c r="C16" s="98">
        <f>IF('BDO Prequal'!$G$55&gt;0,'BDO Prequal'!$G$55,'BDO Prequal'!$G$18)</f>
        <v>1350000</v>
      </c>
      <c r="D16" s="99">
        <f>'BDO Prequal'!$G$21</f>
        <v>9.5000000000000001E-2</v>
      </c>
      <c r="E16" s="100">
        <f>'BDO Prequal'!$G$23*12</f>
        <v>120</v>
      </c>
      <c r="F16" s="101">
        <f>'BDO Prequal'!$G$24</f>
        <v>120</v>
      </c>
      <c r="G16" s="102">
        <f ca="1">TODAY()+45</f>
        <v>46205</v>
      </c>
      <c r="H16" s="102">
        <f ca="1">DATE(YEAR(G16)+F16/12,MONTH(G16),DAY(G16))</f>
        <v>49858</v>
      </c>
      <c r="I16" s="100">
        <f ca="1">H16-G16</f>
        <v>3653</v>
      </c>
      <c r="J16" s="103">
        <f>IFERROR((D16/360)*30*12,0)</f>
        <v>9.5000000000000001E-2</v>
      </c>
      <c r="K16" s="104">
        <f>IFERROR(PMT(J16/12,F16,-C16),0)</f>
        <v>17468.670270704901</v>
      </c>
      <c r="L16" s="97"/>
      <c r="N16" s="123" t="s">
        <v>83</v>
      </c>
      <c r="O16" s="124">
        <v>150000</v>
      </c>
      <c r="P16" s="139">
        <v>0.02</v>
      </c>
      <c r="Q16" s="125">
        <f>IF(Q14&lt;=150000,Q15*0.02,0)</f>
        <v>0</v>
      </c>
      <c r="R16" s="120"/>
      <c r="S16" s="120"/>
      <c r="T16" s="120"/>
      <c r="U16" s="126"/>
      <c r="W16" s="146"/>
      <c r="X16" s="153" t="s">
        <v>111</v>
      </c>
      <c r="Y16" s="154">
        <f>X15</f>
        <v>0.8</v>
      </c>
      <c r="Z16" s="155" t="s">
        <v>112</v>
      </c>
    </row>
    <row r="17" spans="2:26" x14ac:dyDescent="0.3">
      <c r="B17" s="95" t="s">
        <v>29</v>
      </c>
      <c r="C17" s="98">
        <f>IF('BDO Prequal'!$G$55&gt;0,'BDO Prequal'!$G$55,'BDO Prequal'!$G$18)</f>
        <v>1350000</v>
      </c>
      <c r="D17" s="99">
        <f>'BDO Prequal'!$G$21</f>
        <v>9.5000000000000001E-2</v>
      </c>
      <c r="E17" s="100">
        <f>'BDO Prequal'!$G$23*12</f>
        <v>120</v>
      </c>
      <c r="F17" s="101">
        <f>'BDO Prequal'!$G$24</f>
        <v>120</v>
      </c>
      <c r="G17" s="102">
        <f ca="1">TODAY()+45</f>
        <v>46205</v>
      </c>
      <c r="H17" s="102">
        <f ca="1">DATE(YEAR(G17)+F17/12,MONTH(G17),DAY(G17))</f>
        <v>49858</v>
      </c>
      <c r="I17" s="100">
        <f ca="1">H17-G17</f>
        <v>3653</v>
      </c>
      <c r="J17" s="103">
        <f ca="1">IFERROR((D17/(365*F17/12))*I17,0)</f>
        <v>9.5078082191780822E-2</v>
      </c>
      <c r="K17" s="104">
        <f ca="1">IFERROR(PMT(J17/12,F17,-C17),0)</f>
        <v>17474.442107317682</v>
      </c>
      <c r="L17" s="97"/>
      <c r="N17" s="127">
        <v>150001</v>
      </c>
      <c r="O17" s="128">
        <v>700000</v>
      </c>
      <c r="P17" s="139">
        <v>0.03</v>
      </c>
      <c r="Q17" s="125">
        <f>IF(AND(Q14&gt;150000,Q14&lt;=700000),Q15*0.03,0)</f>
        <v>0</v>
      </c>
      <c r="R17" s="129"/>
      <c r="S17" s="129"/>
      <c r="T17" s="129"/>
      <c r="U17" s="130"/>
      <c r="W17" s="146" t="s">
        <v>113</v>
      </c>
      <c r="X17" s="156">
        <f>'BDO Prequal'!G55-'BDO Prequal'!G48-'BDO Prequal'!G49</f>
        <v>1350000</v>
      </c>
      <c r="Y17" s="157">
        <f>X17*Y16</f>
        <v>1080000</v>
      </c>
      <c r="Z17" s="158">
        <f>Y17*0.03</f>
        <v>32400</v>
      </c>
    </row>
    <row r="18" spans="2:26" ht="15" thickBot="1" x14ac:dyDescent="0.35">
      <c r="B18" s="95" t="s">
        <v>131</v>
      </c>
      <c r="C18" s="98">
        <f>IF('BDO Prequal'!$G$55&gt;0,'BDO Prequal'!$G$55,'BDO Prequal'!$G$18)</f>
        <v>1350000</v>
      </c>
      <c r="D18" s="99">
        <f>'BDO Prequal'!$G$21</f>
        <v>9.5000000000000001E-2</v>
      </c>
      <c r="E18" s="100">
        <f>'BDO Prequal'!$G$23*12</f>
        <v>120</v>
      </c>
      <c r="F18" s="101">
        <f>'BDO Prequal'!$G$24</f>
        <v>120</v>
      </c>
      <c r="G18" s="102">
        <f ca="1">TODAY()+45</f>
        <v>46205</v>
      </c>
      <c r="H18" s="102">
        <f ca="1">DATE(YEAR(G18)+F18/12,MONTH(G18),DAY(G18))</f>
        <v>49858</v>
      </c>
      <c r="I18" s="100">
        <f ca="1">H18-G18</f>
        <v>3653</v>
      </c>
      <c r="J18" s="103">
        <f ca="1">IFERROR((D18/(360*F18/12))*I18,0)</f>
        <v>9.6398611111111115E-2</v>
      </c>
      <c r="K18" s="104">
        <f ca="1">IFERROR(PMT(J18/12,F18,-C18),0)</f>
        <v>17572.212032769883</v>
      </c>
      <c r="L18" s="97"/>
      <c r="N18" s="127">
        <v>700001</v>
      </c>
      <c r="O18" s="128">
        <v>5000000</v>
      </c>
      <c r="P18" s="139">
        <v>3.5000000000000003E-2</v>
      </c>
      <c r="Q18" s="125">
        <f>IF(Q14&gt;700000,MIN(Q15,1000000)*0.035,0)</f>
        <v>0</v>
      </c>
      <c r="R18" s="131" t="s">
        <v>70</v>
      </c>
      <c r="S18" s="96"/>
      <c r="T18" s="132"/>
      <c r="U18" s="133">
        <f>SUM(Q16:Q19)</f>
        <v>0</v>
      </c>
      <c r="W18" s="147" t="s">
        <v>374</v>
      </c>
      <c r="X18" s="159">
        <f>'BDO Prequal'!G48+'BDO Prequal'!G49</f>
        <v>0</v>
      </c>
      <c r="Y18" s="160">
        <f>X18*Y16</f>
        <v>0</v>
      </c>
      <c r="Z18" s="161">
        <f>Y18*0.035</f>
        <v>0</v>
      </c>
    </row>
    <row r="19" spans="2:26" ht="15" thickBot="1" x14ac:dyDescent="0.35">
      <c r="B19" s="95" t="s">
        <v>378</v>
      </c>
      <c r="C19" s="98">
        <f>IF('BDO Prequal'!$G$55&gt;0,'BDO Prequal'!$G$55,'BDO Prequal'!$G$18)</f>
        <v>1350000</v>
      </c>
      <c r="D19" s="99">
        <f>'BDO Prequal'!$G$21</f>
        <v>9.5000000000000001E-2</v>
      </c>
      <c r="E19" s="100">
        <f>'BDO Prequal'!$G$23*12</f>
        <v>120</v>
      </c>
      <c r="F19" s="101">
        <f>'BDO Prequal'!$G$24</f>
        <v>120</v>
      </c>
      <c r="G19" s="102">
        <f ca="1">TODAY()+45</f>
        <v>46205</v>
      </c>
      <c r="H19" s="102">
        <f ca="1">DATE(YEAR(G19)+F19/12,MONTH(G19),DAY(G19))</f>
        <v>49858</v>
      </c>
      <c r="I19" s="100">
        <f ca="1">H19-G19</f>
        <v>3653</v>
      </c>
      <c r="J19" s="103">
        <f ca="1">IFERROR((D19/(360*F19/12))*I19,0)</f>
        <v>9.6398611111111115E-2</v>
      </c>
      <c r="K19" s="104">
        <f ca="1">IFERROR(C19*J19/12,0)</f>
        <v>10844.84375</v>
      </c>
      <c r="L19" s="97"/>
      <c r="N19" s="134"/>
      <c r="O19" s="135"/>
      <c r="P19" s="140">
        <v>3.7499999999999999E-2</v>
      </c>
      <c r="Q19" s="136">
        <f>IF(AND(Q14&gt;700000,Q15&gt;1000000),(Q15-1000000)*0.0375,0)</f>
        <v>0</v>
      </c>
      <c r="R19" s="137" t="s">
        <v>77</v>
      </c>
      <c r="S19" s="138"/>
      <c r="T19" s="1335">
        <f>ROUNDUP(U18,-0.1)</f>
        <v>0</v>
      </c>
      <c r="U19" s="1336"/>
      <c r="W19" s="148" t="s">
        <v>116</v>
      </c>
      <c r="X19" s="149"/>
      <c r="Y19" s="150"/>
      <c r="Z19" s="162">
        <f>ROUNDUP(Z17+Z18,0)</f>
        <v>32400</v>
      </c>
    </row>
    <row r="20" spans="2:26" x14ac:dyDescent="0.3">
      <c r="B20" s="91" t="str">
        <f>'BDO Prequal'!H17</f>
        <v>Seller Note</v>
      </c>
      <c r="C20" s="92"/>
      <c r="D20" s="93"/>
      <c r="E20" s="93"/>
      <c r="F20" s="93"/>
      <c r="G20" s="93"/>
      <c r="H20" s="93"/>
      <c r="I20" s="93"/>
      <c r="J20" s="93"/>
      <c r="K20" s="93"/>
      <c r="L20" s="94"/>
      <c r="N20" s="1331" t="s">
        <v>64</v>
      </c>
      <c r="O20" s="1332"/>
      <c r="P20" s="1332"/>
      <c r="Q20" s="114">
        <f>IF(U20="SBA 7a",'BDO Prequal'!H55,0)</f>
        <v>0</v>
      </c>
      <c r="R20" s="115"/>
      <c r="S20" s="115"/>
      <c r="T20" s="116" t="s">
        <v>372</v>
      </c>
      <c r="U20" s="117" t="str">
        <f>IF('BDO Prequal'!H17="SBA 7(a)","SBA 7a","Not 7a")</f>
        <v>Not 7a</v>
      </c>
      <c r="W20" s="141" t="s">
        <v>375</v>
      </c>
      <c r="X20" s="142" t="str">
        <f>IF('BDO Prequal'!H17=Lists!$L$10,"USDA","Not USDA")</f>
        <v>Not USDA</v>
      </c>
      <c r="Y20" s="151"/>
      <c r="Z20" s="164" t="str">
        <f>B20</f>
        <v>Seller Note</v>
      </c>
    </row>
    <row r="21" spans="2:26" x14ac:dyDescent="0.3">
      <c r="B21" s="95" t="s">
        <v>117</v>
      </c>
      <c r="C21" s="96" t="s">
        <v>64</v>
      </c>
      <c r="D21" s="96" t="s">
        <v>118</v>
      </c>
      <c r="E21" s="96" t="s">
        <v>119</v>
      </c>
      <c r="F21" s="96" t="s">
        <v>120</v>
      </c>
      <c r="G21" s="96" t="s">
        <v>121</v>
      </c>
      <c r="H21" s="96" t="s">
        <v>122</v>
      </c>
      <c r="I21" s="96" t="s">
        <v>123</v>
      </c>
      <c r="J21" s="96" t="s">
        <v>124</v>
      </c>
      <c r="K21" s="96" t="s">
        <v>125</v>
      </c>
      <c r="L21" s="97"/>
      <c r="N21" s="1333" t="s">
        <v>67</v>
      </c>
      <c r="O21" s="1334"/>
      <c r="P21" s="1334"/>
      <c r="Q21" s="118">
        <f>Q20*U21</f>
        <v>0</v>
      </c>
      <c r="R21" s="119"/>
      <c r="S21" s="120"/>
      <c r="T21" s="121" t="s">
        <v>316</v>
      </c>
      <c r="U21" s="122">
        <f>'BDO Prequal'!$J$30</f>
        <v>0.75</v>
      </c>
      <c r="W21" s="143" t="s">
        <v>376</v>
      </c>
      <c r="X21" s="163">
        <f>'BDO Prequal'!J31</f>
        <v>0.8</v>
      </c>
      <c r="Y21" s="144"/>
      <c r="Z21" s="152"/>
    </row>
    <row r="22" spans="2:26" x14ac:dyDescent="0.3">
      <c r="B22" s="95" t="s">
        <v>127</v>
      </c>
      <c r="C22" s="98">
        <f>IF('BDO Prequal'!$H$55&gt;0,'BDO Prequal'!$H$55,'BDO Prequal'!$H$18)</f>
        <v>320000</v>
      </c>
      <c r="D22" s="99">
        <f>'BDO Prequal'!$H$21</f>
        <v>0.05</v>
      </c>
      <c r="E22" s="100">
        <f>'BDO Prequal'!$H$23*12</f>
        <v>84</v>
      </c>
      <c r="F22" s="101">
        <f>'BDO Prequal'!$H$24</f>
        <v>84</v>
      </c>
      <c r="G22" s="102">
        <f ca="1">TODAY()+45</f>
        <v>46205</v>
      </c>
      <c r="H22" s="102">
        <f ca="1">DATE(YEAR(G22)+F22/12,MONTH(G22),DAY(G22))</f>
        <v>48762</v>
      </c>
      <c r="I22" s="100">
        <f ca="1">H22-G22</f>
        <v>2557</v>
      </c>
      <c r="J22" s="103">
        <f>IFERROR((D22/360)*30*12,0)</f>
        <v>0.05</v>
      </c>
      <c r="K22" s="104">
        <f>IFERROR(PMT(J22/12,F22,-C22),0)</f>
        <v>4522.8509030102432</v>
      </c>
      <c r="L22" s="97"/>
      <c r="N22" s="123" t="s">
        <v>83</v>
      </c>
      <c r="O22" s="124">
        <v>150000</v>
      </c>
      <c r="P22" s="139">
        <v>0.02</v>
      </c>
      <c r="Q22" s="125">
        <f>IF(Q20&lt;=150000,Q21*0.02,0)</f>
        <v>0</v>
      </c>
      <c r="R22" s="120"/>
      <c r="S22" s="120"/>
      <c r="T22" s="120"/>
      <c r="U22" s="126"/>
      <c r="W22" s="146"/>
      <c r="X22" s="153" t="s">
        <v>111</v>
      </c>
      <c r="Y22" s="154">
        <f>X21</f>
        <v>0.8</v>
      </c>
      <c r="Z22" s="155" t="s">
        <v>112</v>
      </c>
    </row>
    <row r="23" spans="2:26" x14ac:dyDescent="0.3">
      <c r="B23" s="95" t="s">
        <v>29</v>
      </c>
      <c r="C23" s="98">
        <f>IF('BDO Prequal'!$H$55&gt;0,'BDO Prequal'!$H$55,'BDO Prequal'!$H$18)</f>
        <v>320000</v>
      </c>
      <c r="D23" s="99">
        <f>'BDO Prequal'!$H$21</f>
        <v>0.05</v>
      </c>
      <c r="E23" s="100">
        <f>'BDO Prequal'!$H$23*12</f>
        <v>84</v>
      </c>
      <c r="F23" s="101">
        <f>'BDO Prequal'!$H$24</f>
        <v>84</v>
      </c>
      <c r="G23" s="102">
        <f ca="1">TODAY()+45</f>
        <v>46205</v>
      </c>
      <c r="H23" s="102">
        <f ca="1">DATE(YEAR(G23)+F23/12,MONTH(G23),DAY(G23))</f>
        <v>48762</v>
      </c>
      <c r="I23" s="100">
        <f ca="1">H23-G23</f>
        <v>2557</v>
      </c>
      <c r="J23" s="103">
        <f ca="1">IFERROR((D23/(365*F23/12))*I23,0)</f>
        <v>5.0039138943248532E-2</v>
      </c>
      <c r="K23" s="104">
        <f ca="1">IFERROR(PMT(J23/12,F23,-C23),0)</f>
        <v>4523.4394305464957</v>
      </c>
      <c r="L23" s="97"/>
      <c r="N23" s="127">
        <v>150001</v>
      </c>
      <c r="O23" s="128">
        <v>700000</v>
      </c>
      <c r="P23" s="139">
        <v>0.03</v>
      </c>
      <c r="Q23" s="125">
        <f>IF(AND(Q20&gt;150000,Q20&lt;=700000),Q21*0.03,0)</f>
        <v>0</v>
      </c>
      <c r="R23" s="129"/>
      <c r="S23" s="129"/>
      <c r="T23" s="129"/>
      <c r="U23" s="130"/>
      <c r="W23" s="146" t="s">
        <v>113</v>
      </c>
      <c r="X23" s="156">
        <f>'BDO Prequal'!H55-'BDO Prequal'!H48-'BDO Prequal'!H49</f>
        <v>320000</v>
      </c>
      <c r="Y23" s="157">
        <f>X23*Y22</f>
        <v>256000</v>
      </c>
      <c r="Z23" s="158">
        <f>Y23*0.03</f>
        <v>7680</v>
      </c>
    </row>
    <row r="24" spans="2:26" ht="15" thickBot="1" x14ac:dyDescent="0.35">
      <c r="B24" s="95" t="s">
        <v>131</v>
      </c>
      <c r="C24" s="98">
        <f>IF('BDO Prequal'!$H$55&gt;0,'BDO Prequal'!$H$55,'BDO Prequal'!$H$18)</f>
        <v>320000</v>
      </c>
      <c r="D24" s="99">
        <f>'BDO Prequal'!$H$21</f>
        <v>0.05</v>
      </c>
      <c r="E24" s="100">
        <f>'BDO Prequal'!$H$23*12</f>
        <v>84</v>
      </c>
      <c r="F24" s="101">
        <f>'BDO Prequal'!$H$24</f>
        <v>84</v>
      </c>
      <c r="G24" s="102">
        <f ca="1">TODAY()+45</f>
        <v>46205</v>
      </c>
      <c r="H24" s="102">
        <f ca="1">DATE(YEAR(G24)+F24/12,MONTH(G24),DAY(G24))</f>
        <v>48762</v>
      </c>
      <c r="I24" s="100">
        <f ca="1">H24-G24</f>
        <v>2557</v>
      </c>
      <c r="J24" s="103">
        <f ca="1">IFERROR((D24/(360*F24/12))*I24,0)</f>
        <v>5.0734126984126986E-2</v>
      </c>
      <c r="K24" s="104">
        <f ca="1">IFERROR(PMT(J24/12,F24,-C24),0)</f>
        <v>4533.8976707042029</v>
      </c>
      <c r="L24" s="97"/>
      <c r="N24" s="127">
        <v>700001</v>
      </c>
      <c r="O24" s="128">
        <v>5000000</v>
      </c>
      <c r="P24" s="139">
        <v>3.5000000000000003E-2</v>
      </c>
      <c r="Q24" s="125">
        <f>IF(Q20&gt;700000,MIN(Q21,1000000)*0.035,0)</f>
        <v>0</v>
      </c>
      <c r="R24" s="131" t="s">
        <v>70</v>
      </c>
      <c r="S24" s="96"/>
      <c r="T24" s="132"/>
      <c r="U24" s="133">
        <f>SUM(Q22:Q25)</f>
        <v>0</v>
      </c>
      <c r="W24" s="147" t="s">
        <v>374</v>
      </c>
      <c r="X24" s="159">
        <f>'BDO Prequal'!H48+'BDO Prequal'!H49</f>
        <v>0</v>
      </c>
      <c r="Y24" s="160">
        <f>X24*Y22</f>
        <v>0</v>
      </c>
      <c r="Z24" s="161">
        <f>Y24*0.035</f>
        <v>0</v>
      </c>
    </row>
    <row r="25" spans="2:26" ht="15" thickBot="1" x14ac:dyDescent="0.35">
      <c r="B25" s="95" t="s">
        <v>378</v>
      </c>
      <c r="C25" s="98">
        <f>IF('BDO Prequal'!$H$55&gt;0,'BDO Prequal'!$H$55,'BDO Prequal'!$H$18)</f>
        <v>320000</v>
      </c>
      <c r="D25" s="99">
        <f>'BDO Prequal'!$H$21</f>
        <v>0.05</v>
      </c>
      <c r="E25" s="100">
        <f>'BDO Prequal'!$H$23*12</f>
        <v>84</v>
      </c>
      <c r="F25" s="101">
        <f>'BDO Prequal'!$H$24</f>
        <v>84</v>
      </c>
      <c r="G25" s="102">
        <f ca="1">TODAY()+45</f>
        <v>46205</v>
      </c>
      <c r="H25" s="102">
        <f ca="1">DATE(YEAR(G25)+F25/12,MONTH(G25),DAY(G25))</f>
        <v>48762</v>
      </c>
      <c r="I25" s="100">
        <f ca="1">H25-G25</f>
        <v>2557</v>
      </c>
      <c r="J25" s="103">
        <f ca="1">IFERROR((D25/(360*F25/12))*I25,0)</f>
        <v>5.0734126984126986E-2</v>
      </c>
      <c r="K25" s="104">
        <f ca="1">IFERROR(C25*J25/12,0)</f>
        <v>1352.9100529100531</v>
      </c>
      <c r="L25" s="97"/>
      <c r="N25" s="134"/>
      <c r="O25" s="135"/>
      <c r="P25" s="140">
        <v>3.7499999999999999E-2</v>
      </c>
      <c r="Q25" s="136">
        <f>IF(AND(Q20&gt;700000,Q21&gt;1000000),(Q21-1000000)*0.0375,0)</f>
        <v>0</v>
      </c>
      <c r="R25" s="137" t="s">
        <v>77</v>
      </c>
      <c r="S25" s="138"/>
      <c r="T25" s="1335">
        <f>ROUNDUP(U24,-0.1)</f>
        <v>0</v>
      </c>
      <c r="U25" s="1336"/>
      <c r="W25" s="148" t="s">
        <v>116</v>
      </c>
      <c r="X25" s="149"/>
      <c r="Y25" s="150"/>
      <c r="Z25" s="162">
        <f>ROUNDUP(Z23+Z24,0)</f>
        <v>7680</v>
      </c>
    </row>
    <row r="26" spans="2:26" x14ac:dyDescent="0.3">
      <c r="B26" s="91" t="str">
        <f>'BDO Prequal'!I17</f>
        <v>Debenture</v>
      </c>
      <c r="C26" s="92"/>
      <c r="D26" s="93"/>
      <c r="E26" s="93"/>
      <c r="F26" s="93"/>
      <c r="G26" s="93"/>
      <c r="H26" s="93"/>
      <c r="I26" s="93"/>
      <c r="J26" s="93"/>
      <c r="K26" s="93"/>
      <c r="L26" s="94"/>
      <c r="N26" s="1331" t="s">
        <v>64</v>
      </c>
      <c r="O26" s="1332"/>
      <c r="P26" s="1332"/>
      <c r="Q26" s="114">
        <f>IF(U26="SBA 7a",'BDO Prequal'!I55,0)</f>
        <v>0</v>
      </c>
      <c r="R26" s="115"/>
      <c r="S26" s="115"/>
      <c r="T26" s="116" t="s">
        <v>372</v>
      </c>
      <c r="U26" s="117" t="str">
        <f>IF('BDO Prequal'!I17="SBA 7(a)","SBA 7a","Not 7a")</f>
        <v>Not 7a</v>
      </c>
      <c r="W26" s="141" t="s">
        <v>375</v>
      </c>
      <c r="X26" s="142" t="str">
        <f>IF('BDO Prequal'!I17=Lists!$L$10,"USDA","Not USDA")</f>
        <v>Not USDA</v>
      </c>
      <c r="Y26" s="151"/>
      <c r="Z26" s="164" t="str">
        <f>B26</f>
        <v>Debenture</v>
      </c>
    </row>
    <row r="27" spans="2:26" x14ac:dyDescent="0.3">
      <c r="B27" s="95" t="s">
        <v>117</v>
      </c>
      <c r="C27" s="96" t="s">
        <v>64</v>
      </c>
      <c r="D27" s="96" t="s">
        <v>118</v>
      </c>
      <c r="E27" s="96" t="s">
        <v>119</v>
      </c>
      <c r="F27" s="96" t="s">
        <v>120</v>
      </c>
      <c r="G27" s="96" t="s">
        <v>121</v>
      </c>
      <c r="H27" s="96" t="s">
        <v>122</v>
      </c>
      <c r="I27" s="96" t="s">
        <v>123</v>
      </c>
      <c r="J27" s="96" t="s">
        <v>124</v>
      </c>
      <c r="K27" s="96" t="s">
        <v>125</v>
      </c>
      <c r="L27" s="97"/>
      <c r="N27" s="1333" t="s">
        <v>67</v>
      </c>
      <c r="O27" s="1334"/>
      <c r="P27" s="1334"/>
      <c r="Q27" s="118">
        <f>Q26*U27</f>
        <v>0</v>
      </c>
      <c r="R27" s="119"/>
      <c r="S27" s="120"/>
      <c r="T27" s="121" t="s">
        <v>316</v>
      </c>
      <c r="U27" s="122">
        <f>'BDO Prequal'!$J$30</f>
        <v>0.75</v>
      </c>
      <c r="W27" s="143" t="s">
        <v>376</v>
      </c>
      <c r="X27" s="163">
        <f>'BDO Prequal'!J31</f>
        <v>0.8</v>
      </c>
      <c r="Y27" s="144"/>
      <c r="Z27" s="152"/>
    </row>
    <row r="28" spans="2:26" x14ac:dyDescent="0.3">
      <c r="B28" s="95" t="s">
        <v>127</v>
      </c>
      <c r="C28" s="98">
        <f>IF('BDO Prequal'!$I$55&gt;0,'BDO Prequal'!$I$55,'BDO Prequal'!$I$18)</f>
        <v>1871935</v>
      </c>
      <c r="D28" s="99">
        <f>'BDO Prequal'!$I$21</f>
        <v>6.0000000000000005E-2</v>
      </c>
      <c r="E28" s="100">
        <f>'BDO Prequal'!$I$23*12</f>
        <v>36</v>
      </c>
      <c r="F28" s="101">
        <f>'BDO Prequal'!$I$24</f>
        <v>36</v>
      </c>
      <c r="G28" s="102">
        <f ca="1">TODAY()+45</f>
        <v>46205</v>
      </c>
      <c r="H28" s="102">
        <f ca="1">DATE(YEAR(G28)+F28/12,MONTH(G28),DAY(G28))</f>
        <v>47301</v>
      </c>
      <c r="I28" s="100">
        <f ca="1">H28-G28</f>
        <v>1096</v>
      </c>
      <c r="J28" s="103">
        <f>IFERROR((D28/360)*30*12,0)</f>
        <v>6.0000000000000012E-2</v>
      </c>
      <c r="K28" s="104">
        <f>IFERROR(PMT(J28/12,F28,-C28),0)</f>
        <v>56947.889483376821</v>
      </c>
      <c r="L28" s="97"/>
      <c r="N28" s="123" t="s">
        <v>83</v>
      </c>
      <c r="O28" s="124">
        <v>150000</v>
      </c>
      <c r="P28" s="139">
        <v>0.02</v>
      </c>
      <c r="Q28" s="125">
        <f>IF(Q26&lt;=150000,Q27*0.02,0)</f>
        <v>0</v>
      </c>
      <c r="R28" s="120"/>
      <c r="S28" s="120"/>
      <c r="T28" s="120"/>
      <c r="U28" s="126"/>
      <c r="W28" s="146"/>
      <c r="X28" s="153" t="s">
        <v>111</v>
      </c>
      <c r="Y28" s="154">
        <f>X27</f>
        <v>0.8</v>
      </c>
      <c r="Z28" s="155" t="s">
        <v>112</v>
      </c>
    </row>
    <row r="29" spans="2:26" x14ac:dyDescent="0.3">
      <c r="B29" s="95" t="s">
        <v>29</v>
      </c>
      <c r="C29" s="98">
        <f>IF('BDO Prequal'!$I$55&gt;0,'BDO Prequal'!$I$55,'BDO Prequal'!$I$18)</f>
        <v>1871935</v>
      </c>
      <c r="D29" s="99">
        <f>'BDO Prequal'!$I$21</f>
        <v>6.0000000000000005E-2</v>
      </c>
      <c r="E29" s="100">
        <f>'BDO Prequal'!$I$23*12</f>
        <v>36</v>
      </c>
      <c r="F29" s="101">
        <f>'BDO Prequal'!$I$24</f>
        <v>36</v>
      </c>
      <c r="G29" s="102">
        <f ca="1">TODAY()+45</f>
        <v>46205</v>
      </c>
      <c r="H29" s="102">
        <f ca="1">DATE(YEAR(G29)+F29/12,MONTH(G29),DAY(G29))</f>
        <v>47301</v>
      </c>
      <c r="I29" s="100">
        <f ca="1">H29-G29</f>
        <v>1096</v>
      </c>
      <c r="J29" s="103">
        <f ca="1">IFERROR((D29/(365*F29/12))*I29,0)</f>
        <v>6.0054794520547947E-2</v>
      </c>
      <c r="K29" s="104">
        <f ca="1">IFERROR(PMT(J29/12,F29,-C29),0)</f>
        <v>56952.537141593348</v>
      </c>
      <c r="L29" s="97"/>
      <c r="N29" s="127">
        <v>150001</v>
      </c>
      <c r="O29" s="128">
        <v>700000</v>
      </c>
      <c r="P29" s="139">
        <v>0.03</v>
      </c>
      <c r="Q29" s="125">
        <f>IF(AND(Q26&gt;150000,Q26&lt;=700000),Q27*0.03,0)</f>
        <v>0</v>
      </c>
      <c r="R29" s="129"/>
      <c r="S29" s="129"/>
      <c r="T29" s="129"/>
      <c r="U29" s="130"/>
      <c r="W29" s="146" t="s">
        <v>113</v>
      </c>
      <c r="X29" s="156">
        <f>'BDO Prequal'!I55-'BDO Prequal'!I48-'BDO Prequal'!I49</f>
        <v>0</v>
      </c>
      <c r="Y29" s="157">
        <f>X29*Y28</f>
        <v>0</v>
      </c>
      <c r="Z29" s="158">
        <f>Y29*0.03</f>
        <v>0</v>
      </c>
    </row>
    <row r="30" spans="2:26" ht="15" thickBot="1" x14ac:dyDescent="0.35">
      <c r="B30" s="95" t="s">
        <v>131</v>
      </c>
      <c r="C30" s="98">
        <f>IF('BDO Prequal'!$I$55&gt;0,'BDO Prequal'!$I$55,'BDO Prequal'!$I$18)</f>
        <v>1871935</v>
      </c>
      <c r="D30" s="99">
        <f>'BDO Prequal'!$I$21</f>
        <v>6.0000000000000005E-2</v>
      </c>
      <c r="E30" s="100">
        <f>'BDO Prequal'!$I$23*12</f>
        <v>36</v>
      </c>
      <c r="F30" s="101">
        <f>'BDO Prequal'!$I$24</f>
        <v>36</v>
      </c>
      <c r="G30" s="102">
        <f ca="1">TODAY()+45</f>
        <v>46205</v>
      </c>
      <c r="H30" s="102">
        <f ca="1">DATE(YEAR(G30)+F30/12,MONTH(G30),DAY(G30))</f>
        <v>47301</v>
      </c>
      <c r="I30" s="100">
        <f ca="1">H30-G30</f>
        <v>1096</v>
      </c>
      <c r="J30" s="103">
        <f ca="1">IFERROR((D30/(360*F30/12))*I30,0)</f>
        <v>6.0888888888888895E-2</v>
      </c>
      <c r="K30" s="104">
        <f ca="1">IFERROR(PMT(J30/12,F30,-C30),0)</f>
        <v>57023.313410052244</v>
      </c>
      <c r="L30" s="97"/>
      <c r="N30" s="127">
        <v>700001</v>
      </c>
      <c r="O30" s="128">
        <v>5000000</v>
      </c>
      <c r="P30" s="139">
        <v>3.5000000000000003E-2</v>
      </c>
      <c r="Q30" s="125">
        <f>IF(Q26&gt;700000,MIN(Q27,1000000)*0.035,0)</f>
        <v>0</v>
      </c>
      <c r="R30" s="131" t="s">
        <v>70</v>
      </c>
      <c r="S30" s="96"/>
      <c r="T30" s="132"/>
      <c r="U30" s="133">
        <f>SUM(Q28:Q31)</f>
        <v>0</v>
      </c>
      <c r="W30" s="147" t="s">
        <v>374</v>
      </c>
      <c r="X30" s="159">
        <f>'BDO Prequal'!I48+'BDO Prequal'!I49</f>
        <v>1871935</v>
      </c>
      <c r="Y30" s="160">
        <f>X30*Y28</f>
        <v>1497548</v>
      </c>
      <c r="Z30" s="161">
        <f>Y30*0.035</f>
        <v>52414.180000000008</v>
      </c>
    </row>
    <row r="31" spans="2:26" ht="15" thickBot="1" x14ac:dyDescent="0.35">
      <c r="B31" s="95" t="s">
        <v>378</v>
      </c>
      <c r="C31" s="98">
        <f>IF('BDO Prequal'!$I$55&gt;0,'BDO Prequal'!$I$55,'BDO Prequal'!$I$18)</f>
        <v>1871935</v>
      </c>
      <c r="D31" s="99">
        <f>'BDO Prequal'!$I$21</f>
        <v>6.0000000000000005E-2</v>
      </c>
      <c r="E31" s="100">
        <f>'BDO Prequal'!$I$23*12</f>
        <v>36</v>
      </c>
      <c r="F31" s="101">
        <f>'BDO Prequal'!$I$24</f>
        <v>36</v>
      </c>
      <c r="G31" s="102">
        <f ca="1">TODAY()+45</f>
        <v>46205</v>
      </c>
      <c r="H31" s="102">
        <f ca="1">DATE(YEAR(G31)+F31/12,MONTH(G31),DAY(G31))</f>
        <v>47301</v>
      </c>
      <c r="I31" s="100">
        <f ca="1">H31-G31</f>
        <v>1096</v>
      </c>
      <c r="J31" s="103">
        <f ca="1">IFERROR((D31/(360*F31/12))*I31,0)</f>
        <v>6.0888888888888895E-2</v>
      </c>
      <c r="K31" s="104">
        <f ca="1">IFERROR(C31*J31/12,0)</f>
        <v>9498.3368518518528</v>
      </c>
      <c r="L31" s="97"/>
      <c r="N31" s="134"/>
      <c r="O31" s="135"/>
      <c r="P31" s="140">
        <v>3.7499999999999999E-2</v>
      </c>
      <c r="Q31" s="136">
        <f>IF(AND(Q26&gt;700000,Q27&gt;1000000),(Q27-1000000)*0.0375,0)</f>
        <v>0</v>
      </c>
      <c r="R31" s="137" t="s">
        <v>77</v>
      </c>
      <c r="S31" s="138"/>
      <c r="T31" s="1335">
        <f>ROUNDUP(U30,-0.1)</f>
        <v>0</v>
      </c>
      <c r="U31" s="1336"/>
      <c r="W31" s="148" t="s">
        <v>116</v>
      </c>
      <c r="X31" s="149"/>
      <c r="Y31" s="150"/>
      <c r="Z31" s="162">
        <f>ROUNDUP(Z29+Z30,0)</f>
        <v>52415</v>
      </c>
    </row>
    <row r="32" spans="2:26" x14ac:dyDescent="0.3">
      <c r="B32" s="91" t="str">
        <f>'BDO Prequal'!J17</f>
        <v>N/A</v>
      </c>
      <c r="C32" s="92"/>
      <c r="D32" s="93"/>
      <c r="E32" s="93"/>
      <c r="F32" s="93"/>
      <c r="G32" s="93"/>
      <c r="H32" s="93"/>
      <c r="I32" s="93"/>
      <c r="J32" s="93"/>
      <c r="K32" s="93"/>
      <c r="L32" s="94"/>
      <c r="N32" s="1331" t="s">
        <v>64</v>
      </c>
      <c r="O32" s="1332"/>
      <c r="P32" s="1332"/>
      <c r="Q32" s="114">
        <f>IF(U32="SBA 7a",'BDO Prequal'!J55,0)</f>
        <v>0</v>
      </c>
      <c r="R32" s="115"/>
      <c r="S32" s="115"/>
      <c r="T32" s="116" t="s">
        <v>372</v>
      </c>
      <c r="U32" s="117" t="str">
        <f>IF('BDO Prequal'!J17="SBA 7(a)","SBA 7a","Not 7a")</f>
        <v>Not 7a</v>
      </c>
      <c r="W32" s="141" t="s">
        <v>375</v>
      </c>
      <c r="X32" s="142" t="str">
        <f>IF('BDO Prequal'!J17=Lists!$L$10,"USDA","Not USDA")</f>
        <v>Not USDA</v>
      </c>
      <c r="Y32" s="151"/>
      <c r="Z32" s="164" t="str">
        <f>B32</f>
        <v>N/A</v>
      </c>
    </row>
    <row r="33" spans="2:26" x14ac:dyDescent="0.3">
      <c r="B33" s="95" t="s">
        <v>117</v>
      </c>
      <c r="C33" s="96" t="s">
        <v>64</v>
      </c>
      <c r="D33" s="96" t="s">
        <v>118</v>
      </c>
      <c r="E33" s="96" t="s">
        <v>119</v>
      </c>
      <c r="F33" s="96" t="s">
        <v>120</v>
      </c>
      <c r="G33" s="96" t="s">
        <v>121</v>
      </c>
      <c r="H33" s="96" t="s">
        <v>122</v>
      </c>
      <c r="I33" s="96" t="s">
        <v>123</v>
      </c>
      <c r="J33" s="96" t="s">
        <v>124</v>
      </c>
      <c r="K33" s="96" t="s">
        <v>125</v>
      </c>
      <c r="L33" s="97"/>
      <c r="N33" s="1333" t="s">
        <v>67</v>
      </c>
      <c r="O33" s="1334"/>
      <c r="P33" s="1334"/>
      <c r="Q33" s="118">
        <f>Q32*U33</f>
        <v>0</v>
      </c>
      <c r="R33" s="119"/>
      <c r="S33" s="120"/>
      <c r="T33" s="121" t="s">
        <v>316</v>
      </c>
      <c r="U33" s="122">
        <f>'BDO Prequal'!$J$30</f>
        <v>0.75</v>
      </c>
      <c r="W33" s="143" t="s">
        <v>376</v>
      </c>
      <c r="X33" s="163">
        <f>'BDO Prequal'!J31</f>
        <v>0.8</v>
      </c>
      <c r="Y33" s="144"/>
      <c r="Z33" s="152"/>
    </row>
    <row r="34" spans="2:26" x14ac:dyDescent="0.3">
      <c r="B34" s="95" t="s">
        <v>127</v>
      </c>
      <c r="C34" s="98">
        <f>IF('BDO Prequal'!$J$55&gt;0,'BDO Prequal'!$J$55,'BDO Prequal'!$J$18)</f>
        <v>0</v>
      </c>
      <c r="D34" s="99">
        <f>'BDO Prequal'!$J$21</f>
        <v>9.7500000000000003E-2</v>
      </c>
      <c r="E34" s="100">
        <f>'BDO Prequal'!$J$23*12</f>
        <v>60</v>
      </c>
      <c r="F34" s="101">
        <f>'BDO Prequal'!$J$24</f>
        <v>60</v>
      </c>
      <c r="G34" s="102">
        <f ca="1">TODAY()+45</f>
        <v>46205</v>
      </c>
      <c r="H34" s="102">
        <f ca="1">DATE(YEAR(G34)+F34/12,MONTH(G34),DAY(G34))</f>
        <v>48031</v>
      </c>
      <c r="I34" s="100">
        <f ca="1">H34-G34</f>
        <v>1826</v>
      </c>
      <c r="J34" s="103">
        <f>IFERROR((D34/360)*30*12,0)</f>
        <v>9.7500000000000003E-2</v>
      </c>
      <c r="K34" s="104">
        <f>IFERROR(PMT(J34/12,F34,-C34),0)</f>
        <v>0</v>
      </c>
      <c r="L34" s="97"/>
      <c r="N34" s="123" t="s">
        <v>83</v>
      </c>
      <c r="O34" s="124">
        <v>150000</v>
      </c>
      <c r="P34" s="139">
        <v>0.02</v>
      </c>
      <c r="Q34" s="125">
        <f>IF(Q32&lt;=150000,Q33*0.02,0)</f>
        <v>0</v>
      </c>
      <c r="R34" s="120"/>
      <c r="S34" s="120"/>
      <c r="T34" s="120"/>
      <c r="U34" s="126"/>
      <c r="W34" s="146"/>
      <c r="X34" s="153" t="s">
        <v>111</v>
      </c>
      <c r="Y34" s="154">
        <f>X33</f>
        <v>0.8</v>
      </c>
      <c r="Z34" s="155" t="s">
        <v>112</v>
      </c>
    </row>
    <row r="35" spans="2:26" x14ac:dyDescent="0.3">
      <c r="B35" s="95" t="s">
        <v>29</v>
      </c>
      <c r="C35" s="98">
        <f>IF('BDO Prequal'!$J$55&gt;0,'BDO Prequal'!$J$55,'BDO Prequal'!$J$18)</f>
        <v>0</v>
      </c>
      <c r="D35" s="99">
        <f>'BDO Prequal'!$J$21</f>
        <v>9.7500000000000003E-2</v>
      </c>
      <c r="E35" s="100">
        <f>'BDO Prequal'!$J$23*12</f>
        <v>60</v>
      </c>
      <c r="F35" s="101">
        <f>'BDO Prequal'!$J$24</f>
        <v>60</v>
      </c>
      <c r="G35" s="102">
        <f ca="1">TODAY()+45</f>
        <v>46205</v>
      </c>
      <c r="H35" s="102">
        <f ca="1">DATE(YEAR(G35)+F35/12,MONTH(G35),DAY(G35))</f>
        <v>48031</v>
      </c>
      <c r="I35" s="100">
        <f ca="1">H35-G35</f>
        <v>1826</v>
      </c>
      <c r="J35" s="103">
        <f ca="1">IFERROR((D35/(365*F35/12))*I35,0)</f>
        <v>9.7553424657534249E-2</v>
      </c>
      <c r="K35" s="104">
        <f ca="1">IFERROR(PMT(J35/12,F35,-C35),0)</f>
        <v>0</v>
      </c>
      <c r="L35" s="97"/>
      <c r="N35" s="127">
        <v>150001</v>
      </c>
      <c r="O35" s="128">
        <v>700000</v>
      </c>
      <c r="P35" s="139">
        <v>0.03</v>
      </c>
      <c r="Q35" s="125">
        <f>IF(AND(Q32&gt;150000,Q32&lt;=700000),Q33*0.03,0)</f>
        <v>0</v>
      </c>
      <c r="R35" s="129"/>
      <c r="S35" s="129"/>
      <c r="T35" s="129"/>
      <c r="U35" s="130"/>
      <c r="W35" s="146" t="s">
        <v>113</v>
      </c>
      <c r="X35" s="156">
        <f>'BDO Prequal'!J55-'BDO Prequal'!J48-'BDO Prequal'!J49</f>
        <v>0</v>
      </c>
      <c r="Y35" s="157">
        <f>X35*Y34</f>
        <v>0</v>
      </c>
      <c r="Z35" s="158">
        <f>Y35*0.03</f>
        <v>0</v>
      </c>
    </row>
    <row r="36" spans="2:26" ht="15" thickBot="1" x14ac:dyDescent="0.35">
      <c r="B36" s="95" t="s">
        <v>131</v>
      </c>
      <c r="C36" s="98">
        <f>IF('BDO Prequal'!$J$55&gt;0,'BDO Prequal'!$J$55,'BDO Prequal'!$J$18)</f>
        <v>0</v>
      </c>
      <c r="D36" s="99">
        <f>'BDO Prequal'!$J$21</f>
        <v>9.7500000000000003E-2</v>
      </c>
      <c r="E36" s="100">
        <f>'BDO Prequal'!$J$23*12</f>
        <v>60</v>
      </c>
      <c r="F36" s="101">
        <f>'BDO Prequal'!$J$24</f>
        <v>60</v>
      </c>
      <c r="G36" s="102">
        <f ca="1">TODAY()+45</f>
        <v>46205</v>
      </c>
      <c r="H36" s="102">
        <f ca="1">DATE(YEAR(G36)+F36/12,MONTH(G36),DAY(G36))</f>
        <v>48031</v>
      </c>
      <c r="I36" s="100">
        <f ca="1">H36-G36</f>
        <v>1826</v>
      </c>
      <c r="J36" s="103">
        <f ca="1">IFERROR((D36/(360*F36/12))*I36,0)</f>
        <v>9.8908333333333348E-2</v>
      </c>
      <c r="K36" s="104">
        <f ca="1">IFERROR(PMT(J36/12,F36,-C36),0)</f>
        <v>0</v>
      </c>
      <c r="L36" s="97"/>
      <c r="N36" s="127">
        <v>700001</v>
      </c>
      <c r="O36" s="128">
        <v>5000000</v>
      </c>
      <c r="P36" s="139">
        <v>3.5000000000000003E-2</v>
      </c>
      <c r="Q36" s="125">
        <f>IF(Q32&gt;700000,MIN(Q33,1000000)*0.035,0)</f>
        <v>0</v>
      </c>
      <c r="R36" s="131" t="s">
        <v>70</v>
      </c>
      <c r="S36" s="96"/>
      <c r="T36" s="132"/>
      <c r="U36" s="133">
        <f>SUM(Q34:Q37)</f>
        <v>0</v>
      </c>
      <c r="W36" s="147" t="s">
        <v>374</v>
      </c>
      <c r="X36" s="159">
        <f>'BDO Prequal'!J48+'BDO Prequal'!J49</f>
        <v>0</v>
      </c>
      <c r="Y36" s="160">
        <f>X36*Y34</f>
        <v>0</v>
      </c>
      <c r="Z36" s="161">
        <f>Y36*0.035</f>
        <v>0</v>
      </c>
    </row>
    <row r="37" spans="2:26" ht="15" thickBot="1" x14ac:dyDescent="0.35">
      <c r="B37" s="95" t="s">
        <v>378</v>
      </c>
      <c r="C37" s="98">
        <f>IF('BDO Prequal'!$J$55&gt;0,'BDO Prequal'!$J$55,'BDO Prequal'!$J$18)</f>
        <v>0</v>
      </c>
      <c r="D37" s="99">
        <f>'BDO Prequal'!$J$21</f>
        <v>9.7500000000000003E-2</v>
      </c>
      <c r="E37" s="100">
        <f>'BDO Prequal'!$J$23*12</f>
        <v>60</v>
      </c>
      <c r="F37" s="101">
        <f>'BDO Prequal'!$J$24</f>
        <v>60</v>
      </c>
      <c r="G37" s="102">
        <f ca="1">TODAY()+45</f>
        <v>46205</v>
      </c>
      <c r="H37" s="102">
        <f ca="1">DATE(YEAR(G37)+F37/12,MONTH(G37),DAY(G37))</f>
        <v>48031</v>
      </c>
      <c r="I37" s="100">
        <f ca="1">H37-G37</f>
        <v>1826</v>
      </c>
      <c r="J37" s="103">
        <f ca="1">IFERROR((D37/(360*F37/12))*I37,0)</f>
        <v>9.8908333333333348E-2</v>
      </c>
      <c r="K37" s="104">
        <f ca="1">IFERROR(C37*J37/12,0)</f>
        <v>0</v>
      </c>
      <c r="L37" s="97"/>
      <c r="N37" s="134"/>
      <c r="O37" s="135"/>
      <c r="P37" s="140">
        <v>3.7499999999999999E-2</v>
      </c>
      <c r="Q37" s="136">
        <f>IF(AND(Q32&gt;700000,Q33&gt;1000000),(Q33-1000000)*0.0375,0)</f>
        <v>0</v>
      </c>
      <c r="R37" s="137" t="s">
        <v>77</v>
      </c>
      <c r="S37" s="138"/>
      <c r="T37" s="1335">
        <f>ROUNDUP(U36,-0.1)</f>
        <v>0</v>
      </c>
      <c r="U37" s="1336"/>
      <c r="W37" s="148" t="s">
        <v>116</v>
      </c>
      <c r="X37" s="149"/>
      <c r="Y37" s="150"/>
      <c r="Z37" s="162">
        <f>ROUNDUP(Z35+Z36,0)</f>
        <v>0</v>
      </c>
    </row>
    <row r="38" spans="2:26" x14ac:dyDescent="0.3">
      <c r="B38" s="91" t="str">
        <f>'BDO Prequal'!K17</f>
        <v>N/A</v>
      </c>
      <c r="C38" s="92"/>
      <c r="D38" s="93"/>
      <c r="E38" s="93"/>
      <c r="F38" s="93"/>
      <c r="G38" s="93"/>
      <c r="H38" s="93"/>
      <c r="I38" s="93"/>
      <c r="J38" s="93"/>
      <c r="K38" s="93"/>
      <c r="L38" s="94"/>
      <c r="N38" s="1331" t="s">
        <v>64</v>
      </c>
      <c r="O38" s="1332"/>
      <c r="P38" s="1332"/>
      <c r="Q38" s="114">
        <f>IF(U38="SBA 7a",'BDO Prequal'!K55,0)</f>
        <v>0</v>
      </c>
      <c r="R38" s="115"/>
      <c r="S38" s="115"/>
      <c r="T38" s="116" t="s">
        <v>372</v>
      </c>
      <c r="U38" s="117" t="str">
        <f>IF('BDO Prequal'!K17="SBA 7(a)","SBA 7a","Not 7a")</f>
        <v>Not 7a</v>
      </c>
      <c r="W38" s="141" t="s">
        <v>375</v>
      </c>
      <c r="X38" s="142" t="str">
        <f>IF('BDO Prequal'!K17=Lists!$L$10,"USDA","Not USDA")</f>
        <v>Not USDA</v>
      </c>
      <c r="Y38" s="151"/>
      <c r="Z38" s="164" t="str">
        <f>B38</f>
        <v>N/A</v>
      </c>
    </row>
    <row r="39" spans="2:26" x14ac:dyDescent="0.3">
      <c r="B39" s="95" t="s">
        <v>117</v>
      </c>
      <c r="C39" s="96" t="s">
        <v>64</v>
      </c>
      <c r="D39" s="96" t="s">
        <v>118</v>
      </c>
      <c r="E39" s="96" t="s">
        <v>119</v>
      </c>
      <c r="F39" s="96" t="s">
        <v>120</v>
      </c>
      <c r="G39" s="96" t="s">
        <v>121</v>
      </c>
      <c r="H39" s="96" t="s">
        <v>122</v>
      </c>
      <c r="I39" s="96" t="s">
        <v>123</v>
      </c>
      <c r="J39" s="96" t="s">
        <v>124</v>
      </c>
      <c r="K39" s="96" t="s">
        <v>125</v>
      </c>
      <c r="L39" s="97"/>
      <c r="N39" s="1333" t="s">
        <v>67</v>
      </c>
      <c r="O39" s="1334"/>
      <c r="P39" s="1334"/>
      <c r="Q39" s="118">
        <f>Q38*U39</f>
        <v>0</v>
      </c>
      <c r="R39" s="119"/>
      <c r="S39" s="120"/>
      <c r="T39" s="121" t="s">
        <v>316</v>
      </c>
      <c r="U39" s="122">
        <f>'BDO Prequal'!$J$30</f>
        <v>0.75</v>
      </c>
      <c r="W39" s="143" t="s">
        <v>376</v>
      </c>
      <c r="X39" s="163">
        <f>'BDO Prequal'!J31</f>
        <v>0.8</v>
      </c>
      <c r="Y39" s="144"/>
      <c r="Z39" s="152"/>
    </row>
    <row r="40" spans="2:26" x14ac:dyDescent="0.3">
      <c r="B40" s="95" t="s">
        <v>127</v>
      </c>
      <c r="C40" s="98">
        <f>IF('BDO Prequal'!$K$55&gt;0,'BDO Prequal'!$K$55,'BDO Prequal'!$K$18)</f>
        <v>0</v>
      </c>
      <c r="D40" s="99">
        <f>'BDO Prequal'!$K$21</f>
        <v>0</v>
      </c>
      <c r="E40" s="100">
        <f>'BDO Prequal'!$K$23*12</f>
        <v>0</v>
      </c>
      <c r="F40" s="101">
        <f>'BDO Prequal'!$K$24</f>
        <v>0</v>
      </c>
      <c r="G40" s="102">
        <f ca="1">TODAY()+45</f>
        <v>46205</v>
      </c>
      <c r="H40" s="102">
        <f ca="1">DATE(YEAR(G40)+F40/12,MONTH(G40),DAY(G40))</f>
        <v>46205</v>
      </c>
      <c r="I40" s="100">
        <f ca="1">H40-G40</f>
        <v>0</v>
      </c>
      <c r="J40" s="103">
        <f>IFERROR((D40/360)*30*12,0)</f>
        <v>0</v>
      </c>
      <c r="K40" s="104">
        <f>IFERROR(PMT(J40/12,F40,-C40),0)</f>
        <v>0</v>
      </c>
      <c r="L40" s="97"/>
      <c r="N40" s="123" t="s">
        <v>83</v>
      </c>
      <c r="O40" s="124">
        <v>150000</v>
      </c>
      <c r="P40" s="139">
        <v>0.02</v>
      </c>
      <c r="Q40" s="125">
        <f>IF(Q38&lt;=150000,Q39*0.02,0)</f>
        <v>0</v>
      </c>
      <c r="R40" s="120"/>
      <c r="S40" s="120"/>
      <c r="T40" s="120"/>
      <c r="U40" s="126"/>
      <c r="W40" s="146"/>
      <c r="X40" s="153" t="s">
        <v>111</v>
      </c>
      <c r="Y40" s="154">
        <f>X39</f>
        <v>0.8</v>
      </c>
      <c r="Z40" s="155" t="s">
        <v>112</v>
      </c>
    </row>
    <row r="41" spans="2:26" x14ac:dyDescent="0.3">
      <c r="B41" s="95" t="s">
        <v>29</v>
      </c>
      <c r="C41" s="98">
        <f>IF('BDO Prequal'!$K$55&gt;0,'BDO Prequal'!$K$55,'BDO Prequal'!$K$18)</f>
        <v>0</v>
      </c>
      <c r="D41" s="99">
        <f>'BDO Prequal'!$K$21</f>
        <v>0</v>
      </c>
      <c r="E41" s="100">
        <f>'BDO Prequal'!$K$23*12</f>
        <v>0</v>
      </c>
      <c r="F41" s="101">
        <f>'BDO Prequal'!$K$24</f>
        <v>0</v>
      </c>
      <c r="G41" s="102">
        <f ca="1">TODAY()+45</f>
        <v>46205</v>
      </c>
      <c r="H41" s="102">
        <f ca="1">DATE(YEAR(G41)+F41/12,MONTH(G41),DAY(G41))</f>
        <v>46205</v>
      </c>
      <c r="I41" s="100">
        <f ca="1">H41-G41</f>
        <v>0</v>
      </c>
      <c r="J41" s="103">
        <f ca="1">IFERROR((D41/(365*F41/12))*I41,0)</f>
        <v>0</v>
      </c>
      <c r="K41" s="104">
        <f ca="1">IFERROR(PMT(J41/12,F41,-C41),0)</f>
        <v>0</v>
      </c>
      <c r="L41" s="97"/>
      <c r="N41" s="127">
        <v>150001</v>
      </c>
      <c r="O41" s="128">
        <v>700000</v>
      </c>
      <c r="P41" s="139">
        <v>0.03</v>
      </c>
      <c r="Q41" s="125">
        <f>IF(AND(Q38&gt;150000,Q38&lt;=700000),Q39*0.03,0)</f>
        <v>0</v>
      </c>
      <c r="R41" s="129"/>
      <c r="S41" s="129"/>
      <c r="T41" s="129"/>
      <c r="U41" s="130"/>
      <c r="W41" s="146" t="s">
        <v>113</v>
      </c>
      <c r="X41" s="156">
        <f>'BDO Prequal'!K55-'BDO Prequal'!K48-'BDO Prequal'!K49</f>
        <v>0</v>
      </c>
      <c r="Y41" s="157">
        <f>X41*Y40</f>
        <v>0</v>
      </c>
      <c r="Z41" s="158">
        <f>Y41*0.03</f>
        <v>0</v>
      </c>
    </row>
    <row r="42" spans="2:26" ht="15" thickBot="1" x14ac:dyDescent="0.35">
      <c r="B42" s="95" t="s">
        <v>131</v>
      </c>
      <c r="C42" s="98">
        <f>IF('BDO Prequal'!$K$55&gt;0,'BDO Prequal'!$K$55,'BDO Prequal'!$K$18)</f>
        <v>0</v>
      </c>
      <c r="D42" s="99">
        <f>'BDO Prequal'!$K$21</f>
        <v>0</v>
      </c>
      <c r="E42" s="100">
        <f>'BDO Prequal'!$K$23*12</f>
        <v>0</v>
      </c>
      <c r="F42" s="101">
        <f>'BDO Prequal'!$K$24</f>
        <v>0</v>
      </c>
      <c r="G42" s="102">
        <f ca="1">TODAY()+45</f>
        <v>46205</v>
      </c>
      <c r="H42" s="102">
        <f ca="1">DATE(YEAR(G42)+F42/12,MONTH(G42),DAY(G42))</f>
        <v>46205</v>
      </c>
      <c r="I42" s="100">
        <f ca="1">H42-G42</f>
        <v>0</v>
      </c>
      <c r="J42" s="103">
        <f ca="1">IFERROR((D42/(360*F42/12))*I42,0)</f>
        <v>0</v>
      </c>
      <c r="K42" s="104">
        <f ca="1">IFERROR(PMT(J42/12,F42,-C42),0)</f>
        <v>0</v>
      </c>
      <c r="L42" s="97"/>
      <c r="N42" s="127">
        <v>700001</v>
      </c>
      <c r="O42" s="128">
        <v>5000000</v>
      </c>
      <c r="P42" s="139">
        <v>3.5000000000000003E-2</v>
      </c>
      <c r="Q42" s="125">
        <f>IF(Q38&gt;700000,MIN(Q39,1000000)*0.035,0)</f>
        <v>0</v>
      </c>
      <c r="R42" s="131" t="s">
        <v>70</v>
      </c>
      <c r="S42" s="96"/>
      <c r="T42" s="132"/>
      <c r="U42" s="133">
        <f>SUM(Q40:Q43)</f>
        <v>0</v>
      </c>
      <c r="W42" s="147" t="s">
        <v>374</v>
      </c>
      <c r="X42" s="159">
        <f>'BDO Prequal'!K48+'BDO Prequal'!K49</f>
        <v>0</v>
      </c>
      <c r="Y42" s="160">
        <f>X42*Y40</f>
        <v>0</v>
      </c>
      <c r="Z42" s="161">
        <f>Y42*0.035</f>
        <v>0</v>
      </c>
    </row>
    <row r="43" spans="2:26" ht="15" thickBot="1" x14ac:dyDescent="0.35">
      <c r="B43" s="105" t="s">
        <v>378</v>
      </c>
      <c r="C43" s="106">
        <f>IF('BDO Prequal'!$K$55&gt;0,'BDO Prequal'!$K$55,'BDO Prequal'!$K$18)</f>
        <v>0</v>
      </c>
      <c r="D43" s="107">
        <f>'BDO Prequal'!$K$21</f>
        <v>0</v>
      </c>
      <c r="E43" s="108">
        <f>'BDO Prequal'!$K$23*12</f>
        <v>0</v>
      </c>
      <c r="F43" s="109">
        <f>'BDO Prequal'!$K$24</f>
        <v>0</v>
      </c>
      <c r="G43" s="110">
        <f ca="1">TODAY()+45</f>
        <v>46205</v>
      </c>
      <c r="H43" s="110">
        <f ca="1">DATE(YEAR(G43)+F43/12,MONTH(G43),DAY(G43))</f>
        <v>46205</v>
      </c>
      <c r="I43" s="108">
        <f ca="1">H43-G43</f>
        <v>0</v>
      </c>
      <c r="J43" s="111">
        <f ca="1">IFERROR((D43/(360*F43/12))*I43,0)</f>
        <v>0</v>
      </c>
      <c r="K43" s="112">
        <f ca="1">IFERROR(C43*J43/12,0)</f>
        <v>0</v>
      </c>
      <c r="L43" s="113"/>
      <c r="N43" s="134"/>
      <c r="O43" s="135"/>
      <c r="P43" s="140">
        <v>3.7499999999999999E-2</v>
      </c>
      <c r="Q43" s="136">
        <f>IF(AND(Q38&gt;700000,Q39&gt;1000000),(Q39-1000000)*0.0375,0)</f>
        <v>0</v>
      </c>
      <c r="R43" s="137" t="s">
        <v>77</v>
      </c>
      <c r="S43" s="138"/>
      <c r="T43" s="1335">
        <f>ROUNDUP(U42,-0.1)</f>
        <v>0</v>
      </c>
      <c r="U43" s="1336"/>
      <c r="W43" s="148" t="s">
        <v>116</v>
      </c>
      <c r="X43" s="149"/>
      <c r="Y43" s="150"/>
      <c r="Z43" s="162">
        <f>ROUNDUP(Z41+Z42,0)</f>
        <v>0</v>
      </c>
    </row>
    <row r="45" spans="2:26" ht="15" thickBot="1" x14ac:dyDescent="0.35"/>
    <row r="46" spans="2:26" x14ac:dyDescent="0.3">
      <c r="B46" s="1078"/>
      <c r="C46" s="1079">
        <v>1</v>
      </c>
      <c r="D46" s="1079">
        <v>2</v>
      </c>
      <c r="E46" s="1079">
        <v>3</v>
      </c>
      <c r="F46" s="1079">
        <v>4</v>
      </c>
      <c r="G46" s="1079">
        <v>5</v>
      </c>
      <c r="H46" s="1079">
        <v>6</v>
      </c>
      <c r="I46" s="1079">
        <v>7</v>
      </c>
      <c r="J46" s="1079" t="s">
        <v>535</v>
      </c>
      <c r="K46" s="1042" t="s">
        <v>8</v>
      </c>
    </row>
    <row r="47" spans="2:26" x14ac:dyDescent="0.3">
      <c r="B47" s="1080" t="s">
        <v>531</v>
      </c>
      <c r="C47" s="1081">
        <f>'BDO Prequal'!D48*0.1</f>
        <v>27620.7</v>
      </c>
      <c r="D47" s="1081">
        <f>'BDO Prequal'!E48*'BDO Prequal'!$D$30</f>
        <v>0</v>
      </c>
      <c r="E47" s="1081">
        <f>'BDO Prequal'!F48*'BDO Prequal'!$D$30</f>
        <v>195185.80000000002</v>
      </c>
      <c r="F47" s="1081">
        <f>'BDO Prequal'!G48*'BDO Prequal'!$D$30</f>
        <v>0</v>
      </c>
      <c r="G47" s="1081">
        <f>'BDO Prequal'!H48*'BDO Prequal'!$D$30</f>
        <v>0</v>
      </c>
      <c r="H47" s="1081">
        <f>'BDO Prequal'!J48*'BDO Prequal'!$D$30</f>
        <v>0</v>
      </c>
      <c r="I47" s="1081">
        <f>'BDO Prequal'!K48*'BDO Prequal'!$D$30</f>
        <v>0</v>
      </c>
      <c r="J47" s="1082">
        <f>'BDO Prequal'!G30</f>
        <v>0</v>
      </c>
      <c r="K47" s="1083">
        <f>ROUNDUP(SUM(C47:J47),0)</f>
        <v>222807</v>
      </c>
    </row>
    <row r="48" spans="2:26" ht="15" thickBot="1" x14ac:dyDescent="0.35">
      <c r="B48" s="1084" t="s">
        <v>532</v>
      </c>
      <c r="C48" s="1085">
        <f>IF('BDO Prequal'!E28&lt;&gt;"Yes",0,IF('BDO Prequal'!$D$31=0,0,ROUND(('BDO Prequal'!E38*'BDO Prequal'!E21/12*'BDO Prequal'!$D$31+(SUM('BDO Prequal'!E39:E49)+SUM('BDO Prequal'!E51:E52))*'BDO Prequal'!E21*0.6/12*'BDO Prequal'!$D$31)/(1-'BDO Prequal'!E21*0.6/12*'BDO Prequal'!$D$31),0)))</f>
        <v>0</v>
      </c>
      <c r="D48" s="1085">
        <f>IF('BDO Prequal'!F28&lt;&gt;"Yes",0,IF('BDO Prequal'!$D$31=0,0,ROUND(('BDO Prequal'!F38*'BDO Prequal'!F21/12*'BDO Prequal'!$D$31+(SUM('BDO Prequal'!F39:F49)+SUM('BDO Prequal'!F51:F52))*'BDO Prequal'!F21*0.6/12*'BDO Prequal'!$D$31)/(1-'BDO Prequal'!F21*0.6/12*'BDO Prequal'!$D$31),0)))</f>
        <v>0</v>
      </c>
      <c r="E48" s="1085">
        <f>IF('BDO Prequal'!G28&lt;&gt;"Yes",0,IF('BDO Prequal'!$D$31=0,0,ROUND(('BDO Prequal'!G38*'BDO Prequal'!G21/12*'BDO Prequal'!$D$31+(SUM('BDO Prequal'!G39:G49)+SUM('BDO Prequal'!G51:G52))*'BDO Prequal'!G21*0.6/12*'BDO Prequal'!$D$31)/(1-'BDO Prequal'!G21*0.6/12*'BDO Prequal'!$D$31),0)))</f>
        <v>0</v>
      </c>
      <c r="F48" s="1085">
        <f>IF('BDO Prequal'!H28&lt;&gt;"Yes",0,IF('BDO Prequal'!$D$31=0,0,ROUND(('BDO Prequal'!H38*'BDO Prequal'!H21/12*'BDO Prequal'!$D$31+(SUM('BDO Prequal'!H39:H49)+SUM('BDO Prequal'!H51:H52))*'BDO Prequal'!H21*0.6/12*'BDO Prequal'!$D$31)/(1-'BDO Prequal'!H21*0.6/12*'BDO Prequal'!$D$31),0)))</f>
        <v>0</v>
      </c>
      <c r="G48" s="1085">
        <f>IF('BDO Prequal'!I28&lt;&gt;"Yes",0,IF('BDO Prequal'!$D$31=0,0,ROUND(('BDO Prequal'!I38*'BDO Prequal'!I21/12*'BDO Prequal'!$D$31+(SUM('BDO Prequal'!I39:I49)+SUM('BDO Prequal'!I51:I52))*'BDO Prequal'!I21*0.6/12*'BDO Prequal'!$D$31)/(1-'BDO Prequal'!I21*0.6/12*'BDO Prequal'!$D$31),0)))</f>
        <v>0</v>
      </c>
      <c r="H48" s="1085">
        <f>IF('BDO Prequal'!J28&lt;&gt;"Yes",0,IF('BDO Prequal'!$D$31=0,0,ROUND(('BDO Prequal'!J38*'BDO Prequal'!J21/12*'BDO Prequal'!$D$31+(SUM('BDO Prequal'!J39:J49)+SUM('BDO Prequal'!J51:J52))*'BDO Prequal'!J21*0.6/12*'BDO Prequal'!$D$31)/(1-'BDO Prequal'!J21*0.6/12*'BDO Prequal'!$D$31),0)))</f>
        <v>0</v>
      </c>
      <c r="I48" s="1085">
        <f>IF('BDO Prequal'!K28&lt;&gt;"Yes",0,IF('BDO Prequal'!$D$31=0,0,ROUND(('BDO Prequal'!K38*'BDO Prequal'!K21/12*'BDO Prequal'!$D$31+(SUM('BDO Prequal'!K39:K49)+SUM('BDO Prequal'!K51:K52))*'BDO Prequal'!K21*0.6/12*'BDO Prequal'!$D$31)/(1-'BDO Prequal'!K21*0.6/12*'BDO Prequal'!$D$31),0)))</f>
        <v>0</v>
      </c>
      <c r="J48" s="1086">
        <f>'BDO Prequal'!G31</f>
        <v>0</v>
      </c>
      <c r="K48" s="1087">
        <f>ROUNDUP(SUM(C48:J48),0)</f>
        <v>0</v>
      </c>
    </row>
  </sheetData>
  <sheetProtection sheet="1" objects="1" scenarios="1"/>
  <mergeCells count="23">
    <mergeCell ref="N9:P9"/>
    <mergeCell ref="T13:U13"/>
    <mergeCell ref="N14:P14"/>
    <mergeCell ref="N33:P33"/>
    <mergeCell ref="T37:U37"/>
    <mergeCell ref="N21:P21"/>
    <mergeCell ref="T25:U25"/>
    <mergeCell ref="N26:P26"/>
    <mergeCell ref="N27:P27"/>
    <mergeCell ref="T31:U31"/>
    <mergeCell ref="N32:P32"/>
    <mergeCell ref="N39:P39"/>
    <mergeCell ref="T43:U43"/>
    <mergeCell ref="N15:P15"/>
    <mergeCell ref="T19:U19"/>
    <mergeCell ref="N20:P20"/>
    <mergeCell ref="N38:P38"/>
    <mergeCell ref="Y2:Z2"/>
    <mergeCell ref="Y8:Z8"/>
    <mergeCell ref="N2:P2"/>
    <mergeCell ref="N3:P3"/>
    <mergeCell ref="N8:P8"/>
    <mergeCell ref="T7:U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DC08-DF82-4E41-8726-92A934BE36B9}">
  <sheetPr>
    <tabColor theme="3" tint="9.9978637043366805E-2"/>
  </sheetPr>
  <dimension ref="B2:K115"/>
  <sheetViews>
    <sheetView zoomScale="85" zoomScaleNormal="85" zoomScaleSheetLayoutView="80" workbookViewId="0">
      <selection activeCell="N32" sqref="N32"/>
    </sheetView>
  </sheetViews>
  <sheetFormatPr defaultColWidth="11.44140625" defaultRowHeight="14.4" x14ac:dyDescent="0.3"/>
  <cols>
    <col min="1" max="1" width="5.5546875" style="171" customWidth="1"/>
    <col min="2" max="2" width="27.109375" style="171" customWidth="1"/>
    <col min="3" max="11" width="15.33203125" style="171" customWidth="1"/>
    <col min="12" max="12" width="11.44140625" style="171"/>
    <col min="13" max="13" width="31.109375" style="171" bestFit="1" customWidth="1"/>
    <col min="14" max="17" width="12.5546875" style="171" bestFit="1" customWidth="1"/>
    <col min="18" max="16384" width="11.44140625" style="171"/>
  </cols>
  <sheetData>
    <row r="2" spans="2:10" x14ac:dyDescent="0.3">
      <c r="B2" s="171" t="s">
        <v>351</v>
      </c>
    </row>
    <row r="3" spans="2:10" ht="13.8" customHeight="1" thickBot="1" x14ac:dyDescent="0.35"/>
    <row r="4" spans="2:10" ht="15.6" x14ac:dyDescent="0.3">
      <c r="B4" s="820" t="s">
        <v>309</v>
      </c>
      <c r="C4" s="821"/>
      <c r="D4" s="821"/>
      <c r="E4" s="821"/>
      <c r="F4" s="821"/>
      <c r="G4" s="821"/>
      <c r="H4" s="821"/>
      <c r="I4" s="821"/>
      <c r="J4" s="822"/>
    </row>
    <row r="5" spans="2:10" x14ac:dyDescent="0.3">
      <c r="B5" s="823" t="s">
        <v>352</v>
      </c>
      <c r="C5" s="824" t="s">
        <v>310</v>
      </c>
      <c r="D5" s="825" t="s">
        <v>311</v>
      </c>
      <c r="E5" s="824" t="s">
        <v>312</v>
      </c>
      <c r="F5" s="824" t="s">
        <v>313</v>
      </c>
      <c r="G5" s="825" t="s">
        <v>314</v>
      </c>
      <c r="H5" s="826" t="s">
        <v>315</v>
      </c>
      <c r="I5" s="826" t="s">
        <v>359</v>
      </c>
      <c r="J5" s="826" t="s">
        <v>360</v>
      </c>
    </row>
    <row r="6" spans="2:10" x14ac:dyDescent="0.3">
      <c r="B6" s="827" t="s">
        <v>469</v>
      </c>
      <c r="C6" s="828" t="str">
        <f>'BDO Prequal'!D16</f>
        <v>Borrower</v>
      </c>
      <c r="D6" s="828" t="str">
        <f>'BDO Prequal'!E16</f>
        <v>T Bank</v>
      </c>
      <c r="E6" s="828" t="str">
        <f>'BDO Prequal'!F16</f>
        <v>T Bank</v>
      </c>
      <c r="F6" s="828" t="str">
        <f>'BDO Prequal'!G16</f>
        <v>T Bank</v>
      </c>
      <c r="G6" s="828" t="str">
        <f>'BDO Prequal'!H16</f>
        <v>Seller</v>
      </c>
      <c r="H6" s="828" t="str">
        <f>'BDO Prequal'!I16</f>
        <v>CDC</v>
      </c>
      <c r="I6" s="828" t="str">
        <f>'BDO Prequal'!J16</f>
        <v>N/A</v>
      </c>
      <c r="J6" s="828" t="str">
        <f>'BDO Prequal'!K16</f>
        <v>N/A</v>
      </c>
    </row>
    <row r="7" spans="2:10" x14ac:dyDescent="0.3">
      <c r="B7" s="827" t="s">
        <v>353</v>
      </c>
      <c r="C7" s="828" t="str">
        <f>'BDO Prequal'!D17</f>
        <v>Equity</v>
      </c>
      <c r="D7" s="828" t="str">
        <f>'BDO Prequal'!E17</f>
        <v>SBA 7(a)</v>
      </c>
      <c r="E7" s="828" t="str">
        <f>'BDO Prequal'!F17</f>
        <v>SBA 7(a)</v>
      </c>
      <c r="F7" s="828" t="str">
        <f>'BDO Prequal'!G17</f>
        <v>SBA 504</v>
      </c>
      <c r="G7" s="828" t="str">
        <f>'BDO Prequal'!H17</f>
        <v>Seller Note</v>
      </c>
      <c r="H7" s="828" t="str">
        <f>'BDO Prequal'!I17</f>
        <v>Debenture</v>
      </c>
      <c r="I7" s="828" t="str">
        <f>'BDO Prequal'!J17</f>
        <v>N/A</v>
      </c>
      <c r="J7" s="828" t="str">
        <f>'BDO Prequal'!K17</f>
        <v>N/A</v>
      </c>
    </row>
    <row r="8" spans="2:10" x14ac:dyDescent="0.3">
      <c r="B8" s="827" t="s">
        <v>316</v>
      </c>
      <c r="C8" s="829" t="str">
        <f>IF(C7=Lists!$L$4,'BDO Prequal'!$J$30,IF(C7=Lists!L10,'BDO Prequal'!J31,"N/A"))</f>
        <v>N/A</v>
      </c>
      <c r="D8" s="829">
        <f>IF(D7=Lists!$L$4,'BDO Prequal'!$J$30,IF(D7=Lists!M10,'BDO Prequal'!H31,"N/A"))</f>
        <v>0.75</v>
      </c>
      <c r="E8" s="829">
        <f>IF(E7=Lists!$L$4,'BDO Prequal'!$J$30,IF(E7=Lists!N10,'BDO Prequal'!#REF!,"N/A"))</f>
        <v>0.75</v>
      </c>
      <c r="F8" s="829" t="str">
        <f>IF(F7=Lists!$L$4,'BDO Prequal'!$J$30,IF(F7=Lists!O10,'BDO Prequal'!#REF!,"N/A"))</f>
        <v>N/A</v>
      </c>
      <c r="G8" s="829" t="str">
        <f>IF(G7=Lists!$L$4,'BDO Prequal'!$J$30,IF(G7=Lists!P10,'BDO Prequal'!K31,"N/A"))</f>
        <v>N/A</v>
      </c>
      <c r="H8" s="829" t="str">
        <f>IF(H7=Lists!$L$4,'BDO Prequal'!$J$30,IF(H7=Lists!Q10,'BDO Prequal'!L31,"N/A"))</f>
        <v>N/A</v>
      </c>
      <c r="I8" s="829" t="str">
        <f>IF(I7=Lists!$L$4,'BDO Prequal'!$J$30,IF(I7=Lists!R10,'BDO Prequal'!M31,"N/A"))</f>
        <v>N/A</v>
      </c>
      <c r="J8" s="829" t="str">
        <f>IF(J7=Lists!$L$4,'BDO Prequal'!$J$30,IF(J7=Lists!S10,'BDO Prequal'!N31,"N/A"))</f>
        <v>N/A</v>
      </c>
    </row>
    <row r="9" spans="2:10" x14ac:dyDescent="0.3">
      <c r="B9" s="827" t="s">
        <v>101</v>
      </c>
      <c r="C9" s="830">
        <f>'BDO Prequal'!D18</f>
        <v>1571792</v>
      </c>
      <c r="D9" s="830">
        <f>'BDO Prequal'!E18</f>
        <v>612591</v>
      </c>
      <c r="E9" s="830">
        <f>'BDO Prequal'!F18</f>
        <v>2746607</v>
      </c>
      <c r="F9" s="830">
        <f>'BDO Prequal'!G18</f>
        <v>1350000</v>
      </c>
      <c r="G9" s="830">
        <f>'BDO Prequal'!H18</f>
        <v>320000</v>
      </c>
      <c r="H9" s="830">
        <f>'BDO Prequal'!I18</f>
        <v>1871935</v>
      </c>
      <c r="I9" s="830">
        <f>'BDO Prequal'!J18</f>
        <v>0</v>
      </c>
      <c r="J9" s="830">
        <f>'BDO Prequal'!K18</f>
        <v>0</v>
      </c>
    </row>
    <row r="10" spans="2:10" x14ac:dyDescent="0.3">
      <c r="B10" s="827" t="s">
        <v>305</v>
      </c>
      <c r="C10" s="831" t="str">
        <f>IF('BDO Prequal'!D17="Equity","N/A",IF('BDO Prequal'!D17="N/A","N/A",IF('BDO Prequal'!D20&lt;&gt;0,"Variable","Fixed")))</f>
        <v>N/A</v>
      </c>
      <c r="D10" s="831" t="str">
        <f>IF('BDO Prequal'!E17="Equity","N/A",IF('BDO Prequal'!E17="N/A","N/A",IF('BDO Prequal'!E20&lt;&gt;0,"Variable","Fixed")))</f>
        <v>Variable</v>
      </c>
      <c r="E10" s="831" t="str">
        <f>IF('BDO Prequal'!F17="Equity","N/A",IF('BDO Prequal'!F17="N/A","N/A",IF('BDO Prequal'!F20&lt;&gt;0,"Variable","Fixed")))</f>
        <v>Fixed</v>
      </c>
      <c r="F10" s="831" t="str">
        <f>IF('BDO Prequal'!G17="Equity","N/A",IF('BDO Prequal'!G17="N/A","N/A",IF('BDO Prequal'!G20&lt;&gt;0,"Variable","Fixed")))</f>
        <v>Variable</v>
      </c>
      <c r="G10" s="831" t="str">
        <f>IF('BDO Prequal'!H17="Equity","N/A",IF('BDO Prequal'!H17="N/A","N/A",IF('BDO Prequal'!H20&lt;&gt;0,"Variable","Fixed")))</f>
        <v>Fixed</v>
      </c>
      <c r="H10" s="831" t="str">
        <f>IF('BDO Prequal'!I17="Equity","N/A",IF('BDO Prequal'!I17="N/A","N/A",IF('BDO Prequal'!I20&lt;&gt;0,"Variable","Fixed")))</f>
        <v>Variable</v>
      </c>
      <c r="I10" s="831" t="str">
        <f>IF('BDO Prequal'!J17="Equity","N/A",IF('BDO Prequal'!J17="N/A","N/A",IF('BDO Prequal'!J20&lt;&gt;0,"Variable","Fixed")))</f>
        <v>N/A</v>
      </c>
      <c r="J10" s="831" t="str">
        <f>IF('BDO Prequal'!K17="Equity","N/A",IF('BDO Prequal'!K17="N/A","N/A",IF('BDO Prequal'!K20&lt;&gt;0,"Variable","Fixed")))</f>
        <v>N/A</v>
      </c>
    </row>
    <row r="11" spans="2:10" x14ac:dyDescent="0.3">
      <c r="B11" s="827" t="s">
        <v>317</v>
      </c>
      <c r="C11" s="832" t="str">
        <f>IF('BDO Prequal'!D17="Equity","N/A",IF('BDO Prequal'!D17="N/A","N/A",'BDO Prequal'!D23))</f>
        <v>N/A</v>
      </c>
      <c r="D11" s="832">
        <f>IF('BDO Prequal'!E17="Equity","N/A",IF('BDO Prequal'!E17="N/A","N/A",'BDO Prequal'!E23))</f>
        <v>10</v>
      </c>
      <c r="E11" s="832">
        <f>IF('BDO Prequal'!F17="Equity","N/A",IF('BDO Prequal'!F17="N/A","N/A",'BDO Prequal'!F23))</f>
        <v>10</v>
      </c>
      <c r="F11" s="832">
        <f>IF('BDO Prequal'!G17="Equity","N/A",IF('BDO Prequal'!G17="N/A","N/A",'BDO Prequal'!G23))</f>
        <v>10</v>
      </c>
      <c r="G11" s="832">
        <f>IF('BDO Prequal'!H17="Equity","N/A",IF('BDO Prequal'!H17="N/A","N/A",'BDO Prequal'!H23))</f>
        <v>7</v>
      </c>
      <c r="H11" s="832">
        <f>IF('BDO Prequal'!I17="Equity","N/A",IF('BDO Prequal'!I17="N/A","N/A",'BDO Prequal'!I23))</f>
        <v>3</v>
      </c>
      <c r="I11" s="832" t="str">
        <f>IF('BDO Prequal'!J17="Equity","N/A",IF('BDO Prequal'!J17="N/A","N/A",'BDO Prequal'!J23))</f>
        <v>N/A</v>
      </c>
      <c r="J11" s="832" t="str">
        <f>IF('BDO Prequal'!K17="Equity","N/A",IF('BDO Prequal'!K17="N/A","N/A",'BDO Prequal'!K23))</f>
        <v>N/A</v>
      </c>
    </row>
    <row r="12" spans="2:10" x14ac:dyDescent="0.3">
      <c r="B12" s="827" t="s">
        <v>318</v>
      </c>
      <c r="C12" s="832" t="str">
        <f>IF('BDO Prequal'!D17="Equity","N/A",IF('BDO Prequal'!D17="N/A","N/A",'BDO Prequal'!D24))</f>
        <v>N/A</v>
      </c>
      <c r="D12" s="832">
        <f>IF('BDO Prequal'!E17="Equity","N/A",IF('BDO Prequal'!E17="N/A","N/A",'BDO Prequal'!E24))</f>
        <v>120</v>
      </c>
      <c r="E12" s="832">
        <f>IF('BDO Prequal'!F17="Equity","N/A",IF('BDO Prequal'!F17="N/A","N/A",'BDO Prequal'!F24))</f>
        <v>120</v>
      </c>
      <c r="F12" s="832">
        <f>IF('BDO Prequal'!G17="Equity","N/A",IF('BDO Prequal'!G17="N/A","N/A",'BDO Prequal'!G24))</f>
        <v>120</v>
      </c>
      <c r="G12" s="832">
        <f>IF('BDO Prequal'!H17="Equity","N/A",IF('BDO Prequal'!H17="N/A","N/A",'BDO Prequal'!H24))</f>
        <v>84</v>
      </c>
      <c r="H12" s="832">
        <f>IF('BDO Prequal'!I17="Equity","N/A",IF('BDO Prequal'!I17="N/A","N/A",'BDO Prequal'!I24))</f>
        <v>36</v>
      </c>
      <c r="I12" s="832" t="str">
        <f>IF('BDO Prequal'!J17="Equity","N/A",IF('BDO Prequal'!J17="N/A","N/A",'BDO Prequal'!J24))</f>
        <v>N/A</v>
      </c>
      <c r="J12" s="832" t="str">
        <f>IF('BDO Prequal'!K17="Equity","N/A",IF('BDO Prequal'!K17="N/A","N/A",'BDO Prequal'!K24))</f>
        <v>N/A</v>
      </c>
    </row>
    <row r="13" spans="2:10" x14ac:dyDescent="0.3">
      <c r="B13" s="827" t="s">
        <v>20</v>
      </c>
      <c r="C13" s="833" t="str">
        <f>IF('BDO Prequal'!D17="Equity","N/A",IF('BDO Prequal'!D17="N/A","N/A",'BDO Prequal'!D19))</f>
        <v>N/A</v>
      </c>
      <c r="D13" s="833">
        <f>IF('BDO Prequal'!E17="Equity","N/A",IF('BDO Prequal'!E17="N/A","N/A",'BDO Prequal'!E19))</f>
        <v>6.7500000000000004E-2</v>
      </c>
      <c r="E13" s="833">
        <f>IF('BDO Prequal'!F17="Equity","N/A",IF('BDO Prequal'!F17="N/A","N/A",'BDO Prequal'!F19))</f>
        <v>5.9400000000000001E-2</v>
      </c>
      <c r="F13" s="833">
        <f>IF('BDO Prequal'!G17="Equity","N/A",IF('BDO Prequal'!G17="N/A","N/A",'BDO Prequal'!G19))</f>
        <v>6.7500000000000004E-2</v>
      </c>
      <c r="G13" s="833">
        <f>IF('BDO Prequal'!H17="Equity","N/A",IF('BDO Prequal'!H17="N/A","N/A",'BDO Prequal'!H19))</f>
        <v>0.05</v>
      </c>
      <c r="H13" s="833">
        <f>IF('BDO Prequal'!I17="Equity","N/A",IF('BDO Prequal'!I17="N/A","N/A",'BDO Prequal'!I19))</f>
        <v>0.05</v>
      </c>
      <c r="I13" s="833" t="str">
        <f>IF('BDO Prequal'!J17="Equity","N/A",IF('BDO Prequal'!J17="N/A","N/A",'BDO Prequal'!J19))</f>
        <v>N/A</v>
      </c>
      <c r="J13" s="833" t="str">
        <f>IF('BDO Prequal'!K17="Equity","N/A",IF('BDO Prequal'!K17="N/A","N/A",'BDO Prequal'!K19))</f>
        <v>N/A</v>
      </c>
    </row>
    <row r="14" spans="2:10" x14ac:dyDescent="0.3">
      <c r="B14" s="827" t="s">
        <v>23</v>
      </c>
      <c r="C14" s="833" t="str">
        <f>IF('BDO Prequal'!D17="Equity","N/A",IF('BDO Prequal'!D17="N/A","N/A",'BDO Prequal'!D20))</f>
        <v>N/A</v>
      </c>
      <c r="D14" s="833">
        <f>IF('BDO Prequal'!E17="Equity","N/A",IF('BDO Prequal'!E17="N/A","N/A",'BDO Prequal'!E20))</f>
        <v>1.4999999999999999E-2</v>
      </c>
      <c r="E14" s="833">
        <f>IF('BDO Prequal'!F17="Equity","N/A",IF('BDO Prequal'!F17="N/A","N/A",'BDO Prequal'!F20))</f>
        <v>0</v>
      </c>
      <c r="F14" s="833">
        <f>IF('BDO Prequal'!G17="Equity","N/A",IF('BDO Prequal'!G17="N/A","N/A",'BDO Prequal'!G20))</f>
        <v>2.75E-2</v>
      </c>
      <c r="G14" s="833">
        <f>IF('BDO Prequal'!H17="Equity","N/A",IF('BDO Prequal'!H17="N/A","N/A",'BDO Prequal'!H20))</f>
        <v>0</v>
      </c>
      <c r="H14" s="833">
        <f>IF('BDO Prequal'!I17="Equity","N/A",IF('BDO Prequal'!I17="N/A","N/A",'BDO Prequal'!I20))</f>
        <v>0.01</v>
      </c>
      <c r="I14" s="833" t="str">
        <f>IF('BDO Prequal'!J17="Equity","N/A",IF('BDO Prequal'!J17="N/A","N/A",'BDO Prequal'!J20))</f>
        <v>N/A</v>
      </c>
      <c r="J14" s="833" t="str">
        <f>IF('BDO Prequal'!K17="Equity","N/A",IF('BDO Prequal'!K17="N/A","N/A",'BDO Prequal'!K20))</f>
        <v>N/A</v>
      </c>
    </row>
    <row r="15" spans="2:10" ht="15" thickBot="1" x14ac:dyDescent="0.35">
      <c r="B15" s="834" t="s">
        <v>319</v>
      </c>
      <c r="C15" s="809" t="str">
        <f>IF('BDO Prequal'!D17="Equity","N/A",IF('BDO Prequal'!D17="N/A","N/A",'BDO Prequal'!D21))</f>
        <v>N/A</v>
      </c>
      <c r="D15" s="809">
        <f>IF('BDO Prequal'!E17="Equity","N/A",IF('BDO Prequal'!E17="N/A","N/A",'BDO Prequal'!E21))</f>
        <v>8.2500000000000004E-2</v>
      </c>
      <c r="E15" s="809">
        <f>IF('BDO Prequal'!F17="Equity","N/A",IF('BDO Prequal'!F17="N/A","N/A",'BDO Prequal'!F21))</f>
        <v>5.9400000000000001E-2</v>
      </c>
      <c r="F15" s="809">
        <f>IF('BDO Prequal'!G17="Equity","N/A",IF('BDO Prequal'!G17="N/A","N/A",'BDO Prequal'!G21))</f>
        <v>9.5000000000000001E-2</v>
      </c>
      <c r="G15" s="809">
        <f>IF('BDO Prequal'!H17="Equity","N/A",IF('BDO Prequal'!H17="N/A","N/A",'BDO Prequal'!H21))</f>
        <v>0.05</v>
      </c>
      <c r="H15" s="809">
        <f>IF('BDO Prequal'!I17="Equity","N/A",IF('BDO Prequal'!I17="N/A","N/A",'BDO Prequal'!I21))</f>
        <v>6.0000000000000005E-2</v>
      </c>
      <c r="I15" s="809" t="str">
        <f>IF('BDO Prequal'!J17="Equity","N/A",IF('BDO Prequal'!J17="N/A","N/A",'BDO Prequal'!J21))</f>
        <v>N/A</v>
      </c>
      <c r="J15" s="809" t="str">
        <f>IF('BDO Prequal'!K17="Equity","N/A",IF('BDO Prequal'!K17="N/A","N/A",'BDO Prequal'!K21))</f>
        <v>N/A</v>
      </c>
    </row>
    <row r="17" spans="2:11" ht="15" thickBot="1" x14ac:dyDescent="0.35"/>
    <row r="18" spans="2:11" ht="15.6" x14ac:dyDescent="0.3">
      <c r="B18" s="820" t="s">
        <v>49</v>
      </c>
      <c r="C18" s="835"/>
      <c r="D18" s="835"/>
      <c r="E18" s="835"/>
      <c r="F18" s="835"/>
      <c r="G18" s="835"/>
      <c r="H18" s="835"/>
      <c r="I18" s="835"/>
      <c r="J18" s="835"/>
      <c r="K18" s="836"/>
    </row>
    <row r="19" spans="2:11" x14ac:dyDescent="0.3">
      <c r="B19" s="823" t="str">
        <f>'BDO Prequal'!B37</f>
        <v>Direct Project Costs</v>
      </c>
      <c r="C19" s="824" t="str">
        <f>'BDO Prequal'!D36</f>
        <v>Equity</v>
      </c>
      <c r="D19" s="824" t="str">
        <f>'BDO Prequal'!E36</f>
        <v>SBA 7(a)</v>
      </c>
      <c r="E19" s="824" t="str">
        <f>'BDO Prequal'!F36</f>
        <v>SBA 7(a)</v>
      </c>
      <c r="F19" s="824" t="str">
        <f>'BDO Prequal'!G36</f>
        <v>SBA 504</v>
      </c>
      <c r="G19" s="824" t="str">
        <f>'BDO Prequal'!H36</f>
        <v>Seller Note</v>
      </c>
      <c r="H19" s="824" t="str">
        <f>'BDO Prequal'!I36</f>
        <v>Debenture</v>
      </c>
      <c r="I19" s="824" t="str">
        <f>'BDO Prequal'!J36</f>
        <v>N/A</v>
      </c>
      <c r="J19" s="824" t="str">
        <f>'BDO Prequal'!K36</f>
        <v>N/A</v>
      </c>
      <c r="K19" s="824" t="str">
        <f>'BDO Prequal'!C36</f>
        <v>Total</v>
      </c>
    </row>
    <row r="20" spans="2:11" x14ac:dyDescent="0.3">
      <c r="B20" s="837" t="str">
        <f>'BDO Prequal'!B38</f>
        <v>Real Estate Acquisition</v>
      </c>
      <c r="C20" s="838">
        <f>'BDO Prequal'!D38</f>
        <v>0</v>
      </c>
      <c r="D20" s="838">
        <f>'BDO Prequal'!E38</f>
        <v>0</v>
      </c>
      <c r="E20" s="838">
        <f>'BDO Prequal'!F38</f>
        <v>0</v>
      </c>
      <c r="F20" s="838">
        <f>'BDO Prequal'!G38</f>
        <v>0</v>
      </c>
      <c r="G20" s="838">
        <f>'BDO Prequal'!H38</f>
        <v>0</v>
      </c>
      <c r="H20" s="838">
        <f>'BDO Prequal'!I38</f>
        <v>0</v>
      </c>
      <c r="I20" s="838">
        <f>'BDO Prequal'!J38</f>
        <v>0</v>
      </c>
      <c r="J20" s="838">
        <f>'BDO Prequal'!K38</f>
        <v>0</v>
      </c>
      <c r="K20" s="839">
        <f>'BDO Prequal'!C38</f>
        <v>0</v>
      </c>
    </row>
    <row r="21" spans="2:11" x14ac:dyDescent="0.3">
      <c r="B21" s="837" t="str">
        <f>'BDO Prequal'!B39</f>
        <v>Debt Refi - CRE</v>
      </c>
      <c r="C21" s="838">
        <f>'BDO Prequal'!D39</f>
        <v>0</v>
      </c>
      <c r="D21" s="838">
        <f>'BDO Prequal'!E39</f>
        <v>0</v>
      </c>
      <c r="E21" s="838">
        <f>'BDO Prequal'!F39</f>
        <v>0</v>
      </c>
      <c r="F21" s="838">
        <f>'BDO Prequal'!G39</f>
        <v>0</v>
      </c>
      <c r="G21" s="838">
        <f>'BDO Prequal'!H39</f>
        <v>0</v>
      </c>
      <c r="H21" s="838">
        <f>'BDO Prequal'!I39</f>
        <v>0</v>
      </c>
      <c r="I21" s="838">
        <f>'BDO Prequal'!J39</f>
        <v>0</v>
      </c>
      <c r="J21" s="838">
        <f>'BDO Prequal'!K39</f>
        <v>0</v>
      </c>
      <c r="K21" s="839">
        <f>'BDO Prequal'!C39</f>
        <v>0</v>
      </c>
    </row>
    <row r="22" spans="2:11" x14ac:dyDescent="0.3">
      <c r="B22" s="837" t="str">
        <f>'BDO Prequal'!B40</f>
        <v>Debt Refi - Non-CRE</v>
      </c>
      <c r="C22" s="838">
        <f>'BDO Prequal'!D40</f>
        <v>0</v>
      </c>
      <c r="D22" s="838">
        <f>'BDO Prequal'!E40</f>
        <v>0</v>
      </c>
      <c r="E22" s="838">
        <f>'BDO Prequal'!F40</f>
        <v>0</v>
      </c>
      <c r="F22" s="838">
        <f>'BDO Prequal'!G40</f>
        <v>0</v>
      </c>
      <c r="G22" s="838">
        <f>'BDO Prequal'!H40</f>
        <v>0</v>
      </c>
      <c r="H22" s="838">
        <f>'BDO Prequal'!I40</f>
        <v>0</v>
      </c>
      <c r="I22" s="838">
        <f>'BDO Prequal'!J40</f>
        <v>0</v>
      </c>
      <c r="J22" s="838">
        <f>'BDO Prequal'!K40</f>
        <v>0</v>
      </c>
      <c r="K22" s="839">
        <f>'BDO Prequal'!C40</f>
        <v>0</v>
      </c>
    </row>
    <row r="23" spans="2:11" x14ac:dyDescent="0.3">
      <c r="B23" s="837" t="str">
        <f>'BDO Prequal'!B41</f>
        <v>Machinery &amp; Equipment</v>
      </c>
      <c r="C23" s="838">
        <f>'BDO Prequal'!D41</f>
        <v>366285</v>
      </c>
      <c r="D23" s="838">
        <f>'BDO Prequal'!E41</f>
        <v>0</v>
      </c>
      <c r="E23" s="838">
        <f>'BDO Prequal'!F41</f>
        <v>0</v>
      </c>
      <c r="F23" s="838">
        <f>'BDO Prequal'!G41</f>
        <v>0</v>
      </c>
      <c r="G23" s="838">
        <f>'BDO Prequal'!H41</f>
        <v>0</v>
      </c>
      <c r="H23" s="838">
        <f>'BDO Prequal'!I41</f>
        <v>0</v>
      </c>
      <c r="I23" s="838">
        <f>'BDO Prequal'!J41</f>
        <v>0</v>
      </c>
      <c r="J23" s="838">
        <f>'BDO Prequal'!K41</f>
        <v>0</v>
      </c>
      <c r="K23" s="839">
        <f>'BDO Prequal'!C41</f>
        <v>366285</v>
      </c>
    </row>
    <row r="24" spans="2:11" x14ac:dyDescent="0.3">
      <c r="B24" s="837" t="str">
        <f>'BDO Prequal'!B42</f>
        <v>Furniture &amp; Fixtures</v>
      </c>
      <c r="C24" s="838">
        <f>'BDO Prequal'!D42</f>
        <v>0</v>
      </c>
      <c r="D24" s="838">
        <f>'BDO Prequal'!E42</f>
        <v>0</v>
      </c>
      <c r="E24" s="838">
        <f>'BDO Prequal'!F42</f>
        <v>600000</v>
      </c>
      <c r="F24" s="838">
        <f>'BDO Prequal'!G42</f>
        <v>0</v>
      </c>
      <c r="G24" s="838">
        <f>'BDO Prequal'!H42</f>
        <v>0</v>
      </c>
      <c r="H24" s="838">
        <f>'BDO Prequal'!I42</f>
        <v>0</v>
      </c>
      <c r="I24" s="838">
        <f>'BDO Prequal'!J42</f>
        <v>0</v>
      </c>
      <c r="J24" s="838">
        <f>'BDO Prequal'!K42</f>
        <v>0</v>
      </c>
      <c r="K24" s="839">
        <f>'BDO Prequal'!C42</f>
        <v>600000</v>
      </c>
    </row>
    <row r="25" spans="2:11" x14ac:dyDescent="0.3">
      <c r="B25" s="837" t="str">
        <f>'BDO Prequal'!B43</f>
        <v>Inventory</v>
      </c>
      <c r="C25" s="838">
        <f>'BDO Prequal'!D43</f>
        <v>0</v>
      </c>
      <c r="D25" s="838">
        <f>'BDO Prequal'!E43</f>
        <v>0</v>
      </c>
      <c r="E25" s="838">
        <f>'BDO Prequal'!F43</f>
        <v>0</v>
      </c>
      <c r="F25" s="838">
        <f>'BDO Prequal'!G43</f>
        <v>0</v>
      </c>
      <c r="G25" s="838">
        <f>'BDO Prequal'!H43</f>
        <v>0</v>
      </c>
      <c r="H25" s="838">
        <f>'BDO Prequal'!I43</f>
        <v>0</v>
      </c>
      <c r="I25" s="838">
        <f>'BDO Prequal'!J43</f>
        <v>0</v>
      </c>
      <c r="J25" s="838">
        <f>'BDO Prequal'!K43</f>
        <v>0</v>
      </c>
      <c r="K25" s="839">
        <f>'BDO Prequal'!C43</f>
        <v>0</v>
      </c>
    </row>
    <row r="26" spans="2:11" x14ac:dyDescent="0.3">
      <c r="B26" s="837" t="str">
        <f>'BDO Prequal'!B44</f>
        <v>Working Capital</v>
      </c>
      <c r="C26" s="838">
        <f>'BDO Prequal'!D44</f>
        <v>573500</v>
      </c>
      <c r="D26" s="838">
        <f>'BDO Prequal'!E44</f>
        <v>0</v>
      </c>
      <c r="E26" s="838">
        <f>'BDO Prequal'!F44</f>
        <v>0</v>
      </c>
      <c r="F26" s="838">
        <f>'BDO Prequal'!G44</f>
        <v>0</v>
      </c>
      <c r="G26" s="838">
        <f>'BDO Prequal'!H44</f>
        <v>0</v>
      </c>
      <c r="H26" s="838">
        <f>'BDO Prequal'!I44</f>
        <v>0</v>
      </c>
      <c r="I26" s="838">
        <f>'BDO Prequal'!J44</f>
        <v>0</v>
      </c>
      <c r="J26" s="838">
        <f>'BDO Prequal'!K44</f>
        <v>0</v>
      </c>
      <c r="K26" s="839">
        <f>'BDO Prequal'!C44</f>
        <v>573500</v>
      </c>
    </row>
    <row r="27" spans="2:11" x14ac:dyDescent="0.3">
      <c r="B27" s="837" t="str">
        <f>'BDO Prequal'!B45</f>
        <v>Working Capital - Pre Opening</v>
      </c>
      <c r="C27" s="838">
        <f>'BDO Prequal'!D45</f>
        <v>77000</v>
      </c>
      <c r="D27" s="838">
        <f>'BDO Prequal'!E45</f>
        <v>0</v>
      </c>
      <c r="E27" s="838">
        <f>'BDO Prequal'!F45</f>
        <v>0</v>
      </c>
      <c r="F27" s="838">
        <f>'BDO Prequal'!G45</f>
        <v>0</v>
      </c>
      <c r="G27" s="838">
        <f>'BDO Prequal'!H45</f>
        <v>0</v>
      </c>
      <c r="H27" s="838">
        <f>'BDO Prequal'!I45</f>
        <v>0</v>
      </c>
      <c r="I27" s="838">
        <f>'BDO Prequal'!J45</f>
        <v>0</v>
      </c>
      <c r="J27" s="838">
        <f>'BDO Prequal'!K45</f>
        <v>0</v>
      </c>
      <c r="K27" s="839">
        <f>'BDO Prequal'!C45</f>
        <v>77000</v>
      </c>
    </row>
    <row r="28" spans="2:11" x14ac:dyDescent="0.3">
      <c r="B28" s="837" t="str">
        <f>'BDO Prequal'!B46</f>
        <v>Business Acquisition</v>
      </c>
      <c r="C28" s="838">
        <f>'BDO Prequal'!D46</f>
        <v>225000</v>
      </c>
      <c r="D28" s="838">
        <f>'BDO Prequal'!E46</f>
        <v>324000</v>
      </c>
      <c r="E28" s="838">
        <f>'BDO Prequal'!F46</f>
        <v>0</v>
      </c>
      <c r="F28" s="838">
        <f>'BDO Prequal'!G46</f>
        <v>1350000</v>
      </c>
      <c r="G28" s="838">
        <f>'BDO Prequal'!H46</f>
        <v>320000</v>
      </c>
      <c r="H28" s="838">
        <f>'BDO Prequal'!I46</f>
        <v>0</v>
      </c>
      <c r="I28" s="838">
        <f>'BDO Prequal'!J46</f>
        <v>0</v>
      </c>
      <c r="J28" s="838">
        <f>'BDO Prequal'!K46</f>
        <v>0</v>
      </c>
      <c r="K28" s="839">
        <f>'BDO Prequal'!C46</f>
        <v>2219000</v>
      </c>
    </row>
    <row r="29" spans="2:11" x14ac:dyDescent="0.3">
      <c r="B29" s="837" t="str">
        <f>'BDO Prequal'!B47</f>
        <v>Franchise Fees</v>
      </c>
      <c r="C29" s="838">
        <f>'BDO Prequal'!D47</f>
        <v>0</v>
      </c>
      <c r="D29" s="838">
        <f>'BDO Prequal'!E47</f>
        <v>0</v>
      </c>
      <c r="E29" s="838">
        <f>'BDO Prequal'!F47</f>
        <v>0</v>
      </c>
      <c r="F29" s="838">
        <f>'BDO Prequal'!G47</f>
        <v>0</v>
      </c>
      <c r="G29" s="838">
        <f>'BDO Prequal'!H47</f>
        <v>0</v>
      </c>
      <c r="H29" s="838">
        <f>'BDO Prequal'!I47</f>
        <v>0</v>
      </c>
      <c r="I29" s="838">
        <f>'BDO Prequal'!J47</f>
        <v>0</v>
      </c>
      <c r="J29" s="838">
        <f>'BDO Prequal'!K47</f>
        <v>0</v>
      </c>
      <c r="K29" s="839">
        <f>'BDO Prequal'!C47</f>
        <v>0</v>
      </c>
    </row>
    <row r="30" spans="2:11" x14ac:dyDescent="0.3">
      <c r="B30" s="837" t="str">
        <f>'BDO Prequal'!B48</f>
        <v>Construction Hard Costs</v>
      </c>
      <c r="C30" s="838">
        <f>'BDO Prequal'!D48</f>
        <v>276207</v>
      </c>
      <c r="D30" s="838">
        <f>'BDO Prequal'!E48</f>
        <v>0</v>
      </c>
      <c r="E30" s="838">
        <f>'BDO Prequal'!F48</f>
        <v>1951858</v>
      </c>
      <c r="F30" s="838">
        <f>'BDO Prequal'!G48</f>
        <v>0</v>
      </c>
      <c r="G30" s="838">
        <f>'BDO Prequal'!H48</f>
        <v>0</v>
      </c>
      <c r="H30" s="838">
        <f>'BDO Prequal'!I48</f>
        <v>1871935</v>
      </c>
      <c r="I30" s="838">
        <f>'BDO Prequal'!J48</f>
        <v>0</v>
      </c>
      <c r="J30" s="838">
        <f>'BDO Prequal'!K48</f>
        <v>0</v>
      </c>
      <c r="K30" s="839">
        <f>'BDO Prequal'!C48</f>
        <v>4100000</v>
      </c>
    </row>
    <row r="31" spans="2:11" x14ac:dyDescent="0.3">
      <c r="B31" s="837" t="str">
        <f>'BDO Prequal'!B49</f>
        <v>Construction Contingency - 10%</v>
      </c>
      <c r="C31" s="838">
        <f>'BDO Prequal'!D49</f>
        <v>0</v>
      </c>
      <c r="D31" s="838">
        <f>'BDO Prequal'!E49</f>
        <v>222807</v>
      </c>
      <c r="E31" s="838">
        <f>'BDO Prequal'!F49</f>
        <v>0</v>
      </c>
      <c r="F31" s="838">
        <f>'BDO Prequal'!G49</f>
        <v>0</v>
      </c>
      <c r="G31" s="838">
        <f>'BDO Prequal'!H49</f>
        <v>0</v>
      </c>
      <c r="H31" s="838">
        <f>'BDO Prequal'!I49</f>
        <v>0</v>
      </c>
      <c r="I31" s="838">
        <f>'BDO Prequal'!J49</f>
        <v>0</v>
      </c>
      <c r="J31" s="838">
        <f>'BDO Prequal'!K49</f>
        <v>0</v>
      </c>
      <c r="K31" s="839">
        <f>'BDO Prequal'!C49</f>
        <v>222807</v>
      </c>
    </row>
    <row r="32" spans="2:11" x14ac:dyDescent="0.3">
      <c r="B32" s="837" t="str">
        <f>'BDO Prequal'!B50</f>
        <v>Interest Reserve - 3 Mos</v>
      </c>
      <c r="C32" s="838">
        <f>'BDO Prequal'!D50</f>
        <v>0</v>
      </c>
      <c r="D32" s="838">
        <f>'BDO Prequal'!E50</f>
        <v>0</v>
      </c>
      <c r="E32" s="838">
        <f>'BDO Prequal'!F50</f>
        <v>0</v>
      </c>
      <c r="F32" s="838">
        <f>'BDO Prequal'!G50</f>
        <v>0</v>
      </c>
      <c r="G32" s="838">
        <f>'BDO Prequal'!H50</f>
        <v>0</v>
      </c>
      <c r="H32" s="838">
        <f>'BDO Prequal'!I50</f>
        <v>0</v>
      </c>
      <c r="I32" s="838">
        <f>'BDO Prequal'!J50</f>
        <v>0</v>
      </c>
      <c r="J32" s="838">
        <f>'BDO Prequal'!K50</f>
        <v>0</v>
      </c>
      <c r="K32" s="839">
        <f>'BDO Prequal'!C50</f>
        <v>0</v>
      </c>
    </row>
    <row r="33" spans="2:11" x14ac:dyDescent="0.3">
      <c r="B33" s="837" t="str">
        <f>'BDO Prequal'!B51</f>
        <v>Construction Soft Costs</v>
      </c>
      <c r="C33" s="838">
        <f>'BDO Prequal'!D51</f>
        <v>53800</v>
      </c>
      <c r="D33" s="838">
        <f>'BDO Prequal'!E51</f>
        <v>0</v>
      </c>
      <c r="E33" s="838">
        <f>'BDO Prequal'!F51</f>
        <v>120000</v>
      </c>
      <c r="F33" s="838">
        <f>'BDO Prequal'!G51</f>
        <v>0</v>
      </c>
      <c r="G33" s="838">
        <f>'BDO Prequal'!H51</f>
        <v>0</v>
      </c>
      <c r="H33" s="838">
        <f>'BDO Prequal'!I51</f>
        <v>0</v>
      </c>
      <c r="I33" s="838">
        <f>'BDO Prequal'!J51</f>
        <v>0</v>
      </c>
      <c r="J33" s="838">
        <f>'BDO Prequal'!K51</f>
        <v>0</v>
      </c>
      <c r="K33" s="839">
        <f>'BDO Prequal'!C51</f>
        <v>173800</v>
      </c>
    </row>
    <row r="34" spans="2:11" x14ac:dyDescent="0.3">
      <c r="B34" s="840" t="str">
        <f>'BDO Prequal'!B52</f>
        <v>Closing Costs</v>
      </c>
      <c r="C34" s="838">
        <f>'BDO Prequal'!D52</f>
        <v>0</v>
      </c>
      <c r="D34" s="838">
        <f>'BDO Prequal'!E52</f>
        <v>52000</v>
      </c>
      <c r="E34" s="838">
        <f>'BDO Prequal'!F52</f>
        <v>0</v>
      </c>
      <c r="F34" s="838">
        <f>'BDO Prequal'!G52</f>
        <v>0</v>
      </c>
      <c r="G34" s="838">
        <f>'BDO Prequal'!H52</f>
        <v>0</v>
      </c>
      <c r="H34" s="838">
        <f>'BDO Prequal'!I52</f>
        <v>0</v>
      </c>
      <c r="I34" s="838">
        <f>'BDO Prequal'!J52</f>
        <v>0</v>
      </c>
      <c r="J34" s="838">
        <f>'BDO Prequal'!K52</f>
        <v>0</v>
      </c>
      <c r="K34" s="839">
        <f>'BDO Prequal'!C52</f>
        <v>52000</v>
      </c>
    </row>
    <row r="35" spans="2:11" x14ac:dyDescent="0.3">
      <c r="B35" s="840" t="str">
        <f>'BDO Prequal'!B53</f>
        <v>SBA Gty Fee</v>
      </c>
      <c r="C35" s="838">
        <f>'BDO Prequal'!D53</f>
        <v>0</v>
      </c>
      <c r="D35" s="838">
        <f>'BDO Prequal'!E53</f>
        <v>13784</v>
      </c>
      <c r="E35" s="838">
        <f>'BDO Prequal'!F53</f>
        <v>74749</v>
      </c>
      <c r="F35" s="838">
        <f>'BDO Prequal'!G53</f>
        <v>0</v>
      </c>
      <c r="G35" s="838">
        <f>'BDO Prequal'!H53</f>
        <v>0</v>
      </c>
      <c r="H35" s="838">
        <f>'BDO Prequal'!I53</f>
        <v>0</v>
      </c>
      <c r="I35" s="838">
        <f>'BDO Prequal'!J53</f>
        <v>0</v>
      </c>
      <c r="J35" s="838">
        <f>'BDO Prequal'!K53</f>
        <v>0</v>
      </c>
      <c r="K35" s="839">
        <f>'BDO Prequal'!C53</f>
        <v>88533</v>
      </c>
    </row>
    <row r="36" spans="2:11" x14ac:dyDescent="0.3">
      <c r="B36" s="840" t="str">
        <f>'BDO Prequal'!B54</f>
        <v>USDA Gty Fee</v>
      </c>
      <c r="C36" s="841">
        <f>'BDO Prequal'!D54</f>
        <v>0</v>
      </c>
      <c r="D36" s="841">
        <f>'BDO Prequal'!E54</f>
        <v>0</v>
      </c>
      <c r="E36" s="841">
        <f>'BDO Prequal'!F54</f>
        <v>0</v>
      </c>
      <c r="F36" s="841">
        <f>'BDO Prequal'!G54</f>
        <v>0</v>
      </c>
      <c r="G36" s="841">
        <f>'BDO Prequal'!H54</f>
        <v>0</v>
      </c>
      <c r="H36" s="841">
        <f>'BDO Prequal'!I54</f>
        <v>0</v>
      </c>
      <c r="I36" s="841">
        <f>'BDO Prequal'!J54</f>
        <v>0</v>
      </c>
      <c r="J36" s="841">
        <f>'BDO Prequal'!K54</f>
        <v>0</v>
      </c>
      <c r="K36" s="842">
        <f>'BDO Prequal'!C54</f>
        <v>0</v>
      </c>
    </row>
    <row r="37" spans="2:11" x14ac:dyDescent="0.3">
      <c r="B37" s="843" t="s">
        <v>8</v>
      </c>
      <c r="C37" s="844">
        <f>'BDO Prequal'!D55</f>
        <v>1571792</v>
      </c>
      <c r="D37" s="845">
        <f>'BDO Prequal'!E55</f>
        <v>612591</v>
      </c>
      <c r="E37" s="845">
        <f>'BDO Prequal'!F55</f>
        <v>2746607</v>
      </c>
      <c r="F37" s="845">
        <f>'BDO Prequal'!G55</f>
        <v>1350000</v>
      </c>
      <c r="G37" s="845">
        <f>'BDO Prequal'!H55</f>
        <v>320000</v>
      </c>
      <c r="H37" s="845">
        <f>'BDO Prequal'!I55</f>
        <v>1871935</v>
      </c>
      <c r="I37" s="845">
        <f>'BDO Prequal'!J55</f>
        <v>0</v>
      </c>
      <c r="J37" s="845">
        <f>'BDO Prequal'!K55</f>
        <v>0</v>
      </c>
      <c r="K37" s="846">
        <f>'BDO Prequal'!C55</f>
        <v>8472925</v>
      </c>
    </row>
    <row r="38" spans="2:11" ht="15" thickBot="1" x14ac:dyDescent="0.35">
      <c r="B38" s="847" t="s">
        <v>320</v>
      </c>
      <c r="C38" s="848">
        <f>'BDO Prequal'!D56</f>
        <v>0.18550760215628015</v>
      </c>
      <c r="D38" s="848">
        <f>'BDO Prequal'!E56</f>
        <v>7.229982562102226E-2</v>
      </c>
      <c r="E38" s="848">
        <f>'BDO Prequal'!F56</f>
        <v>0.32416278911945995</v>
      </c>
      <c r="F38" s="848">
        <f>'BDO Prequal'!G56</f>
        <v>0.15933104565424572</v>
      </c>
      <c r="G38" s="848">
        <f>'BDO Prequal'!H56</f>
        <v>3.7767358969895283E-2</v>
      </c>
      <c r="H38" s="848">
        <f>'BDO Prequal'!I56</f>
        <v>0.22093137847909666</v>
      </c>
      <c r="I38" s="848">
        <f>'BDO Prequal'!J56</f>
        <v>0</v>
      </c>
      <c r="J38" s="848">
        <f>'BDO Prequal'!K56</f>
        <v>0</v>
      </c>
      <c r="K38" s="849">
        <f>'BDO Prequal'!C56</f>
        <v>1</v>
      </c>
    </row>
    <row r="40" spans="2:11" ht="15" thickBot="1" x14ac:dyDescent="0.35"/>
    <row r="41" spans="2:11" ht="15.6" x14ac:dyDescent="0.3">
      <c r="B41" s="850" t="s">
        <v>354</v>
      </c>
      <c r="C41" s="851"/>
      <c r="D41" s="851"/>
      <c r="E41" s="851"/>
      <c r="F41" s="851"/>
      <c r="G41" s="852"/>
      <c r="H41" s="853" t="s">
        <v>133</v>
      </c>
      <c r="I41" s="853"/>
      <c r="J41" s="854"/>
    </row>
    <row r="42" spans="2:11" ht="16.2" thickBot="1" x14ac:dyDescent="0.35">
      <c r="B42" s="855" t="str">
        <f>'BDO Prequal'!B97</f>
        <v>{Insert business name which represents PSOR}</v>
      </c>
      <c r="C42" s="856"/>
      <c r="D42" s="856"/>
      <c r="E42" s="856"/>
      <c r="F42" s="856"/>
      <c r="G42" s="857"/>
      <c r="H42" s="1337"/>
      <c r="I42" s="1337"/>
      <c r="J42" s="858"/>
    </row>
    <row r="43" spans="2:11" ht="15.6" x14ac:dyDescent="0.3">
      <c r="B43" s="859"/>
      <c r="C43" s="860"/>
      <c r="D43" s="860"/>
      <c r="E43" s="860"/>
      <c r="F43" s="860"/>
      <c r="G43" s="861"/>
      <c r="H43" s="862"/>
      <c r="I43" s="862"/>
      <c r="J43" s="863"/>
    </row>
    <row r="44" spans="2:11" ht="15.6" x14ac:dyDescent="0.3">
      <c r="B44" s="859"/>
      <c r="C44" s="864" t="s">
        <v>132</v>
      </c>
      <c r="D44" s="865">
        <f>'BDO Prequal'!D99</f>
        <v>45291</v>
      </c>
      <c r="E44" s="865">
        <f>'BDO Prequal'!F99</f>
        <v>45657</v>
      </c>
      <c r="F44" s="865">
        <f>'BDO Prequal'!H99</f>
        <v>46022</v>
      </c>
      <c r="G44" s="866">
        <f>'BDO Prequal'!J99</f>
        <v>46142</v>
      </c>
      <c r="H44" s="867" t="str">
        <f>'BDO Prequal'!O99</f>
        <v>Projections</v>
      </c>
      <c r="I44" s="868" t="str">
        <f>'BDO Prequal'!Q99</f>
        <v>Projections</v>
      </c>
      <c r="J44" s="869"/>
    </row>
    <row r="45" spans="2:11" ht="15.6" x14ac:dyDescent="0.3">
      <c r="B45" s="859"/>
      <c r="C45" s="864" t="s">
        <v>134</v>
      </c>
      <c r="D45" s="870">
        <f>'BDO Prequal'!D100</f>
        <v>12</v>
      </c>
      <c r="E45" s="870">
        <f>'BDO Prequal'!F100</f>
        <v>12</v>
      </c>
      <c r="F45" s="870">
        <f>'BDO Prequal'!H100</f>
        <v>12</v>
      </c>
      <c r="G45" s="871">
        <f>'BDO Prequal'!J100</f>
        <v>4</v>
      </c>
      <c r="H45" s="872" t="str">
        <f>'BDO Prequal'!O100</f>
        <v>Customer</v>
      </c>
      <c r="I45" s="873" t="str">
        <f>'BDO Prequal'!Q100</f>
        <v>Customer</v>
      </c>
      <c r="J45" s="869"/>
    </row>
    <row r="46" spans="2:11" ht="15.6" x14ac:dyDescent="0.3">
      <c r="B46" s="859"/>
      <c r="C46" s="864" t="s">
        <v>136</v>
      </c>
      <c r="D46" s="874" t="str">
        <f>'BDO Prequal'!D101</f>
        <v>Tax Returns</v>
      </c>
      <c r="E46" s="874" t="str">
        <f>'BDO Prequal'!F101</f>
        <v>Tax Returns</v>
      </c>
      <c r="F46" s="875" t="str">
        <f>IF('BDO Prequal'!H101="","", 'BDO Prequal'!H101)</f>
        <v>Internal</v>
      </c>
      <c r="G46" s="876" t="str">
        <f>IF('BDO Prequal'!J101="","", 'BDO Prequal'!J101)</f>
        <v>Internal</v>
      </c>
      <c r="H46" s="877" t="str">
        <f>'BDO Prequal'!O101</f>
        <v xml:space="preserve">Year </v>
      </c>
      <c r="I46" s="878" t="str">
        <f>'BDO Prequal'!Q101</f>
        <v xml:space="preserve">Year </v>
      </c>
      <c r="J46" s="869"/>
    </row>
    <row r="47" spans="2:11" ht="15.6" x14ac:dyDescent="0.3">
      <c r="B47" s="859"/>
      <c r="C47" s="864" t="s">
        <v>140</v>
      </c>
      <c r="D47" s="879" t="str">
        <f>'BDO Prequal'!D102</f>
        <v>Cash</v>
      </c>
      <c r="E47" s="879" t="str">
        <f>'BDO Prequal'!F102</f>
        <v>Cash</v>
      </c>
      <c r="F47" s="879" t="str">
        <f>IF('BDO Prequal'!H102="","", 'BDO Prequal'!H102)</f>
        <v>Cash</v>
      </c>
      <c r="G47" s="880" t="str">
        <f>IF('BDO Prequal'!J102="","", 'BDO Prequal'!J102)</f>
        <v>Accrual</v>
      </c>
      <c r="H47" s="881">
        <f>'BDO Prequal'!O102</f>
        <v>1</v>
      </c>
      <c r="I47" s="882">
        <f>'BDO Prequal'!Q102</f>
        <v>2</v>
      </c>
      <c r="J47" s="869"/>
    </row>
    <row r="48" spans="2:11" ht="15.6" x14ac:dyDescent="0.3">
      <c r="B48" s="859"/>
      <c r="C48" s="883"/>
      <c r="D48" s="884"/>
      <c r="E48" s="884"/>
      <c r="F48" s="884"/>
      <c r="G48" s="885"/>
      <c r="H48" s="886"/>
      <c r="I48" s="886"/>
      <c r="J48" s="869"/>
    </row>
    <row r="49" spans="2:10" x14ac:dyDescent="0.3">
      <c r="B49" s="887"/>
      <c r="C49" s="883" t="s">
        <v>141</v>
      </c>
      <c r="D49" s="810">
        <f>'BDO Prequal'!D104</f>
        <v>29649370</v>
      </c>
      <c r="E49" s="810">
        <f>'BDO Prequal'!F104</f>
        <v>43335889</v>
      </c>
      <c r="F49" s="810">
        <f>'BDO Prequal'!H104</f>
        <v>66978891</v>
      </c>
      <c r="G49" s="811">
        <f>'BDO Prequal'!J104</f>
        <v>31334920</v>
      </c>
      <c r="H49" s="819">
        <f>'BDO Prequal'!O104</f>
        <v>6030320</v>
      </c>
      <c r="I49" s="818">
        <f>'BDO Prequal'!Q104</f>
        <v>7130112</v>
      </c>
      <c r="J49" s="869"/>
    </row>
    <row r="50" spans="2:10" x14ac:dyDescent="0.3">
      <c r="B50" s="888"/>
      <c r="C50" s="883" t="s">
        <v>142</v>
      </c>
      <c r="D50" s="810">
        <f>'BDO Prequal'!D105</f>
        <v>26862626</v>
      </c>
      <c r="E50" s="810">
        <f>'BDO Prequal'!F105</f>
        <v>39325395</v>
      </c>
      <c r="F50" s="810">
        <f>'BDO Prequal'!H105</f>
        <v>62627088</v>
      </c>
      <c r="G50" s="811">
        <f>'BDO Prequal'!J105</f>
        <v>27540075</v>
      </c>
      <c r="H50" s="819">
        <f>'BDO Prequal'!O105</f>
        <v>0</v>
      </c>
      <c r="I50" s="818">
        <f>'BDO Prequal'!Q105</f>
        <v>0</v>
      </c>
      <c r="J50" s="869"/>
    </row>
    <row r="51" spans="2:10" x14ac:dyDescent="0.3">
      <c r="B51" s="888"/>
      <c r="C51" s="883" t="s">
        <v>143</v>
      </c>
      <c r="D51" s="810">
        <f>'BDO Prequal'!D106</f>
        <v>2786744</v>
      </c>
      <c r="E51" s="810">
        <f>'BDO Prequal'!F106</f>
        <v>4010494</v>
      </c>
      <c r="F51" s="810">
        <f>'BDO Prequal'!H106</f>
        <v>4351803</v>
      </c>
      <c r="G51" s="811">
        <f>'BDO Prequal'!J106</f>
        <v>3794845</v>
      </c>
      <c r="H51" s="819">
        <f>'BDO Prequal'!O106</f>
        <v>6030320</v>
      </c>
      <c r="I51" s="818">
        <f>'BDO Prequal'!Q106</f>
        <v>7130112</v>
      </c>
      <c r="J51" s="869"/>
    </row>
    <row r="52" spans="2:10" x14ac:dyDescent="0.3">
      <c r="B52" s="888"/>
      <c r="C52" s="883"/>
      <c r="D52" s="889"/>
      <c r="E52" s="889"/>
      <c r="F52" s="889"/>
      <c r="G52" s="890"/>
      <c r="H52" s="891"/>
      <c r="I52" s="891"/>
      <c r="J52" s="869"/>
    </row>
    <row r="53" spans="2:10" x14ac:dyDescent="0.3">
      <c r="B53" s="888"/>
      <c r="C53" s="883" t="s">
        <v>154</v>
      </c>
      <c r="D53" s="810">
        <f>'BDO Prequal'!D121</f>
        <v>2046899</v>
      </c>
      <c r="E53" s="810">
        <f>'BDO Prequal'!F121</f>
        <v>2328065</v>
      </c>
      <c r="F53" s="810">
        <f>'BDO Prequal'!H121</f>
        <v>2771319</v>
      </c>
      <c r="G53" s="811">
        <f>'BDO Prequal'!J121</f>
        <v>2844493</v>
      </c>
      <c r="H53" s="819">
        <f>'BDO Prequal'!O121</f>
        <v>4562213</v>
      </c>
      <c r="I53" s="818">
        <f>'BDO Prequal'!Q121</f>
        <v>4862204</v>
      </c>
      <c r="J53" s="869"/>
    </row>
    <row r="54" spans="2:10" x14ac:dyDescent="0.3">
      <c r="B54" s="888"/>
      <c r="C54" s="883"/>
      <c r="D54" s="892"/>
      <c r="E54" s="892"/>
      <c r="F54" s="892"/>
      <c r="G54" s="893"/>
      <c r="H54" s="894"/>
      <c r="I54" s="894"/>
      <c r="J54" s="869"/>
    </row>
    <row r="55" spans="2:10" x14ac:dyDescent="0.3">
      <c r="B55" s="888"/>
      <c r="C55" s="883" t="s">
        <v>155</v>
      </c>
      <c r="D55" s="810">
        <f>'BDO Prequal'!D123</f>
        <v>739845</v>
      </c>
      <c r="E55" s="810">
        <f>'BDO Prequal'!F123</f>
        <v>1682429</v>
      </c>
      <c r="F55" s="810">
        <f>'BDO Prequal'!H123</f>
        <v>1580484</v>
      </c>
      <c r="G55" s="811">
        <f>'BDO Prequal'!J121</f>
        <v>2844493</v>
      </c>
      <c r="H55" s="819">
        <f>'BDO Prequal'!O123</f>
        <v>1468107</v>
      </c>
      <c r="I55" s="818">
        <f>'BDO Prequal'!Q127</f>
        <v>0</v>
      </c>
      <c r="J55" s="869"/>
    </row>
    <row r="56" spans="2:10" x14ac:dyDescent="0.3">
      <c r="B56" s="888"/>
      <c r="C56" s="883"/>
      <c r="D56" s="892"/>
      <c r="E56" s="892"/>
      <c r="F56" s="892"/>
      <c r="G56" s="893"/>
      <c r="H56" s="895"/>
      <c r="I56" s="895"/>
      <c r="J56" s="869"/>
    </row>
    <row r="57" spans="2:10" x14ac:dyDescent="0.3">
      <c r="B57" s="888"/>
      <c r="C57" s="883" t="s">
        <v>157</v>
      </c>
      <c r="D57" s="810">
        <f>'BDO Prequal'!D127</f>
        <v>177445</v>
      </c>
      <c r="E57" s="810">
        <f>'BDO Prequal'!F127</f>
        <v>323610</v>
      </c>
      <c r="F57" s="810">
        <f>'BDO Prequal'!H127</f>
        <v>832712</v>
      </c>
      <c r="G57" s="811">
        <f>'BDO Prequal'!J127</f>
        <v>0</v>
      </c>
      <c r="H57" s="819">
        <f>'BDO Prequal'!O123</f>
        <v>1468107</v>
      </c>
      <c r="I57" s="818">
        <f>'BDO Prequal'!Q123</f>
        <v>2267908</v>
      </c>
      <c r="J57" s="869"/>
    </row>
    <row r="58" spans="2:10" x14ac:dyDescent="0.3">
      <c r="B58" s="888"/>
      <c r="C58" s="883"/>
      <c r="D58" s="892"/>
      <c r="E58" s="892"/>
      <c r="F58" s="892"/>
      <c r="G58" s="893"/>
      <c r="H58" s="894"/>
      <c r="I58" s="894"/>
      <c r="J58" s="869"/>
    </row>
    <row r="59" spans="2:10" x14ac:dyDescent="0.3">
      <c r="B59" s="888"/>
      <c r="C59" s="883" t="s">
        <v>158</v>
      </c>
      <c r="D59" s="810">
        <f>'BDO Prequal'!D129</f>
        <v>917290</v>
      </c>
      <c r="E59" s="810">
        <f>'BDO Prequal'!F129</f>
        <v>2006039</v>
      </c>
      <c r="F59" s="810">
        <f>'BDO Prequal'!H129</f>
        <v>2413196</v>
      </c>
      <c r="G59" s="811">
        <f>'BDO Prequal'!J129</f>
        <v>950352</v>
      </c>
      <c r="H59" s="819">
        <f>'BDO Prequal'!O129</f>
        <v>1468107</v>
      </c>
      <c r="I59" s="818">
        <f>'BDO Prequal'!Q129</f>
        <v>2267908</v>
      </c>
      <c r="J59" s="869"/>
    </row>
    <row r="60" spans="2:10" x14ac:dyDescent="0.3">
      <c r="B60" s="888"/>
      <c r="C60" s="883" t="s">
        <v>159</v>
      </c>
      <c r="D60" s="810">
        <f>'BDO Prequal'!D130</f>
        <v>0</v>
      </c>
      <c r="E60" s="810">
        <f>'BDO Prequal'!F130</f>
        <v>0</v>
      </c>
      <c r="F60" s="810">
        <f>'BDO Prequal'!H130</f>
        <v>0</v>
      </c>
      <c r="G60" s="811">
        <f>'BDO Prequal'!J130</f>
        <v>0</v>
      </c>
      <c r="H60" s="819">
        <f>'BDO Prequal'!O130</f>
        <v>0</v>
      </c>
      <c r="I60" s="818">
        <f>'BDO Prequal'!Q130</f>
        <v>0</v>
      </c>
      <c r="J60" s="869"/>
    </row>
    <row r="61" spans="2:10" x14ac:dyDescent="0.3">
      <c r="B61" s="888"/>
      <c r="C61" s="814"/>
      <c r="D61" s="896"/>
      <c r="E61" s="896"/>
      <c r="F61" s="896"/>
      <c r="G61" s="897"/>
      <c r="H61" s="898"/>
      <c r="I61" s="898"/>
      <c r="J61" s="869"/>
    </row>
    <row r="62" spans="2:10" x14ac:dyDescent="0.3">
      <c r="B62" s="888"/>
      <c r="C62" s="883" t="s">
        <v>160</v>
      </c>
      <c r="D62" s="810">
        <f>'BDO Prequal'!D132</f>
        <v>917290</v>
      </c>
      <c r="E62" s="810">
        <f>'BDO Prequal'!F132</f>
        <v>2006039</v>
      </c>
      <c r="F62" s="810">
        <f>'BDO Prequal'!H132</f>
        <v>2413196</v>
      </c>
      <c r="G62" s="811">
        <f>'BDO Prequal'!J132</f>
        <v>950352</v>
      </c>
      <c r="H62" s="819">
        <f>'BDO Prequal'!O132</f>
        <v>1468107</v>
      </c>
      <c r="I62" s="818">
        <f>'BDO Prequal'!Q132</f>
        <v>2267908</v>
      </c>
      <c r="J62" s="869"/>
    </row>
    <row r="63" spans="2:10" x14ac:dyDescent="0.3">
      <c r="B63" s="888"/>
      <c r="C63" s="864"/>
      <c r="D63" s="896"/>
      <c r="E63" s="896"/>
      <c r="F63" s="896"/>
      <c r="G63" s="897"/>
      <c r="H63" s="899"/>
      <c r="I63" s="899"/>
      <c r="J63" s="869"/>
    </row>
    <row r="64" spans="2:10" x14ac:dyDescent="0.3">
      <c r="B64" s="888"/>
      <c r="C64" s="900" t="s">
        <v>510</v>
      </c>
      <c r="D64" s="901"/>
      <c r="E64" s="901"/>
      <c r="F64" s="901"/>
      <c r="G64" s="902"/>
      <c r="H64" s="903"/>
      <c r="I64" s="903"/>
      <c r="J64" s="869"/>
    </row>
    <row r="65" spans="2:10" x14ac:dyDescent="0.3">
      <c r="B65" s="888"/>
      <c r="C65" s="904" t="s">
        <v>355</v>
      </c>
      <c r="D65" s="905">
        <f>'BDO Prequal'!D135+'BDO Prequal'!D136+'BDO Prequal'!D137+'BDO Prequal'!D138</f>
        <v>451064</v>
      </c>
      <c r="E65" s="905">
        <f>'BDO Prequal'!F135+'BDO Prequal'!F136+'BDO Prequal'!F137+'BDO Prequal'!F138</f>
        <v>451507</v>
      </c>
      <c r="F65" s="905">
        <f>'BDO Prequal'!H135+'BDO Prequal'!H136+'BDO Prequal'!H137+'BDO Prequal'!H138</f>
        <v>565393</v>
      </c>
      <c r="G65" s="906">
        <f>'BDO Prequal'!J135+'BDO Prequal'!J136+'BDO Prequal'!J137+'BDO Prequal'!J138</f>
        <v>48753</v>
      </c>
      <c r="H65" s="907">
        <f>'BDO Prequal'!O135+'BDO Prequal'!O136+'BDO Prequal'!O137+'BDO Prequal'!O138</f>
        <v>0</v>
      </c>
      <c r="I65" s="908">
        <f>'BDO Prequal'!Q135+'BDO Prequal'!Q136+'BDO Prequal'!Q137+'BDO Prequal'!Q138</f>
        <v>0</v>
      </c>
      <c r="J65" s="869"/>
    </row>
    <row r="66" spans="2:10" x14ac:dyDescent="0.3">
      <c r="B66" s="888"/>
      <c r="C66" s="909" t="str">
        <f>'BDO Prequal'!C139</f>
        <v>Other</v>
      </c>
      <c r="D66" s="905">
        <f>'BDO Prequal'!D139</f>
        <v>0</v>
      </c>
      <c r="E66" s="905">
        <f>'BDO Prequal'!F139</f>
        <v>0</v>
      </c>
      <c r="F66" s="905">
        <f>'BDO Prequal'!H139</f>
        <v>0</v>
      </c>
      <c r="G66" s="906">
        <f>'BDO Prequal'!J139</f>
        <v>0</v>
      </c>
      <c r="H66" s="907">
        <f>'BDO Prequal'!O139</f>
        <v>0</v>
      </c>
      <c r="I66" s="908">
        <f>'BDO Prequal'!Q139</f>
        <v>0</v>
      </c>
      <c r="J66" s="910"/>
    </row>
    <row r="67" spans="2:10" x14ac:dyDescent="0.3">
      <c r="B67" s="888"/>
      <c r="C67" s="909" t="str">
        <f>'BDO Prequal'!C140</f>
        <v>Other</v>
      </c>
      <c r="D67" s="905">
        <f>'BDO Prequal'!D140</f>
        <v>0</v>
      </c>
      <c r="E67" s="905">
        <f>'BDO Prequal'!F140</f>
        <v>0</v>
      </c>
      <c r="F67" s="905">
        <f>'BDO Prequal'!H140</f>
        <v>0</v>
      </c>
      <c r="G67" s="906">
        <f>'BDO Prequal'!J140</f>
        <v>0</v>
      </c>
      <c r="H67" s="907">
        <f>'BDO Prequal'!O140</f>
        <v>0</v>
      </c>
      <c r="I67" s="908">
        <f>'BDO Prequal'!Q140</f>
        <v>0</v>
      </c>
      <c r="J67" s="910"/>
    </row>
    <row r="68" spans="2:10" x14ac:dyDescent="0.3">
      <c r="B68" s="888"/>
      <c r="C68" s="909" t="str">
        <f>'BDO Prequal'!C141</f>
        <v>Estimated Property Tax</v>
      </c>
      <c r="D68" s="905">
        <f>'BDO Prequal'!D141</f>
        <v>0</v>
      </c>
      <c r="E68" s="905">
        <f>'BDO Prequal'!F141</f>
        <v>0</v>
      </c>
      <c r="F68" s="905">
        <f>'BDO Prequal'!H141</f>
        <v>0</v>
      </c>
      <c r="G68" s="906">
        <f>'BDO Prequal'!J141</f>
        <v>0</v>
      </c>
      <c r="H68" s="907">
        <f>'BDO Prequal'!O141</f>
        <v>0</v>
      </c>
      <c r="I68" s="908">
        <f>'BDO Prequal'!Q141</f>
        <v>0</v>
      </c>
      <c r="J68" s="910"/>
    </row>
    <row r="69" spans="2:10" x14ac:dyDescent="0.3">
      <c r="B69" s="888"/>
      <c r="C69" s="909" t="str">
        <f>'BDO Prequal'!C142</f>
        <v>Required Owner's Draw</v>
      </c>
      <c r="D69" s="911">
        <f>'BDO Prequal'!D142</f>
        <v>-258960</v>
      </c>
      <c r="E69" s="911">
        <f>'BDO Prequal'!F142</f>
        <v>-258960</v>
      </c>
      <c r="F69" s="911">
        <f>'BDO Prequal'!H142</f>
        <v>-258960</v>
      </c>
      <c r="G69" s="912">
        <f>'BDO Prequal'!J142</f>
        <v>-258960</v>
      </c>
      <c r="H69" s="913">
        <f>'BDO Prequal'!O142</f>
        <v>-258960</v>
      </c>
      <c r="I69" s="914">
        <f>'BDO Prequal'!Q142</f>
        <v>-258960</v>
      </c>
      <c r="J69" s="910"/>
    </row>
    <row r="70" spans="2:10" x14ac:dyDescent="0.3">
      <c r="B70" s="888"/>
      <c r="C70" s="909"/>
      <c r="D70" s="915"/>
      <c r="E70" s="915"/>
      <c r="F70" s="915"/>
      <c r="G70" s="916"/>
      <c r="H70" s="917"/>
      <c r="I70" s="917"/>
      <c r="J70" s="910"/>
    </row>
    <row r="71" spans="2:10" x14ac:dyDescent="0.3">
      <c r="B71" s="888"/>
      <c r="C71" s="918" t="s">
        <v>356</v>
      </c>
      <c r="D71" s="915"/>
      <c r="E71" s="915"/>
      <c r="F71" s="915"/>
      <c r="G71" s="916"/>
      <c r="H71" s="917"/>
      <c r="I71" s="917"/>
      <c r="J71" s="910"/>
    </row>
    <row r="72" spans="2:10" x14ac:dyDescent="0.3">
      <c r="B72" s="888"/>
      <c r="C72" s="909" t="s">
        <v>162</v>
      </c>
      <c r="D72" s="919">
        <f>'BDO Prequal'!D144</f>
        <v>1109394</v>
      </c>
      <c r="E72" s="919">
        <f>'BDO Prequal'!F144</f>
        <v>2198586</v>
      </c>
      <c r="F72" s="919">
        <f>'BDO Prequal'!H144</f>
        <v>2719629</v>
      </c>
      <c r="G72" s="920">
        <f>'BDO Prequal'!J144</f>
        <v>740145</v>
      </c>
      <c r="H72" s="921">
        <f>'BDO Prequal'!O144</f>
        <v>1209147</v>
      </c>
      <c r="I72" s="922">
        <f>'BDO Prequal'!Q144</f>
        <v>2008948</v>
      </c>
      <c r="J72" s="910"/>
    </row>
    <row r="73" spans="2:10" x14ac:dyDescent="0.3">
      <c r="B73" s="888"/>
      <c r="C73" s="900"/>
      <c r="D73" s="901"/>
      <c r="E73" s="901"/>
      <c r="F73" s="901"/>
      <c r="G73" s="902"/>
      <c r="H73" s="923"/>
      <c r="I73" s="923"/>
      <c r="J73" s="910"/>
    </row>
    <row r="74" spans="2:10" x14ac:dyDescent="0.3">
      <c r="B74" s="888"/>
      <c r="C74" s="864" t="s">
        <v>357</v>
      </c>
      <c r="D74" s="812">
        <f>'BDO Prequal'!D146</f>
        <v>0</v>
      </c>
      <c r="E74" s="812">
        <f>'BDO Prequal'!F146</f>
        <v>0</v>
      </c>
      <c r="F74" s="812">
        <f>'BDO Prequal'!H146</f>
        <v>0</v>
      </c>
      <c r="G74" s="813">
        <f>'BDO Prequal'!H146</f>
        <v>0</v>
      </c>
      <c r="H74" s="817">
        <f>'BDO Prequal'!O146</f>
        <v>0</v>
      </c>
      <c r="I74" s="817">
        <f>'BDO Prequal'!Q146</f>
        <v>0</v>
      </c>
      <c r="J74" s="910"/>
    </row>
    <row r="75" spans="2:10" x14ac:dyDescent="0.3">
      <c r="B75" s="888"/>
      <c r="C75" s="864"/>
      <c r="D75" s="924"/>
      <c r="E75" s="924"/>
      <c r="F75" s="924"/>
      <c r="G75" s="925"/>
      <c r="H75" s="917"/>
      <c r="I75" s="917"/>
      <c r="J75" s="910"/>
    </row>
    <row r="76" spans="2:10" x14ac:dyDescent="0.3">
      <c r="B76" s="888"/>
      <c r="C76" s="900" t="s">
        <v>358</v>
      </c>
      <c r="D76" s="924"/>
      <c r="E76" s="924"/>
      <c r="F76" s="924"/>
      <c r="G76" s="925"/>
      <c r="H76" s="917"/>
      <c r="I76" s="917"/>
      <c r="J76" s="910"/>
    </row>
    <row r="77" spans="2:10" x14ac:dyDescent="0.3">
      <c r="B77" s="888"/>
      <c r="C77" s="864" t="str">
        <f>'BDO Prequal'!C147</f>
        <v>SBA 7(a) Debt Service</v>
      </c>
      <c r="D77" s="812">
        <f ca="1">'BDO Prequal'!D147</f>
        <v>90189.574707492357</v>
      </c>
      <c r="E77" s="812">
        <f ca="1">'BDO Prequal'!F147</f>
        <v>90189.574707492357</v>
      </c>
      <c r="F77" s="812">
        <f ca="1">'BDO Prequal'!H147</f>
        <v>90189.574707492357</v>
      </c>
      <c r="G77" s="813">
        <f ca="1">'BDO Prequal'!J147</f>
        <v>30063.191569164119</v>
      </c>
      <c r="H77" s="817">
        <f ca="1">'BDO Prequal'!O147</f>
        <v>90189.574707492357</v>
      </c>
      <c r="I77" s="817">
        <f ca="1">'BDO Prequal'!Q147</f>
        <v>90189.574707492357</v>
      </c>
      <c r="J77" s="910"/>
    </row>
    <row r="78" spans="2:10" x14ac:dyDescent="0.3">
      <c r="B78" s="888"/>
      <c r="C78" s="864" t="str">
        <f>'BDO Prequal'!C148</f>
        <v>SBA 7(a) Debt Service</v>
      </c>
      <c r="D78" s="812">
        <f ca="1">'BDO Prequal'!D148</f>
        <v>365004.01451185776</v>
      </c>
      <c r="E78" s="812">
        <f ca="1">'BDO Prequal'!F148</f>
        <v>365004.01451185776</v>
      </c>
      <c r="F78" s="812">
        <f ca="1">'BDO Prequal'!H148</f>
        <v>365004.01451185776</v>
      </c>
      <c r="G78" s="813">
        <f ca="1">'BDO Prequal'!J148</f>
        <v>121668.00483728592</v>
      </c>
      <c r="H78" s="817">
        <f ca="1">'BDO Prequal'!O148</f>
        <v>365004.01451185776</v>
      </c>
      <c r="I78" s="817">
        <f ca="1">'BDO Prequal'!Q148</f>
        <v>365004.01451185776</v>
      </c>
      <c r="J78" s="910"/>
    </row>
    <row r="79" spans="2:10" x14ac:dyDescent="0.3">
      <c r="B79" s="888"/>
      <c r="C79" s="864" t="str">
        <f>'BDO Prequal'!C149</f>
        <v>SBA 504 Debt Service</v>
      </c>
      <c r="D79" s="812">
        <f ca="1">'BDO Prequal'!D149</f>
        <v>209693.3052878122</v>
      </c>
      <c r="E79" s="812">
        <f ca="1">'BDO Prequal'!F149</f>
        <v>209693.3052878122</v>
      </c>
      <c r="F79" s="812">
        <f ca="1">'BDO Prequal'!H149</f>
        <v>209693.3052878122</v>
      </c>
      <c r="G79" s="813">
        <f ca="1">'BDO Prequal'!J149</f>
        <v>69897.768429270727</v>
      </c>
      <c r="H79" s="817">
        <f ca="1">'BDO Prequal'!O149</f>
        <v>209693.3052878122</v>
      </c>
      <c r="I79" s="817">
        <f ca="1">'BDO Prequal'!Q149</f>
        <v>209693.3052878122</v>
      </c>
      <c r="J79" s="910"/>
    </row>
    <row r="80" spans="2:10" x14ac:dyDescent="0.3">
      <c r="B80" s="888"/>
      <c r="C80" s="864" t="str">
        <f>'BDO Prequal'!C150</f>
        <v>Seller Note Debt Service</v>
      </c>
      <c r="D80" s="812">
        <f ca="1">'BDO Prequal'!D150</f>
        <v>54281.273166557949</v>
      </c>
      <c r="E80" s="812">
        <f ca="1">'BDO Prequal'!F150</f>
        <v>54281.273166557949</v>
      </c>
      <c r="F80" s="812">
        <f ca="1">'BDO Prequal'!H150</f>
        <v>54281.273166557949</v>
      </c>
      <c r="G80" s="813">
        <f ca="1">'BDO Prequal'!J150</f>
        <v>18093.757722185983</v>
      </c>
      <c r="H80" s="817">
        <f ca="1">'BDO Prequal'!O150</f>
        <v>54281.273166557949</v>
      </c>
      <c r="I80" s="817">
        <f ca="1">'BDO Prequal'!Q150</f>
        <v>54281.273166557949</v>
      </c>
      <c r="J80" s="910"/>
    </row>
    <row r="81" spans="2:10" x14ac:dyDescent="0.3">
      <c r="B81" s="888"/>
      <c r="C81" s="864" t="str">
        <f>'BDO Prequal'!C151</f>
        <v>Debenture Debt Service</v>
      </c>
      <c r="D81" s="812">
        <f ca="1">'BDO Prequal'!D151</f>
        <v>683430.44569912017</v>
      </c>
      <c r="E81" s="812">
        <f ca="1">'BDO Prequal'!F151</f>
        <v>683430.44569912017</v>
      </c>
      <c r="F81" s="812">
        <f ca="1">'BDO Prequal'!H151</f>
        <v>683430.44569912017</v>
      </c>
      <c r="G81" s="813">
        <f ca="1">'BDO Prequal'!J151</f>
        <v>227810.14856637339</v>
      </c>
      <c r="H81" s="817">
        <f ca="1">'BDO Prequal'!O151</f>
        <v>683430.44569912017</v>
      </c>
      <c r="I81" s="817">
        <f ca="1">'BDO Prequal'!Q151</f>
        <v>683430.44569912017</v>
      </c>
      <c r="J81" s="910"/>
    </row>
    <row r="82" spans="2:10" x14ac:dyDescent="0.3">
      <c r="B82" s="888"/>
      <c r="C82" s="864" t="str">
        <f>'BDO Prequal'!C152</f>
        <v>N/A Debt Service</v>
      </c>
      <c r="D82" s="812">
        <f ca="1">'BDO Prequal'!D152</f>
        <v>0</v>
      </c>
      <c r="E82" s="812">
        <f ca="1">'BDO Prequal'!F152</f>
        <v>0</v>
      </c>
      <c r="F82" s="812">
        <f ca="1">'BDO Prequal'!H152</f>
        <v>0</v>
      </c>
      <c r="G82" s="813">
        <f ca="1">'BDO Prequal'!J152</f>
        <v>0</v>
      </c>
      <c r="H82" s="817">
        <f ca="1">'BDO Prequal'!O152</f>
        <v>0</v>
      </c>
      <c r="I82" s="817">
        <f ca="1">'BDO Prequal'!Q152</f>
        <v>0</v>
      </c>
      <c r="J82" s="910"/>
    </row>
    <row r="83" spans="2:10" x14ac:dyDescent="0.3">
      <c r="B83" s="888"/>
      <c r="C83" s="864" t="str">
        <f>'BDO Prequal'!C153</f>
        <v>N/A Debt Service</v>
      </c>
      <c r="D83" s="812">
        <f ca="1">'BDO Prequal'!D153</f>
        <v>0</v>
      </c>
      <c r="E83" s="812">
        <f ca="1">'BDO Prequal'!F153</f>
        <v>0</v>
      </c>
      <c r="F83" s="812">
        <f ca="1">'BDO Prequal'!H153</f>
        <v>0</v>
      </c>
      <c r="G83" s="813">
        <f ca="1">'BDO Prequal'!J153</f>
        <v>0</v>
      </c>
      <c r="H83" s="817">
        <f ca="1">'BDO Prequal'!O153</f>
        <v>0</v>
      </c>
      <c r="I83" s="817">
        <f ca="1">'BDO Prequal'!Q153</f>
        <v>0</v>
      </c>
      <c r="J83" s="910"/>
    </row>
    <row r="84" spans="2:10" x14ac:dyDescent="0.3">
      <c r="B84" s="888"/>
      <c r="C84" s="864" t="str">
        <f>'BDO Prequal'!C154</f>
        <v>Total Debt</v>
      </c>
      <c r="D84" s="812">
        <f ca="1">'BDO Prequal'!D154</f>
        <v>1402598.6133728405</v>
      </c>
      <c r="E84" s="812">
        <f ca="1">'BDO Prequal'!F154</f>
        <v>1402598.6133728405</v>
      </c>
      <c r="F84" s="812">
        <f ca="1">'BDO Prequal'!H154</f>
        <v>1402598.6133728405</v>
      </c>
      <c r="G84" s="813">
        <f ca="1">'BDO Prequal'!J154</f>
        <v>467532.87112428015</v>
      </c>
      <c r="H84" s="817">
        <f ca="1">'BDO Prequal'!O154</f>
        <v>1402598.6133728405</v>
      </c>
      <c r="I84" s="817">
        <f ca="1">'BDO Prequal'!Q154</f>
        <v>1402598.6133728405</v>
      </c>
      <c r="J84" s="910"/>
    </row>
    <row r="85" spans="2:10" x14ac:dyDescent="0.3">
      <c r="B85" s="888"/>
      <c r="C85" s="926"/>
      <c r="D85" s="927"/>
      <c r="E85" s="927"/>
      <c r="F85" s="927"/>
      <c r="G85" s="928"/>
      <c r="H85" s="886"/>
      <c r="I85" s="886"/>
      <c r="J85" s="869"/>
    </row>
    <row r="86" spans="2:10" x14ac:dyDescent="0.3">
      <c r="B86" s="888"/>
      <c r="C86" s="883" t="s">
        <v>165</v>
      </c>
      <c r="D86" s="815">
        <f ca="1">'BDO Prequal'!D156</f>
        <v>0.79095615054989332</v>
      </c>
      <c r="E86" s="815">
        <f ca="1">'BDO Prequal'!F156</f>
        <v>1.5675090357554555</v>
      </c>
      <c r="F86" s="815">
        <f ca="1">'BDO Prequal'!H156</f>
        <v>1.9389930761874103</v>
      </c>
      <c r="G86" s="816">
        <f ca="1">'BDO Prequal'!J156</f>
        <v>1.5830865500861302</v>
      </c>
      <c r="H86" s="929">
        <f ca="1">'BDO Prequal'!O156</f>
        <v>0.8620762836007333</v>
      </c>
      <c r="I86" s="930">
        <f ca="1">'BDO Prequal'!Q156</f>
        <v>1.4323042820989722</v>
      </c>
      <c r="J86" s="869"/>
    </row>
    <row r="87" spans="2:10" x14ac:dyDescent="0.3">
      <c r="B87" s="888"/>
      <c r="C87" s="883"/>
      <c r="D87" s="931"/>
      <c r="E87" s="931"/>
      <c r="F87" s="931"/>
      <c r="G87" s="931"/>
      <c r="H87" s="932"/>
      <c r="I87" s="933"/>
      <c r="J87" s="869"/>
    </row>
    <row r="88" spans="2:10" x14ac:dyDescent="0.3">
      <c r="B88" s="934"/>
      <c r="C88" s="935"/>
      <c r="D88" s="936"/>
      <c r="E88" s="936"/>
      <c r="F88" s="936"/>
      <c r="G88" s="937"/>
      <c r="H88" s="938"/>
      <c r="I88" s="939"/>
      <c r="J88" s="869"/>
    </row>
    <row r="89" spans="2:10" x14ac:dyDescent="0.3">
      <c r="B89" s="934"/>
      <c r="C89" s="935" t="s">
        <v>167</v>
      </c>
      <c r="D89" s="940">
        <f>'BDO Prequal'!D162</f>
        <v>1368354</v>
      </c>
      <c r="E89" s="940">
        <f>'BDO Prequal'!F162</f>
        <v>2457546</v>
      </c>
      <c r="F89" s="940">
        <f>'BDO Prequal'!H162</f>
        <v>2978589</v>
      </c>
      <c r="G89" s="941">
        <f>'BDO Prequal'!J162</f>
        <v>999105</v>
      </c>
      <c r="H89" s="938"/>
      <c r="I89" s="939"/>
      <c r="J89" s="869"/>
    </row>
    <row r="90" spans="2:10" x14ac:dyDescent="0.3">
      <c r="B90" s="934"/>
      <c r="C90" s="935" t="s">
        <v>511</v>
      </c>
      <c r="D90" s="940">
        <f>SUM('BDO Prequal'!D164:D175)</f>
        <v>0</v>
      </c>
      <c r="E90" s="940">
        <f>SUM('BDO Prequal'!F164:F175)</f>
        <v>0</v>
      </c>
      <c r="F90" s="940">
        <f>SUM('BDO Prequal'!H164:H175)</f>
        <v>0</v>
      </c>
      <c r="G90" s="941">
        <f>SUM('BDO Prequal'!J164:J175)</f>
        <v>0</v>
      </c>
      <c r="H90" s="938"/>
      <c r="I90" s="939"/>
      <c r="J90" s="869"/>
    </row>
    <row r="91" spans="2:10" ht="15" thickBot="1" x14ac:dyDescent="0.35">
      <c r="B91" s="934"/>
      <c r="C91" s="935" t="s">
        <v>512</v>
      </c>
      <c r="D91" s="942">
        <f>SUM('BDO Prequal'!D177:D186)</f>
        <v>-84771.666666666686</v>
      </c>
      <c r="E91" s="942">
        <f>SUM('BDO Prequal'!F177:F186)</f>
        <v>-84771.666666666686</v>
      </c>
      <c r="F91" s="942">
        <f>SUM('BDO Prequal'!H177:H186)</f>
        <v>-84771.666666666686</v>
      </c>
      <c r="G91" s="943">
        <f>SUM('BDO Prequal'!J177:J186)</f>
        <v>-84771.666666666686</v>
      </c>
      <c r="H91" s="938"/>
      <c r="I91" s="939"/>
      <c r="J91" s="869"/>
    </row>
    <row r="92" spans="2:10" x14ac:dyDescent="0.3">
      <c r="B92" s="934"/>
      <c r="C92" s="935" t="s">
        <v>168</v>
      </c>
      <c r="D92" s="944">
        <f ca="1">'BDO Prequal'!D154</f>
        <v>1402598.6133728405</v>
      </c>
      <c r="E92" s="944">
        <f ca="1">'BDO Prequal'!F154</f>
        <v>1402598.6133728405</v>
      </c>
      <c r="F92" s="944">
        <f ca="1">'BDO Prequal'!H154</f>
        <v>1402598.6133728405</v>
      </c>
      <c r="G92" s="945">
        <f ca="1">'BDO Prequal'!J154</f>
        <v>467532.87112428015</v>
      </c>
      <c r="H92" s="938"/>
      <c r="I92" s="939"/>
      <c r="J92" s="869"/>
    </row>
    <row r="93" spans="2:10" x14ac:dyDescent="0.3">
      <c r="B93" s="934"/>
      <c r="C93" s="935"/>
      <c r="D93" s="946"/>
      <c r="E93" s="946"/>
      <c r="F93" s="946"/>
      <c r="G93" s="947"/>
      <c r="H93" s="938"/>
      <c r="I93" s="939"/>
      <c r="J93" s="869"/>
    </row>
    <row r="94" spans="2:10" x14ac:dyDescent="0.3">
      <c r="B94" s="934"/>
      <c r="C94" s="948" t="s">
        <v>170</v>
      </c>
      <c r="D94" s="949">
        <f ca="1">'BDO Prequal'!D191</f>
        <v>0.91514587359151345</v>
      </c>
      <c r="E94" s="949">
        <f ca="1">'BDO Prequal'!F191</f>
        <v>1.6916987587970753</v>
      </c>
      <c r="F94" s="949">
        <f ca="1">'BDO Prequal'!H191</f>
        <v>2.0631827992290299</v>
      </c>
      <c r="G94" s="950">
        <f ca="1">'BDO Prequal'!J191</f>
        <v>1.95565571921099</v>
      </c>
      <c r="H94" s="938"/>
      <c r="I94" s="939"/>
      <c r="J94" s="869"/>
    </row>
    <row r="95" spans="2:10" x14ac:dyDescent="0.3">
      <c r="B95" s="951"/>
      <c r="C95" s="952"/>
      <c r="D95" s="952"/>
      <c r="E95" s="936"/>
      <c r="F95" s="936"/>
      <c r="G95" s="937"/>
      <c r="H95" s="938"/>
      <c r="I95" s="939"/>
      <c r="J95" s="869"/>
    </row>
    <row r="96" spans="2:10" ht="15" thickBot="1" x14ac:dyDescent="0.35">
      <c r="B96" s="953"/>
      <c r="C96" s="954"/>
      <c r="D96" s="954"/>
      <c r="E96" s="955"/>
      <c r="F96" s="955"/>
      <c r="G96" s="956"/>
      <c r="H96" s="957"/>
      <c r="I96" s="958"/>
      <c r="J96" s="959"/>
    </row>
    <row r="98" spans="2:11" ht="15" thickBot="1" x14ac:dyDescent="0.35">
      <c r="B98" s="960"/>
      <c r="C98" s="960"/>
      <c r="D98" s="960"/>
      <c r="E98" s="960"/>
      <c r="F98" s="960"/>
      <c r="G98" s="960"/>
      <c r="H98" s="960"/>
      <c r="I98" s="960"/>
      <c r="J98" s="960"/>
      <c r="K98" s="960"/>
    </row>
    <row r="99" spans="2:11" ht="15.6" x14ac:dyDescent="0.3">
      <c r="B99" s="961" t="str">
        <f>'BDO Prequal'!B76</f>
        <v>Business Debt Schedule - Subject Company</v>
      </c>
      <c r="C99" s="962"/>
      <c r="D99" s="962"/>
      <c r="E99" s="962"/>
      <c r="F99" s="962"/>
      <c r="G99" s="962"/>
      <c r="H99" s="962"/>
      <c r="I99" s="962"/>
      <c r="J99" s="962"/>
    </row>
    <row r="100" spans="2:11" x14ac:dyDescent="0.3">
      <c r="B100" s="602" t="s">
        <v>171</v>
      </c>
      <c r="C100" s="603" t="s">
        <v>172</v>
      </c>
      <c r="D100" s="603" t="s">
        <v>494</v>
      </c>
      <c r="E100" s="604" t="s">
        <v>174</v>
      </c>
      <c r="F100" s="604" t="s">
        <v>496</v>
      </c>
      <c r="G100" s="604" t="s">
        <v>499</v>
      </c>
      <c r="H100" s="604" t="s">
        <v>497</v>
      </c>
      <c r="I100" s="603" t="s">
        <v>495</v>
      </c>
      <c r="J100" s="616"/>
    </row>
    <row r="101" spans="2:11" x14ac:dyDescent="0.3">
      <c r="B101" s="963" t="str">
        <f>IF('BDO Prequal'!B79="","",'BDO Prequal'!B79)</f>
        <v/>
      </c>
      <c r="C101" s="964">
        <f>'BDO Prequal'!C79</f>
        <v>0</v>
      </c>
      <c r="D101" s="964">
        <f>'BDO Prequal'!D79</f>
        <v>0</v>
      </c>
      <c r="E101" s="965" t="str">
        <f>'BDO Prequal'!E79</f>
        <v>No</v>
      </c>
      <c r="F101" s="966">
        <f>'BDO Prequal'!F79</f>
        <v>0</v>
      </c>
      <c r="G101" s="967">
        <f>'BDO Prequal'!G79</f>
        <v>0</v>
      </c>
      <c r="H101" s="503">
        <f>'BDO Prequal'!H79</f>
        <v>0</v>
      </c>
      <c r="I101" s="610">
        <f>'BDO Prequal'!I79</f>
        <v>0</v>
      </c>
      <c r="J101" s="616"/>
    </row>
    <row r="102" spans="2:11" x14ac:dyDescent="0.3">
      <c r="B102" s="963" t="str">
        <f>IF('BDO Prequal'!B80="","",'BDO Prequal'!B80)</f>
        <v/>
      </c>
      <c r="C102" s="964">
        <f>'BDO Prequal'!C80</f>
        <v>0</v>
      </c>
      <c r="D102" s="964">
        <f>'BDO Prequal'!D80</f>
        <v>0</v>
      </c>
      <c r="E102" s="965" t="str">
        <f>'BDO Prequal'!E80</f>
        <v>No</v>
      </c>
      <c r="F102" s="966">
        <f>'BDO Prequal'!F80</f>
        <v>0</v>
      </c>
      <c r="G102" s="967">
        <f>'BDO Prequal'!G80</f>
        <v>0</v>
      </c>
      <c r="H102" s="503">
        <f>'BDO Prequal'!H80</f>
        <v>0</v>
      </c>
      <c r="I102" s="610">
        <f>'BDO Prequal'!I80</f>
        <v>0</v>
      </c>
      <c r="J102" s="616"/>
    </row>
    <row r="103" spans="2:11" x14ac:dyDescent="0.3">
      <c r="B103" s="963" t="str">
        <f>IF('BDO Prequal'!B81="","",'BDO Prequal'!B81)</f>
        <v/>
      </c>
      <c r="C103" s="964">
        <f>'BDO Prequal'!C81</f>
        <v>0</v>
      </c>
      <c r="D103" s="964">
        <f>'BDO Prequal'!D81</f>
        <v>0</v>
      </c>
      <c r="E103" s="965" t="str">
        <f>'BDO Prequal'!E81</f>
        <v>No</v>
      </c>
      <c r="F103" s="966">
        <f>'BDO Prequal'!F81</f>
        <v>0</v>
      </c>
      <c r="G103" s="967">
        <f>'BDO Prequal'!G81</f>
        <v>0</v>
      </c>
      <c r="H103" s="503">
        <f>'BDO Prequal'!H81</f>
        <v>0</v>
      </c>
      <c r="I103" s="610">
        <f>'BDO Prequal'!I81</f>
        <v>0</v>
      </c>
      <c r="J103" s="616"/>
    </row>
    <row r="104" spans="2:11" x14ac:dyDescent="0.3">
      <c r="B104" s="963" t="str">
        <f>IF('BDO Prequal'!B82="","",'BDO Prequal'!B82)</f>
        <v/>
      </c>
      <c r="C104" s="964">
        <f>'BDO Prequal'!C82</f>
        <v>0</v>
      </c>
      <c r="D104" s="964">
        <f>'BDO Prequal'!D82</f>
        <v>0</v>
      </c>
      <c r="E104" s="965" t="str">
        <f>'BDO Prequal'!E82</f>
        <v>No</v>
      </c>
      <c r="F104" s="966">
        <f>'BDO Prequal'!F82</f>
        <v>0</v>
      </c>
      <c r="G104" s="967">
        <f>'BDO Prequal'!G82</f>
        <v>0</v>
      </c>
      <c r="H104" s="503">
        <f>'BDO Prequal'!H82</f>
        <v>0</v>
      </c>
      <c r="I104" s="610">
        <f>'BDO Prequal'!I82</f>
        <v>0</v>
      </c>
      <c r="J104" s="616"/>
    </row>
    <row r="105" spans="2:11" x14ac:dyDescent="0.3">
      <c r="B105" s="963" t="str">
        <f>IF('BDO Prequal'!B83="","",'BDO Prequal'!B83)</f>
        <v/>
      </c>
      <c r="C105" s="964">
        <f>'BDO Prequal'!C83</f>
        <v>0</v>
      </c>
      <c r="D105" s="964">
        <f>'BDO Prequal'!D83</f>
        <v>0</v>
      </c>
      <c r="E105" s="965" t="str">
        <f>'BDO Prequal'!E83</f>
        <v>No</v>
      </c>
      <c r="F105" s="966">
        <f>'BDO Prequal'!F83</f>
        <v>0</v>
      </c>
      <c r="G105" s="967">
        <f>'BDO Prequal'!G83</f>
        <v>0</v>
      </c>
      <c r="H105" s="503">
        <f>'BDO Prequal'!H83</f>
        <v>0</v>
      </c>
      <c r="I105" s="610">
        <f>'BDO Prequal'!I83</f>
        <v>0</v>
      </c>
      <c r="J105" s="616"/>
    </row>
    <row r="106" spans="2:11" x14ac:dyDescent="0.3">
      <c r="B106" s="963" t="str">
        <f>IF('BDO Prequal'!B84="","",'BDO Prequal'!B84)</f>
        <v/>
      </c>
      <c r="C106" s="964">
        <f>'BDO Prequal'!C84</f>
        <v>0</v>
      </c>
      <c r="D106" s="964">
        <f>'BDO Prequal'!D84</f>
        <v>0</v>
      </c>
      <c r="E106" s="965" t="str">
        <f>'BDO Prequal'!E84</f>
        <v>No</v>
      </c>
      <c r="F106" s="966">
        <f>'BDO Prequal'!F84</f>
        <v>0</v>
      </c>
      <c r="G106" s="967">
        <f>'BDO Prequal'!G84</f>
        <v>0</v>
      </c>
      <c r="H106" s="503">
        <f>'BDO Prequal'!H84</f>
        <v>0</v>
      </c>
      <c r="I106" s="610">
        <f>'BDO Prequal'!I84</f>
        <v>0</v>
      </c>
      <c r="J106" s="616"/>
    </row>
    <row r="107" spans="2:11" x14ac:dyDescent="0.3">
      <c r="B107" s="963" t="str">
        <f>IF('BDO Prequal'!B85="","",'BDO Prequal'!B85)</f>
        <v/>
      </c>
      <c r="C107" s="964">
        <f>'BDO Prequal'!C85</f>
        <v>0</v>
      </c>
      <c r="D107" s="964">
        <f>'BDO Prequal'!D85</f>
        <v>0</v>
      </c>
      <c r="E107" s="965" t="str">
        <f>'BDO Prequal'!E85</f>
        <v>No</v>
      </c>
      <c r="F107" s="966">
        <f>'BDO Prequal'!F85</f>
        <v>0</v>
      </c>
      <c r="G107" s="967">
        <f>'BDO Prequal'!G85</f>
        <v>0</v>
      </c>
      <c r="H107" s="503">
        <f>'BDO Prequal'!H85</f>
        <v>0</v>
      </c>
      <c r="I107" s="610">
        <f>'BDO Prequal'!I85</f>
        <v>0</v>
      </c>
      <c r="J107" s="616"/>
    </row>
    <row r="108" spans="2:11" x14ac:dyDescent="0.3">
      <c r="B108" s="963" t="str">
        <f>IF('BDO Prequal'!B86="","",'BDO Prequal'!B86)</f>
        <v/>
      </c>
      <c r="C108" s="964">
        <f>'BDO Prequal'!C86</f>
        <v>0</v>
      </c>
      <c r="D108" s="964">
        <f>'BDO Prequal'!D86</f>
        <v>0</v>
      </c>
      <c r="E108" s="965" t="str">
        <f>'BDO Prequal'!E86</f>
        <v>No</v>
      </c>
      <c r="F108" s="966">
        <f>'BDO Prequal'!F86</f>
        <v>0</v>
      </c>
      <c r="G108" s="967">
        <f>'BDO Prequal'!G86</f>
        <v>0</v>
      </c>
      <c r="H108" s="503">
        <f>'BDO Prequal'!H86</f>
        <v>0</v>
      </c>
      <c r="I108" s="610">
        <f>'BDO Prequal'!I86</f>
        <v>0</v>
      </c>
      <c r="J108" s="616"/>
    </row>
    <row r="109" spans="2:11" x14ac:dyDescent="0.3">
      <c r="B109" s="963" t="str">
        <f>IF('BDO Prequal'!B87="","",'BDO Prequal'!B87)</f>
        <v/>
      </c>
      <c r="C109" s="964">
        <f>'BDO Prequal'!C87</f>
        <v>0</v>
      </c>
      <c r="D109" s="964">
        <f>'BDO Prequal'!D87</f>
        <v>0</v>
      </c>
      <c r="E109" s="965" t="str">
        <f>'BDO Prequal'!E87</f>
        <v>No</v>
      </c>
      <c r="F109" s="966">
        <f>'BDO Prequal'!F87</f>
        <v>0</v>
      </c>
      <c r="G109" s="967">
        <f>'BDO Prequal'!G87</f>
        <v>0</v>
      </c>
      <c r="H109" s="503">
        <f>'BDO Prequal'!H87</f>
        <v>0</v>
      </c>
      <c r="I109" s="610">
        <f>'BDO Prequal'!I87</f>
        <v>0</v>
      </c>
      <c r="J109" s="616"/>
    </row>
    <row r="110" spans="2:11" x14ac:dyDescent="0.3">
      <c r="B110" s="963" t="str">
        <f>IF('BDO Prequal'!B88="","",'BDO Prequal'!B88)</f>
        <v/>
      </c>
      <c r="C110" s="964">
        <f>'BDO Prequal'!C88</f>
        <v>0</v>
      </c>
      <c r="D110" s="964">
        <f>'BDO Prequal'!D88</f>
        <v>0</v>
      </c>
      <c r="E110" s="965" t="str">
        <f>'BDO Prequal'!E88</f>
        <v>No</v>
      </c>
      <c r="F110" s="966">
        <f>'BDO Prequal'!F88</f>
        <v>0</v>
      </c>
      <c r="G110" s="967">
        <f>'BDO Prequal'!G88</f>
        <v>0</v>
      </c>
      <c r="H110" s="503">
        <f>'BDO Prequal'!H88</f>
        <v>0</v>
      </c>
      <c r="I110" s="610">
        <f>'BDO Prequal'!I88</f>
        <v>0</v>
      </c>
      <c r="J110" s="616"/>
    </row>
    <row r="111" spans="2:11" x14ac:dyDescent="0.3">
      <c r="B111" s="963" t="str">
        <f>IF('BDO Prequal'!B89="","",'BDO Prequal'!B89)</f>
        <v/>
      </c>
      <c r="C111" s="964">
        <f>'BDO Prequal'!C89</f>
        <v>0</v>
      </c>
      <c r="D111" s="964">
        <f>'BDO Prequal'!D89</f>
        <v>0</v>
      </c>
      <c r="E111" s="965" t="str">
        <f>'BDO Prequal'!E89</f>
        <v>No</v>
      </c>
      <c r="F111" s="966">
        <f>'BDO Prequal'!F89</f>
        <v>0</v>
      </c>
      <c r="G111" s="967">
        <f>'BDO Prequal'!G89</f>
        <v>0</v>
      </c>
      <c r="H111" s="503">
        <f>'BDO Prequal'!H89</f>
        <v>0</v>
      </c>
      <c r="I111" s="610">
        <f>'BDO Prequal'!I89</f>
        <v>0</v>
      </c>
      <c r="J111" s="616"/>
    </row>
    <row r="112" spans="2:11" x14ac:dyDescent="0.3">
      <c r="B112" s="963" t="str">
        <f>IF('BDO Prequal'!B90="","",'BDO Prequal'!B90)</f>
        <v/>
      </c>
      <c r="C112" s="964">
        <f>'BDO Prequal'!C90</f>
        <v>0</v>
      </c>
      <c r="D112" s="964">
        <f>'BDO Prequal'!D90</f>
        <v>0</v>
      </c>
      <c r="E112" s="965" t="str">
        <f>'BDO Prequal'!E90</f>
        <v>No</v>
      </c>
      <c r="F112" s="966">
        <f>'BDO Prequal'!F90</f>
        <v>0</v>
      </c>
      <c r="G112" s="967">
        <f>'BDO Prequal'!G90</f>
        <v>0</v>
      </c>
      <c r="H112" s="503">
        <f>'BDO Prequal'!H90</f>
        <v>0</v>
      </c>
      <c r="I112" s="610">
        <f>'BDO Prequal'!I90</f>
        <v>0</v>
      </c>
      <c r="J112" s="616"/>
    </row>
    <row r="113" spans="2:10" x14ac:dyDescent="0.3">
      <c r="B113" s="963" t="str">
        <f>IF('BDO Prequal'!B91="","",'BDO Prequal'!B91)</f>
        <v/>
      </c>
      <c r="C113" s="964">
        <f>'BDO Prequal'!C91</f>
        <v>0</v>
      </c>
      <c r="D113" s="964">
        <f>'BDO Prequal'!D91</f>
        <v>0</v>
      </c>
      <c r="E113" s="965" t="str">
        <f>'BDO Prequal'!E91</f>
        <v>No</v>
      </c>
      <c r="F113" s="966">
        <f>'BDO Prequal'!F91</f>
        <v>0</v>
      </c>
      <c r="G113" s="967">
        <f>'BDO Prequal'!G91</f>
        <v>0</v>
      </c>
      <c r="H113" s="503">
        <f>'BDO Prequal'!H91</f>
        <v>0</v>
      </c>
      <c r="I113" s="610">
        <f>'BDO Prequal'!I91</f>
        <v>0</v>
      </c>
      <c r="J113" s="616"/>
    </row>
    <row r="114" spans="2:10" x14ac:dyDescent="0.3">
      <c r="B114" s="504" t="s">
        <v>8</v>
      </c>
      <c r="C114" s="605">
        <f>'BDO Prequal'!C92</f>
        <v>0</v>
      </c>
      <c r="D114" s="605">
        <f>'BDO Prequal'!D92</f>
        <v>0</v>
      </c>
      <c r="E114" s="614"/>
      <c r="F114" s="614"/>
      <c r="G114" s="615" t="s">
        <v>498</v>
      </c>
      <c r="H114" s="605">
        <f>'BDO Prequal'!H92</f>
        <v>0</v>
      </c>
      <c r="I114" s="614"/>
      <c r="J114" s="616"/>
    </row>
    <row r="115" spans="2:10" ht="15" thickBot="1" x14ac:dyDescent="0.35">
      <c r="B115" s="606"/>
      <c r="C115" s="619"/>
      <c r="D115" s="619"/>
      <c r="E115" s="618"/>
      <c r="F115" s="618"/>
      <c r="G115" s="620"/>
      <c r="H115" s="620"/>
      <c r="I115" s="618"/>
      <c r="J115" s="617"/>
    </row>
  </sheetData>
  <sheetProtection sheet="1" objects="1" scenarios="1"/>
  <mergeCells count="1">
    <mergeCell ref="H42:I42"/>
  </mergeCells>
  <phoneticPr fontId="7" type="noConversion"/>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4" id="{43A10A19-FDB0-4F65-A0B6-07F0EBFB4FD2}">
            <xm:f>$E101=Lists!$H$3</xm:f>
            <x14:dxf>
              <font>
                <color auto="1"/>
              </font>
              <fill>
                <patternFill>
                  <bgColor theme="0"/>
                </patternFill>
              </fill>
            </x14:dxf>
          </x14:cfRule>
          <xm:sqref>F101:G102</xm:sqref>
        </x14:conditionalFormatting>
        <x14:conditionalFormatting xmlns:xm="http://schemas.microsoft.com/office/excel/2006/main">
          <x14:cfRule type="expression" priority="13" id="{F030C7E4-B446-43CB-88EB-8E645E240FEA}">
            <xm:f>$E$81=Lists!$H$3</xm:f>
            <x14:dxf>
              <font>
                <color auto="1"/>
              </font>
              <fill>
                <patternFill>
                  <bgColor theme="0"/>
                </patternFill>
              </fill>
            </x14:dxf>
          </x14:cfRule>
          <xm:sqref>F103:G103</xm:sqref>
        </x14:conditionalFormatting>
        <x14:conditionalFormatting xmlns:xm="http://schemas.microsoft.com/office/excel/2006/main">
          <x14:cfRule type="expression" priority="12" id="{E79FE8C9-0053-412F-A9FA-242F40786411}">
            <xm:f>$E$82=Lists!$H$3</xm:f>
            <x14:dxf>
              <font>
                <color auto="1"/>
              </font>
              <fill>
                <patternFill>
                  <bgColor theme="0"/>
                </patternFill>
              </fill>
            </x14:dxf>
          </x14:cfRule>
          <xm:sqref>F104:G104</xm:sqref>
        </x14:conditionalFormatting>
        <x14:conditionalFormatting xmlns:xm="http://schemas.microsoft.com/office/excel/2006/main">
          <x14:cfRule type="expression" priority="11" id="{12BE8CB5-71E2-4001-9E0E-EBFF28453E36}">
            <xm:f>$E$83=Lists!$H$3</xm:f>
            <x14:dxf>
              <font>
                <color auto="1"/>
              </font>
              <fill>
                <patternFill>
                  <bgColor theme="0"/>
                </patternFill>
              </fill>
            </x14:dxf>
          </x14:cfRule>
          <xm:sqref>F105:G105</xm:sqref>
        </x14:conditionalFormatting>
        <x14:conditionalFormatting xmlns:xm="http://schemas.microsoft.com/office/excel/2006/main">
          <x14:cfRule type="expression" priority="10" id="{9D7ECAA3-7206-4B21-8DD1-DA334C513B57}">
            <xm:f>$E$84=Lists!$H$3</xm:f>
            <x14:dxf>
              <font>
                <color auto="1"/>
              </font>
              <fill>
                <patternFill>
                  <bgColor theme="0"/>
                </patternFill>
              </fill>
            </x14:dxf>
          </x14:cfRule>
          <xm:sqref>F106:G106</xm:sqref>
        </x14:conditionalFormatting>
        <x14:conditionalFormatting xmlns:xm="http://schemas.microsoft.com/office/excel/2006/main">
          <x14:cfRule type="expression" priority="9" id="{9D751A5A-654A-4B5F-A97F-77FC0C1E3571}">
            <xm:f>$E$85=Lists!$H$3</xm:f>
            <x14:dxf>
              <font>
                <color auto="1"/>
              </font>
              <fill>
                <patternFill>
                  <bgColor theme="0"/>
                </patternFill>
              </fill>
            </x14:dxf>
          </x14:cfRule>
          <xm:sqref>F107:G107</xm:sqref>
        </x14:conditionalFormatting>
        <x14:conditionalFormatting xmlns:xm="http://schemas.microsoft.com/office/excel/2006/main">
          <x14:cfRule type="expression" priority="8" id="{2A6AEC25-AE0E-4962-A29A-AB0191EF1884}">
            <xm:f>$E$86=Lists!$H$3</xm:f>
            <x14:dxf>
              <font>
                <color auto="1"/>
              </font>
              <fill>
                <patternFill>
                  <bgColor theme="0"/>
                </patternFill>
              </fill>
            </x14:dxf>
          </x14:cfRule>
          <xm:sqref>F108:G108</xm:sqref>
        </x14:conditionalFormatting>
        <x14:conditionalFormatting xmlns:xm="http://schemas.microsoft.com/office/excel/2006/main">
          <x14:cfRule type="expression" priority="7" id="{088ADED5-B3AB-4281-B154-51B552478578}">
            <xm:f>$E$87=Lists!$H$3</xm:f>
            <x14:dxf>
              <font>
                <color auto="1"/>
              </font>
              <fill>
                <patternFill>
                  <bgColor theme="0"/>
                </patternFill>
              </fill>
            </x14:dxf>
          </x14:cfRule>
          <xm:sqref>F109:G109</xm:sqref>
        </x14:conditionalFormatting>
        <x14:conditionalFormatting xmlns:xm="http://schemas.microsoft.com/office/excel/2006/main">
          <x14:cfRule type="expression" priority="6" id="{15C372D4-920C-4CBA-A32A-C9940ABE9823}">
            <xm:f>$E$88=Lists!$H$3</xm:f>
            <x14:dxf>
              <font>
                <color auto="1"/>
              </font>
              <fill>
                <patternFill>
                  <bgColor theme="0"/>
                </patternFill>
              </fill>
            </x14:dxf>
          </x14:cfRule>
          <xm:sqref>F110:G110</xm:sqref>
        </x14:conditionalFormatting>
        <x14:conditionalFormatting xmlns:xm="http://schemas.microsoft.com/office/excel/2006/main">
          <x14:cfRule type="expression" priority="5" id="{370B61CE-84CB-4DAC-BB7E-DA004EFE81B1}">
            <xm:f>$E$89=Lists!$H$3</xm:f>
            <x14:dxf>
              <font>
                <color auto="1"/>
              </font>
              <fill>
                <patternFill>
                  <bgColor theme="0"/>
                </patternFill>
              </fill>
            </x14:dxf>
          </x14:cfRule>
          <xm:sqref>F111:G111</xm:sqref>
        </x14:conditionalFormatting>
        <x14:conditionalFormatting xmlns:xm="http://schemas.microsoft.com/office/excel/2006/main">
          <x14:cfRule type="expression" priority="4" id="{FB2EAAA5-FAC8-4D2F-B04B-79BE9FC83C25}">
            <xm:f>$E$90=Lists!$H$3</xm:f>
            <x14:dxf>
              <font>
                <color auto="1"/>
              </font>
              <fill>
                <patternFill>
                  <bgColor theme="0"/>
                </patternFill>
              </fill>
            </x14:dxf>
          </x14:cfRule>
          <xm:sqref>F112:G112</xm:sqref>
        </x14:conditionalFormatting>
        <x14:conditionalFormatting xmlns:xm="http://schemas.microsoft.com/office/excel/2006/main">
          <x14:cfRule type="expression" priority="3" id="{624B9E26-5D2D-4CBF-BF4B-F315568C3E0C}">
            <xm:f>$E$91=Lists!$H$3</xm:f>
            <x14:dxf>
              <font>
                <color auto="1"/>
              </font>
              <fill>
                <patternFill>
                  <bgColor theme="0"/>
                </patternFill>
              </fill>
            </x14:dxf>
          </x14:cfRule>
          <xm:sqref>F113:G113</xm:sqref>
        </x14:conditionalFormatting>
        <x14:conditionalFormatting xmlns:xm="http://schemas.microsoft.com/office/excel/2006/main">
          <x14:cfRule type="expression" priority="1" id="{78161D86-14F9-48F1-9CB0-1627B42B9A41}">
            <xm:f>AND($I101&gt;0.099999,$E101=Lists!$H$3)</xm:f>
            <x14:dxf>
              <font>
                <color theme="6" tint="-0.499984740745262"/>
              </font>
              <fill>
                <patternFill>
                  <bgColor theme="9" tint="0.79998168889431442"/>
                </patternFill>
              </fill>
            </x14:dxf>
          </x14:cfRule>
          <x14:cfRule type="expression" priority="2" id="{97222774-1503-401D-BE85-8E7E94D3470D}">
            <xm:f>AND($I101&lt;0.1,$E101=Lists!$H$3)</xm:f>
            <x14:dxf>
              <font>
                <color rgb="FFC00000"/>
              </font>
              <fill>
                <patternFill>
                  <bgColor theme="5" tint="0.79998168889431442"/>
                </patternFill>
              </fill>
            </x14:dxf>
          </x14:cfRule>
          <xm:sqref>I101:I113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FDEC-9CAE-4639-932B-39B7935F3969}">
  <sheetPr>
    <tabColor theme="3" tint="9.9978637043366805E-2"/>
  </sheetPr>
  <dimension ref="B1:R75"/>
  <sheetViews>
    <sheetView tabSelected="1" topLeftCell="A36" zoomScale="110" zoomScaleNormal="110" workbookViewId="0">
      <selection activeCell="I78" sqref="I78"/>
    </sheetView>
  </sheetViews>
  <sheetFormatPr defaultColWidth="12.77734375" defaultRowHeight="13.8" x14ac:dyDescent="0.3"/>
  <cols>
    <col min="1" max="1" width="2.44140625" style="801" customWidth="1"/>
    <col min="2" max="2" width="33.44140625" style="801" bestFit="1" customWidth="1"/>
    <col min="3" max="11" width="15.77734375" style="801" customWidth="1"/>
    <col min="12" max="16384" width="12.77734375" style="801"/>
  </cols>
  <sheetData>
    <row r="1" spans="2:18" ht="14.4" thickBot="1" x14ac:dyDescent="0.35"/>
    <row r="2" spans="2:18" x14ac:dyDescent="0.3">
      <c r="B2" s="1240" t="s">
        <v>309</v>
      </c>
      <c r="C2" s="1241"/>
      <c r="D2" s="1241"/>
      <c r="E2" s="1241"/>
      <c r="F2" s="1241"/>
      <c r="G2" s="1241"/>
      <c r="H2" s="1241"/>
      <c r="I2" s="1241"/>
      <c r="J2" s="1242"/>
    </row>
    <row r="3" spans="2:18" x14ac:dyDescent="0.3">
      <c r="B3" s="968"/>
      <c r="C3" s="969" t="str">
        <f>Summary!C6</f>
        <v>Borrower</v>
      </c>
      <c r="D3" s="969" t="str">
        <f>Summary!D6</f>
        <v>T Bank</v>
      </c>
      <c r="E3" s="969" t="str">
        <f>Summary!E6</f>
        <v>T Bank</v>
      </c>
      <c r="F3" s="969" t="str">
        <f>Summary!F6</f>
        <v>T Bank</v>
      </c>
      <c r="G3" s="969" t="str">
        <f>Summary!G6</f>
        <v>Seller</v>
      </c>
      <c r="H3" s="969" t="str">
        <f>Summary!H6</f>
        <v>CDC</v>
      </c>
      <c r="I3" s="969" t="str">
        <f>Summary!I6</f>
        <v>N/A</v>
      </c>
      <c r="J3" s="969" t="str">
        <f>Summary!J6</f>
        <v>N/A</v>
      </c>
      <c r="K3" s="971"/>
    </row>
    <row r="4" spans="2:18" x14ac:dyDescent="0.3">
      <c r="B4" s="1001" t="str">
        <f>Summary!B7</f>
        <v>Financing Type</v>
      </c>
      <c r="C4" s="973" t="str">
        <f>Summary!C7</f>
        <v>Equity</v>
      </c>
      <c r="D4" s="973" t="str">
        <f>Summary!D7</f>
        <v>SBA 7(a)</v>
      </c>
      <c r="E4" s="973" t="str">
        <f>Summary!E7</f>
        <v>SBA 7(a)</v>
      </c>
      <c r="F4" s="973" t="str">
        <f>Summary!F7</f>
        <v>SBA 504</v>
      </c>
      <c r="G4" s="973" t="str">
        <f>Summary!G7</f>
        <v>Seller Note</v>
      </c>
      <c r="H4" s="973" t="str">
        <f>Summary!H7</f>
        <v>Debenture</v>
      </c>
      <c r="I4" s="973" t="str">
        <f>Summary!I7</f>
        <v>N/A</v>
      </c>
      <c r="J4" s="974" t="str">
        <f>Summary!J7</f>
        <v>N/A</v>
      </c>
    </row>
    <row r="5" spans="2:18" x14ac:dyDescent="0.3">
      <c r="B5" s="1001" t="str">
        <f>Summary!B8</f>
        <v>Guarantee %</v>
      </c>
      <c r="C5" s="973" t="str">
        <f>Summary!C8</f>
        <v>N/A</v>
      </c>
      <c r="D5" s="973">
        <f>Summary!D8</f>
        <v>0.75</v>
      </c>
      <c r="E5" s="973">
        <f>Summary!E8</f>
        <v>0.75</v>
      </c>
      <c r="F5" s="973" t="str">
        <f>Summary!F8</f>
        <v>N/A</v>
      </c>
      <c r="G5" s="973" t="str">
        <f>Summary!G8</f>
        <v>N/A</v>
      </c>
      <c r="H5" s="973" t="str">
        <f>Summary!H8</f>
        <v>N/A</v>
      </c>
      <c r="I5" s="973" t="str">
        <f>Summary!I8</f>
        <v>N/A</v>
      </c>
      <c r="J5" s="974" t="str">
        <f>Summary!J8</f>
        <v>N/A</v>
      </c>
    </row>
    <row r="6" spans="2:18" x14ac:dyDescent="0.3">
      <c r="B6" s="1001" t="str">
        <f>Summary!B9</f>
        <v>Amount</v>
      </c>
      <c r="C6" s="973">
        <f>Summary!C9</f>
        <v>1571792</v>
      </c>
      <c r="D6" s="973">
        <f>Summary!D9</f>
        <v>612591</v>
      </c>
      <c r="E6" s="973">
        <f>Summary!E9</f>
        <v>2746607</v>
      </c>
      <c r="F6" s="973">
        <f>Summary!F9</f>
        <v>1350000</v>
      </c>
      <c r="G6" s="973">
        <f>Summary!G9</f>
        <v>320000</v>
      </c>
      <c r="H6" s="973">
        <f>Summary!H9</f>
        <v>1871935</v>
      </c>
      <c r="I6" s="973">
        <f>Summary!I9</f>
        <v>0</v>
      </c>
      <c r="J6" s="974">
        <f>Summary!J9</f>
        <v>0</v>
      </c>
    </row>
    <row r="7" spans="2:18" x14ac:dyDescent="0.3">
      <c r="B7" s="1001" t="str">
        <f>Summary!B10</f>
        <v>Rate Type</v>
      </c>
      <c r="C7" s="973" t="str">
        <f>Summary!C10</f>
        <v>N/A</v>
      </c>
      <c r="D7" s="973" t="str">
        <f>Summary!D10</f>
        <v>Variable</v>
      </c>
      <c r="E7" s="973" t="str">
        <f>Summary!E10</f>
        <v>Fixed</v>
      </c>
      <c r="F7" s="973" t="str">
        <f>Summary!F10</f>
        <v>Variable</v>
      </c>
      <c r="G7" s="973" t="str">
        <f>Summary!G10</f>
        <v>Fixed</v>
      </c>
      <c r="H7" s="973" t="str">
        <f>Summary!H10</f>
        <v>Variable</v>
      </c>
      <c r="I7" s="973" t="str">
        <f>Summary!I10</f>
        <v>N/A</v>
      </c>
      <c r="J7" s="974" t="str">
        <f>Summary!J10</f>
        <v>N/A</v>
      </c>
    </row>
    <row r="8" spans="2:18" x14ac:dyDescent="0.3">
      <c r="B8" s="1001" t="str">
        <f>Summary!B11</f>
        <v>Term Yrs</v>
      </c>
      <c r="C8" s="973" t="str">
        <f>Summary!C11</f>
        <v>N/A</v>
      </c>
      <c r="D8" s="973">
        <f>Summary!D11</f>
        <v>10</v>
      </c>
      <c r="E8" s="973">
        <f>Summary!E11</f>
        <v>10</v>
      </c>
      <c r="F8" s="973">
        <f>Summary!F11</f>
        <v>10</v>
      </c>
      <c r="G8" s="973">
        <f>Summary!G11</f>
        <v>7</v>
      </c>
      <c r="H8" s="973">
        <f>Summary!H11</f>
        <v>3</v>
      </c>
      <c r="I8" s="973" t="str">
        <f>Summary!I11</f>
        <v>N/A</v>
      </c>
      <c r="J8" s="974" t="str">
        <f>Summary!J11</f>
        <v>N/A</v>
      </c>
    </row>
    <row r="9" spans="2:18" x14ac:dyDescent="0.3">
      <c r="B9" s="1001" t="str">
        <f>Summary!B12</f>
        <v>Amortization (Months)</v>
      </c>
      <c r="C9" s="973" t="str">
        <f>Summary!C12</f>
        <v>N/A</v>
      </c>
      <c r="D9" s="973">
        <f>Summary!D12</f>
        <v>120</v>
      </c>
      <c r="E9" s="973">
        <f>Summary!E12</f>
        <v>120</v>
      </c>
      <c r="F9" s="973">
        <f>Summary!F12</f>
        <v>120</v>
      </c>
      <c r="G9" s="973">
        <f>Summary!G12</f>
        <v>84</v>
      </c>
      <c r="H9" s="973">
        <f>Summary!H12</f>
        <v>36</v>
      </c>
      <c r="I9" s="973" t="str">
        <f>Summary!I12</f>
        <v>N/A</v>
      </c>
      <c r="J9" s="974" t="str">
        <f>Summary!J12</f>
        <v>N/A</v>
      </c>
    </row>
    <row r="10" spans="2:18" x14ac:dyDescent="0.3">
      <c r="B10" s="1001" t="str">
        <f>Summary!B13</f>
        <v>Base Rate</v>
      </c>
      <c r="C10" s="1006" t="str">
        <f>Summary!C13</f>
        <v>N/A</v>
      </c>
      <c r="D10" s="1006">
        <f>Summary!D13</f>
        <v>6.7500000000000004E-2</v>
      </c>
      <c r="E10" s="1006">
        <f>Summary!E13</f>
        <v>5.9400000000000001E-2</v>
      </c>
      <c r="F10" s="1006">
        <f>Summary!F13</f>
        <v>6.7500000000000004E-2</v>
      </c>
      <c r="G10" s="1006">
        <f>Summary!G13</f>
        <v>0.05</v>
      </c>
      <c r="H10" s="1006">
        <f>Summary!H13</f>
        <v>0.05</v>
      </c>
      <c r="I10" s="1006" t="str">
        <f>Summary!I13</f>
        <v>N/A</v>
      </c>
      <c r="J10" s="1005" t="str">
        <f>Summary!J13</f>
        <v>N/A</v>
      </c>
      <c r="R10" s="975"/>
    </row>
    <row r="11" spans="2:18" x14ac:dyDescent="0.3">
      <c r="B11" s="1001" t="str">
        <f>Summary!B14</f>
        <v>Spread</v>
      </c>
      <c r="C11" s="1006" t="str">
        <f>Summary!C14</f>
        <v>N/A</v>
      </c>
      <c r="D11" s="1006">
        <f>Summary!D14</f>
        <v>1.4999999999999999E-2</v>
      </c>
      <c r="E11" s="1006">
        <f>Summary!E14</f>
        <v>0</v>
      </c>
      <c r="F11" s="1006">
        <f>Summary!F14</f>
        <v>2.75E-2</v>
      </c>
      <c r="G11" s="1006">
        <f>Summary!G14</f>
        <v>0</v>
      </c>
      <c r="H11" s="1006">
        <f>Summary!H14</f>
        <v>0.01</v>
      </c>
      <c r="I11" s="1006" t="str">
        <f>Summary!I14</f>
        <v>N/A</v>
      </c>
      <c r="J11" s="1005" t="str">
        <f>Summary!J14</f>
        <v>N/A</v>
      </c>
      <c r="R11" s="975"/>
    </row>
    <row r="12" spans="2:18" ht="14.4" thickBot="1" x14ac:dyDescent="0.35">
      <c r="B12" s="1002" t="str">
        <f>Summary!B15</f>
        <v>Total Rate</v>
      </c>
      <c r="C12" s="977" t="str">
        <f>Summary!C15</f>
        <v>N/A</v>
      </c>
      <c r="D12" s="977">
        <f>Summary!D15</f>
        <v>8.2500000000000004E-2</v>
      </c>
      <c r="E12" s="977">
        <f>Summary!E15</f>
        <v>5.9400000000000001E-2</v>
      </c>
      <c r="F12" s="977">
        <f>Summary!F15</f>
        <v>9.5000000000000001E-2</v>
      </c>
      <c r="G12" s="977">
        <f>Summary!G15</f>
        <v>0.05</v>
      </c>
      <c r="H12" s="977">
        <f>Summary!H15</f>
        <v>6.0000000000000005E-2</v>
      </c>
      <c r="I12" s="977" t="str">
        <f>Summary!I15</f>
        <v>N/A</v>
      </c>
      <c r="J12" s="978" t="str">
        <f>Summary!J15</f>
        <v>N/A</v>
      </c>
      <c r="R12" s="975"/>
    </row>
    <row r="13" spans="2:18" ht="14.4" thickBot="1" x14ac:dyDescent="0.35">
      <c r="B13" s="979"/>
      <c r="C13" s="979"/>
      <c r="D13" s="979"/>
      <c r="E13" s="979"/>
      <c r="F13" s="979"/>
      <c r="G13" s="979"/>
      <c r="H13" s="979"/>
      <c r="I13" s="979"/>
      <c r="J13" s="979"/>
      <c r="R13" s="975"/>
    </row>
    <row r="14" spans="2:18" x14ac:dyDescent="0.3">
      <c r="B14" s="1240" t="s">
        <v>49</v>
      </c>
      <c r="C14" s="1241"/>
      <c r="D14" s="1241"/>
      <c r="E14" s="1241"/>
      <c r="F14" s="1241"/>
      <c r="G14" s="1241"/>
      <c r="H14" s="1241"/>
      <c r="I14" s="1241"/>
      <c r="J14" s="1241"/>
      <c r="K14" s="1242"/>
      <c r="R14" s="975"/>
    </row>
    <row r="15" spans="2:18" x14ac:dyDescent="0.3">
      <c r="B15" s="968"/>
      <c r="C15" s="969" t="str">
        <f>Summary!C19</f>
        <v>Equity</v>
      </c>
      <c r="D15" s="969" t="str">
        <f>Summary!D19</f>
        <v>SBA 7(a)</v>
      </c>
      <c r="E15" s="969" t="str">
        <f>Summary!E19</f>
        <v>SBA 7(a)</v>
      </c>
      <c r="F15" s="969" t="str">
        <f>Summary!F19</f>
        <v>SBA 504</v>
      </c>
      <c r="G15" s="969" t="str">
        <f>Summary!G19</f>
        <v>Seller Note</v>
      </c>
      <c r="H15" s="969" t="str">
        <f>Summary!H19</f>
        <v>Debenture</v>
      </c>
      <c r="I15" s="969" t="str">
        <f>Summary!I19</f>
        <v>N/A</v>
      </c>
      <c r="J15" s="969" t="str">
        <f>Summary!J19</f>
        <v>N/A</v>
      </c>
      <c r="K15" s="970" t="str">
        <f>Summary!K19</f>
        <v>Total</v>
      </c>
      <c r="R15" s="975"/>
    </row>
    <row r="16" spans="2:18" x14ac:dyDescent="0.3">
      <c r="B16" s="1003" t="str">
        <f>Summary!B20</f>
        <v>Real Estate Acquisition</v>
      </c>
      <c r="C16" s="980">
        <f>Summary!C20</f>
        <v>0</v>
      </c>
      <c r="D16" s="980">
        <f>Summary!D20</f>
        <v>0</v>
      </c>
      <c r="E16" s="980">
        <f>Summary!E20</f>
        <v>0</v>
      </c>
      <c r="F16" s="980">
        <f>Summary!F20</f>
        <v>0</v>
      </c>
      <c r="G16" s="980">
        <f>Summary!G20</f>
        <v>0</v>
      </c>
      <c r="H16" s="980">
        <f>Summary!H20</f>
        <v>0</v>
      </c>
      <c r="I16" s="980">
        <f>Summary!I20</f>
        <v>0</v>
      </c>
      <c r="J16" s="980">
        <f>Summary!J20</f>
        <v>0</v>
      </c>
      <c r="K16" s="981">
        <f>Summary!K20</f>
        <v>0</v>
      </c>
      <c r="R16" s="975"/>
    </row>
    <row r="17" spans="2:18" x14ac:dyDescent="0.3">
      <c r="B17" s="1003" t="str">
        <f>Summary!B21</f>
        <v>Debt Refi - CRE</v>
      </c>
      <c r="C17" s="980">
        <f>Summary!C21</f>
        <v>0</v>
      </c>
      <c r="D17" s="980">
        <f>Summary!D21</f>
        <v>0</v>
      </c>
      <c r="E17" s="980">
        <f>Summary!E21</f>
        <v>0</v>
      </c>
      <c r="F17" s="980">
        <f>Summary!F21</f>
        <v>0</v>
      </c>
      <c r="G17" s="980">
        <f>Summary!G21</f>
        <v>0</v>
      </c>
      <c r="H17" s="980">
        <f>Summary!H21</f>
        <v>0</v>
      </c>
      <c r="I17" s="980">
        <f>Summary!I21</f>
        <v>0</v>
      </c>
      <c r="J17" s="980">
        <f>Summary!J21</f>
        <v>0</v>
      </c>
      <c r="K17" s="981">
        <f>Summary!K21</f>
        <v>0</v>
      </c>
      <c r="R17" s="975"/>
    </row>
    <row r="18" spans="2:18" x14ac:dyDescent="0.3">
      <c r="B18" s="1003" t="str">
        <f>Summary!B22</f>
        <v>Debt Refi - Non-CRE</v>
      </c>
      <c r="C18" s="980">
        <f>Summary!C22</f>
        <v>0</v>
      </c>
      <c r="D18" s="980">
        <f>Summary!D22</f>
        <v>0</v>
      </c>
      <c r="E18" s="980">
        <f>Summary!E22</f>
        <v>0</v>
      </c>
      <c r="F18" s="980">
        <f>Summary!F22</f>
        <v>0</v>
      </c>
      <c r="G18" s="980">
        <f>Summary!G22</f>
        <v>0</v>
      </c>
      <c r="H18" s="980">
        <f>Summary!H22</f>
        <v>0</v>
      </c>
      <c r="I18" s="980">
        <f>Summary!I22</f>
        <v>0</v>
      </c>
      <c r="J18" s="980">
        <f>Summary!J22</f>
        <v>0</v>
      </c>
      <c r="K18" s="981">
        <f>Summary!K22</f>
        <v>0</v>
      </c>
    </row>
    <row r="19" spans="2:18" x14ac:dyDescent="0.3">
      <c r="B19" s="1003" t="str">
        <f>Summary!B23</f>
        <v>Machinery &amp; Equipment</v>
      </c>
      <c r="C19" s="980">
        <f>Summary!C23</f>
        <v>366285</v>
      </c>
      <c r="D19" s="980">
        <f>Summary!D23</f>
        <v>0</v>
      </c>
      <c r="E19" s="980">
        <f>Summary!E23</f>
        <v>0</v>
      </c>
      <c r="F19" s="980">
        <f>Summary!F23</f>
        <v>0</v>
      </c>
      <c r="G19" s="980">
        <f>Summary!G23</f>
        <v>0</v>
      </c>
      <c r="H19" s="980">
        <f>Summary!H23</f>
        <v>0</v>
      </c>
      <c r="I19" s="980">
        <f>Summary!I23</f>
        <v>0</v>
      </c>
      <c r="J19" s="980">
        <f>Summary!J23</f>
        <v>0</v>
      </c>
      <c r="K19" s="981">
        <f>Summary!K23</f>
        <v>366285</v>
      </c>
    </row>
    <row r="20" spans="2:18" x14ac:dyDescent="0.3">
      <c r="B20" s="1003" t="str">
        <f>Summary!B24</f>
        <v>Furniture &amp; Fixtures</v>
      </c>
      <c r="C20" s="980">
        <f>Summary!C24</f>
        <v>0</v>
      </c>
      <c r="D20" s="980">
        <f>Summary!D24</f>
        <v>0</v>
      </c>
      <c r="E20" s="980">
        <f>Summary!E24</f>
        <v>600000</v>
      </c>
      <c r="F20" s="980">
        <f>Summary!F24</f>
        <v>0</v>
      </c>
      <c r="G20" s="980">
        <f>Summary!G24</f>
        <v>0</v>
      </c>
      <c r="H20" s="980">
        <f>Summary!H24</f>
        <v>0</v>
      </c>
      <c r="I20" s="980">
        <f>Summary!I24</f>
        <v>0</v>
      </c>
      <c r="J20" s="980">
        <f>Summary!J24</f>
        <v>0</v>
      </c>
      <c r="K20" s="981">
        <f>Summary!K24</f>
        <v>600000</v>
      </c>
    </row>
    <row r="21" spans="2:18" x14ac:dyDescent="0.3">
      <c r="B21" s="1003" t="str">
        <f>Summary!B25</f>
        <v>Inventory</v>
      </c>
      <c r="C21" s="980">
        <f>Summary!C25</f>
        <v>0</v>
      </c>
      <c r="D21" s="980">
        <f>Summary!D25</f>
        <v>0</v>
      </c>
      <c r="E21" s="980">
        <f>Summary!E25</f>
        <v>0</v>
      </c>
      <c r="F21" s="980">
        <f>Summary!F25</f>
        <v>0</v>
      </c>
      <c r="G21" s="980">
        <f>Summary!G25</f>
        <v>0</v>
      </c>
      <c r="H21" s="980">
        <f>Summary!H25</f>
        <v>0</v>
      </c>
      <c r="I21" s="980">
        <f>Summary!I25</f>
        <v>0</v>
      </c>
      <c r="J21" s="980">
        <f>Summary!J25</f>
        <v>0</v>
      </c>
      <c r="K21" s="981">
        <f>Summary!K25</f>
        <v>0</v>
      </c>
    </row>
    <row r="22" spans="2:18" x14ac:dyDescent="0.3">
      <c r="B22" s="1003" t="str">
        <f>Summary!B26</f>
        <v>Working Capital</v>
      </c>
      <c r="C22" s="980">
        <f>Summary!C26</f>
        <v>573500</v>
      </c>
      <c r="D22" s="980">
        <f>Summary!D26</f>
        <v>0</v>
      </c>
      <c r="E22" s="980">
        <f>Summary!E26</f>
        <v>0</v>
      </c>
      <c r="F22" s="980">
        <f>Summary!F26</f>
        <v>0</v>
      </c>
      <c r="G22" s="980">
        <f>Summary!G26</f>
        <v>0</v>
      </c>
      <c r="H22" s="980">
        <f>Summary!H26</f>
        <v>0</v>
      </c>
      <c r="I22" s="980">
        <f>Summary!I26</f>
        <v>0</v>
      </c>
      <c r="J22" s="980">
        <f>Summary!J26</f>
        <v>0</v>
      </c>
      <c r="K22" s="981">
        <f>Summary!K26</f>
        <v>573500</v>
      </c>
    </row>
    <row r="23" spans="2:18" x14ac:dyDescent="0.3">
      <c r="B23" s="1003" t="str">
        <f>Summary!B27</f>
        <v>Working Capital - Pre Opening</v>
      </c>
      <c r="C23" s="980">
        <f>Summary!C27</f>
        <v>77000</v>
      </c>
      <c r="D23" s="980">
        <f>Summary!D27</f>
        <v>0</v>
      </c>
      <c r="E23" s="980">
        <f>Summary!E27</f>
        <v>0</v>
      </c>
      <c r="F23" s="980">
        <f>Summary!F27</f>
        <v>0</v>
      </c>
      <c r="G23" s="980">
        <f>Summary!G27</f>
        <v>0</v>
      </c>
      <c r="H23" s="980">
        <f>Summary!H27</f>
        <v>0</v>
      </c>
      <c r="I23" s="980">
        <f>Summary!I27</f>
        <v>0</v>
      </c>
      <c r="J23" s="980">
        <f>Summary!J27</f>
        <v>0</v>
      </c>
      <c r="K23" s="981">
        <f>Summary!K27</f>
        <v>77000</v>
      </c>
    </row>
    <row r="24" spans="2:18" x14ac:dyDescent="0.3">
      <c r="B24" s="1003" t="str">
        <f>Summary!B28</f>
        <v>Business Acquisition</v>
      </c>
      <c r="C24" s="980">
        <f>Summary!C28</f>
        <v>225000</v>
      </c>
      <c r="D24" s="980">
        <f>Summary!D28</f>
        <v>324000</v>
      </c>
      <c r="E24" s="980">
        <f>Summary!E28</f>
        <v>0</v>
      </c>
      <c r="F24" s="980">
        <f>Summary!F28</f>
        <v>1350000</v>
      </c>
      <c r="G24" s="980">
        <f>Summary!G28</f>
        <v>320000</v>
      </c>
      <c r="H24" s="980">
        <f>Summary!H28</f>
        <v>0</v>
      </c>
      <c r="I24" s="980">
        <f>Summary!I28</f>
        <v>0</v>
      </c>
      <c r="J24" s="980">
        <f>Summary!J28</f>
        <v>0</v>
      </c>
      <c r="K24" s="981">
        <f>Summary!K28</f>
        <v>2219000</v>
      </c>
    </row>
    <row r="25" spans="2:18" x14ac:dyDescent="0.3">
      <c r="B25" s="1003" t="str">
        <f>Summary!B29</f>
        <v>Franchise Fees</v>
      </c>
      <c r="C25" s="980">
        <f>Summary!C29</f>
        <v>0</v>
      </c>
      <c r="D25" s="980">
        <f>Summary!D29</f>
        <v>0</v>
      </c>
      <c r="E25" s="980">
        <f>Summary!E29</f>
        <v>0</v>
      </c>
      <c r="F25" s="980">
        <f>Summary!F29</f>
        <v>0</v>
      </c>
      <c r="G25" s="980">
        <f>Summary!G29</f>
        <v>0</v>
      </c>
      <c r="H25" s="980">
        <f>Summary!H29</f>
        <v>0</v>
      </c>
      <c r="I25" s="980">
        <f>Summary!I29</f>
        <v>0</v>
      </c>
      <c r="J25" s="980">
        <f>Summary!J29</f>
        <v>0</v>
      </c>
      <c r="K25" s="981">
        <f>Summary!K29</f>
        <v>0</v>
      </c>
    </row>
    <row r="26" spans="2:18" x14ac:dyDescent="0.3">
      <c r="B26" s="1003" t="str">
        <f>Summary!B30</f>
        <v>Construction Hard Costs</v>
      </c>
      <c r="C26" s="980">
        <f>Summary!C30</f>
        <v>276207</v>
      </c>
      <c r="D26" s="980">
        <f>Summary!D30</f>
        <v>0</v>
      </c>
      <c r="E26" s="980">
        <f>Summary!E30</f>
        <v>1951858</v>
      </c>
      <c r="F26" s="980">
        <f>Summary!F30</f>
        <v>0</v>
      </c>
      <c r="G26" s="980">
        <f>Summary!G30</f>
        <v>0</v>
      </c>
      <c r="H26" s="980">
        <f>Summary!H30</f>
        <v>1871935</v>
      </c>
      <c r="I26" s="980">
        <f>Summary!I30</f>
        <v>0</v>
      </c>
      <c r="J26" s="980">
        <f>Summary!J30</f>
        <v>0</v>
      </c>
      <c r="K26" s="981">
        <f>Summary!K30</f>
        <v>4100000</v>
      </c>
    </row>
    <row r="27" spans="2:18" x14ac:dyDescent="0.3">
      <c r="B27" s="1003" t="str">
        <f>Summary!B31</f>
        <v>Construction Contingency - 10%</v>
      </c>
      <c r="C27" s="980">
        <f>Summary!C31</f>
        <v>0</v>
      </c>
      <c r="D27" s="980">
        <f>Summary!D31</f>
        <v>222807</v>
      </c>
      <c r="E27" s="980">
        <f>Summary!E31</f>
        <v>0</v>
      </c>
      <c r="F27" s="980">
        <f>Summary!F31</f>
        <v>0</v>
      </c>
      <c r="G27" s="980">
        <f>Summary!G31</f>
        <v>0</v>
      </c>
      <c r="H27" s="980">
        <f>Summary!H31</f>
        <v>0</v>
      </c>
      <c r="I27" s="980">
        <f>Summary!I31</f>
        <v>0</v>
      </c>
      <c r="J27" s="980">
        <f>Summary!J31</f>
        <v>0</v>
      </c>
      <c r="K27" s="981">
        <f>Summary!K31</f>
        <v>222807</v>
      </c>
    </row>
    <row r="28" spans="2:18" x14ac:dyDescent="0.3">
      <c r="B28" s="1003" t="str">
        <f>Summary!B32</f>
        <v>Interest Reserve - 3 Mos</v>
      </c>
      <c r="C28" s="980">
        <f>Summary!C32</f>
        <v>0</v>
      </c>
      <c r="D28" s="980">
        <f>Summary!D32</f>
        <v>0</v>
      </c>
      <c r="E28" s="980">
        <f>Summary!E32</f>
        <v>0</v>
      </c>
      <c r="F28" s="980">
        <f>Summary!F32</f>
        <v>0</v>
      </c>
      <c r="G28" s="980">
        <f>Summary!G32</f>
        <v>0</v>
      </c>
      <c r="H28" s="980">
        <f>Summary!H32</f>
        <v>0</v>
      </c>
      <c r="I28" s="980">
        <f>Summary!I32</f>
        <v>0</v>
      </c>
      <c r="J28" s="980">
        <f>Summary!J32</f>
        <v>0</v>
      </c>
      <c r="K28" s="981">
        <f>Summary!K32</f>
        <v>0</v>
      </c>
    </row>
    <row r="29" spans="2:18" x14ac:dyDescent="0.3">
      <c r="B29" s="1003" t="str">
        <f>Summary!B33</f>
        <v>Construction Soft Costs</v>
      </c>
      <c r="C29" s="980">
        <f>Summary!C33</f>
        <v>53800</v>
      </c>
      <c r="D29" s="980">
        <f>Summary!D33</f>
        <v>0</v>
      </c>
      <c r="E29" s="980">
        <f>Summary!E33</f>
        <v>120000</v>
      </c>
      <c r="F29" s="980">
        <f>Summary!F33</f>
        <v>0</v>
      </c>
      <c r="G29" s="980">
        <f>Summary!G33</f>
        <v>0</v>
      </c>
      <c r="H29" s="980">
        <f>Summary!H33</f>
        <v>0</v>
      </c>
      <c r="I29" s="980">
        <f>Summary!I33</f>
        <v>0</v>
      </c>
      <c r="J29" s="980">
        <f>Summary!J33</f>
        <v>0</v>
      </c>
      <c r="K29" s="981">
        <f>Summary!K33</f>
        <v>173800</v>
      </c>
    </row>
    <row r="30" spans="2:18" x14ac:dyDescent="0.3">
      <c r="B30" s="1003" t="str">
        <f>Summary!B34</f>
        <v>Closing Costs</v>
      </c>
      <c r="C30" s="980">
        <f>Summary!C34</f>
        <v>0</v>
      </c>
      <c r="D30" s="980">
        <f>Summary!D34</f>
        <v>52000</v>
      </c>
      <c r="E30" s="980">
        <f>Summary!E34</f>
        <v>0</v>
      </c>
      <c r="F30" s="980">
        <f>Summary!F34</f>
        <v>0</v>
      </c>
      <c r="G30" s="980">
        <f>Summary!G34</f>
        <v>0</v>
      </c>
      <c r="H30" s="980">
        <f>Summary!H34</f>
        <v>0</v>
      </c>
      <c r="I30" s="980">
        <f>Summary!I34</f>
        <v>0</v>
      </c>
      <c r="J30" s="980">
        <f>Summary!J34</f>
        <v>0</v>
      </c>
      <c r="K30" s="981">
        <f>Summary!K34</f>
        <v>52000</v>
      </c>
    </row>
    <row r="31" spans="2:18" x14ac:dyDescent="0.3">
      <c r="B31" s="1003" t="str">
        <f>Summary!B35</f>
        <v>SBA Gty Fee</v>
      </c>
      <c r="C31" s="980">
        <f>Summary!C35</f>
        <v>0</v>
      </c>
      <c r="D31" s="980">
        <f>Summary!D35</f>
        <v>13784</v>
      </c>
      <c r="E31" s="980">
        <f>Summary!E35</f>
        <v>74749</v>
      </c>
      <c r="F31" s="980">
        <f>Summary!F35</f>
        <v>0</v>
      </c>
      <c r="G31" s="980">
        <f>Summary!G35</f>
        <v>0</v>
      </c>
      <c r="H31" s="980">
        <f>Summary!H35</f>
        <v>0</v>
      </c>
      <c r="I31" s="980">
        <f>Summary!I35</f>
        <v>0</v>
      </c>
      <c r="J31" s="980">
        <f>Summary!J35</f>
        <v>0</v>
      </c>
      <c r="K31" s="981">
        <f>Summary!K35</f>
        <v>88533</v>
      </c>
    </row>
    <row r="32" spans="2:18" x14ac:dyDescent="0.3">
      <c r="B32" s="1003" t="str">
        <f>Summary!B36</f>
        <v>USDA Gty Fee</v>
      </c>
      <c r="C32" s="980">
        <f>Summary!C36</f>
        <v>0</v>
      </c>
      <c r="D32" s="980">
        <f>Summary!D36</f>
        <v>0</v>
      </c>
      <c r="E32" s="980">
        <f>Summary!E36</f>
        <v>0</v>
      </c>
      <c r="F32" s="980">
        <f>Summary!F36</f>
        <v>0</v>
      </c>
      <c r="G32" s="980">
        <f>Summary!G36</f>
        <v>0</v>
      </c>
      <c r="H32" s="980">
        <f>Summary!H36</f>
        <v>0</v>
      </c>
      <c r="I32" s="980">
        <f>Summary!I36</f>
        <v>0</v>
      </c>
      <c r="J32" s="980">
        <f>Summary!J36</f>
        <v>0</v>
      </c>
      <c r="K32" s="981">
        <f>Summary!K36</f>
        <v>0</v>
      </c>
    </row>
    <row r="33" spans="2:11" x14ac:dyDescent="0.3">
      <c r="B33" s="1003" t="str">
        <f>Summary!B37</f>
        <v>Total</v>
      </c>
      <c r="C33" s="980">
        <f>Summary!C37</f>
        <v>1571792</v>
      </c>
      <c r="D33" s="980">
        <f>Summary!D37</f>
        <v>612591</v>
      </c>
      <c r="E33" s="980">
        <f>Summary!E37</f>
        <v>2746607</v>
      </c>
      <c r="F33" s="980">
        <f>Summary!F37</f>
        <v>1350000</v>
      </c>
      <c r="G33" s="980">
        <f>Summary!G37</f>
        <v>320000</v>
      </c>
      <c r="H33" s="980">
        <f>Summary!H37</f>
        <v>1871935</v>
      </c>
      <c r="I33" s="980">
        <f>Summary!I37</f>
        <v>0</v>
      </c>
      <c r="J33" s="980">
        <f>Summary!J37</f>
        <v>0</v>
      </c>
      <c r="K33" s="981">
        <f>Summary!K37</f>
        <v>8472925</v>
      </c>
    </row>
    <row r="34" spans="2:11" ht="14.4" thickBot="1" x14ac:dyDescent="0.35">
      <c r="B34" s="1004" t="str">
        <f>Summary!B38</f>
        <v>Percentage of Project</v>
      </c>
      <c r="C34" s="982">
        <f>Summary!C38</f>
        <v>0.18550760215628015</v>
      </c>
      <c r="D34" s="982">
        <f>Summary!D38</f>
        <v>7.229982562102226E-2</v>
      </c>
      <c r="E34" s="982">
        <f>Summary!E38</f>
        <v>0.32416278911945995</v>
      </c>
      <c r="F34" s="982">
        <f>Summary!F38</f>
        <v>0.15933104565424572</v>
      </c>
      <c r="G34" s="982">
        <f>Summary!G38</f>
        <v>3.7767358969895283E-2</v>
      </c>
      <c r="H34" s="982">
        <f>Summary!H38</f>
        <v>0.22093137847909666</v>
      </c>
      <c r="I34" s="982">
        <f>Summary!I38</f>
        <v>0</v>
      </c>
      <c r="J34" s="982">
        <f>Summary!J38</f>
        <v>0</v>
      </c>
      <c r="K34" s="983">
        <f>Summary!K38</f>
        <v>1</v>
      </c>
    </row>
    <row r="35" spans="2:11" ht="14.4" thickBot="1" x14ac:dyDescent="0.35">
      <c r="B35" s="984"/>
      <c r="C35" s="985"/>
      <c r="D35" s="985"/>
      <c r="E35" s="985"/>
      <c r="F35" s="985"/>
      <c r="G35" s="985"/>
      <c r="H35" s="985"/>
      <c r="I35" s="985"/>
      <c r="J35" s="986"/>
    </row>
    <row r="36" spans="2:11" x14ac:dyDescent="0.3">
      <c r="B36" s="1240" t="s">
        <v>126</v>
      </c>
      <c r="C36" s="1241"/>
      <c r="D36" s="1241"/>
      <c r="E36" s="1241"/>
      <c r="F36" s="1242"/>
      <c r="G36" s="987"/>
      <c r="H36" s="987"/>
      <c r="I36" s="987"/>
      <c r="J36" s="987"/>
    </row>
    <row r="37" spans="2:11" x14ac:dyDescent="0.3">
      <c r="B37" s="988"/>
      <c r="C37" s="969" t="s">
        <v>321</v>
      </c>
      <c r="D37" s="969" t="s">
        <v>322</v>
      </c>
      <c r="E37" s="969" t="s">
        <v>323</v>
      </c>
      <c r="F37" s="970" t="s">
        <v>324</v>
      </c>
      <c r="G37" s="987"/>
      <c r="H37" s="987"/>
      <c r="I37" s="987"/>
      <c r="J37" s="987"/>
    </row>
    <row r="38" spans="2:11" x14ac:dyDescent="0.3">
      <c r="B38" s="972" t="s">
        <v>132</v>
      </c>
      <c r="C38" s="989">
        <f>'BDO Prequal'!D99</f>
        <v>45291</v>
      </c>
      <c r="D38" s="989">
        <f>'BDO Prequal'!F99</f>
        <v>45657</v>
      </c>
      <c r="E38" s="989">
        <f>'BDO Prequal'!H99</f>
        <v>46022</v>
      </c>
      <c r="F38" s="990">
        <f>'BDO Prequal'!J99</f>
        <v>46142</v>
      </c>
      <c r="G38" s="987"/>
      <c r="H38" s="987"/>
      <c r="I38" s="987"/>
      <c r="J38" s="987"/>
    </row>
    <row r="39" spans="2:11" x14ac:dyDescent="0.3">
      <c r="B39" s="972" t="s">
        <v>134</v>
      </c>
      <c r="C39" s="1007">
        <f>'BDO Prequal'!D100</f>
        <v>12</v>
      </c>
      <c r="D39" s="973">
        <f>'BDO Prequal'!F100</f>
        <v>12</v>
      </c>
      <c r="E39" s="973">
        <f>'BDO Prequal'!H100</f>
        <v>12</v>
      </c>
      <c r="F39" s="974">
        <f>'BDO Prequal'!J100</f>
        <v>4</v>
      </c>
      <c r="G39" s="987"/>
      <c r="H39" s="987"/>
      <c r="I39" s="987"/>
      <c r="J39" s="987"/>
    </row>
    <row r="40" spans="2:11" x14ac:dyDescent="0.3">
      <c r="B40" s="972" t="s">
        <v>325</v>
      </c>
      <c r="C40" s="973" t="str">
        <f>IF(OR('BDO Prequal'!D101="",'BDO Prequal'!D101=0),"",'BDO Prequal'!D101)</f>
        <v>Tax Returns</v>
      </c>
      <c r="D40" s="973" t="str">
        <f>IF(OR('BDO Prequal'!F101="",'BDO Prequal'!F101=0),"",'BDO Prequal'!F101)</f>
        <v>Tax Returns</v>
      </c>
      <c r="E40" s="973" t="str">
        <f>IF(OR('BDO Prequal'!H101="",'BDO Prequal'!H101=0),"",'BDO Prequal'!H101)</f>
        <v>Internal</v>
      </c>
      <c r="F40" s="974" t="str">
        <f>IF(OR('BDO Prequal'!J101="",'BDO Prequal'!J101=0),"",'BDO Prequal'!J101)</f>
        <v>Internal</v>
      </c>
      <c r="G40" s="987"/>
      <c r="H40" s="987"/>
      <c r="I40" s="987"/>
      <c r="J40" s="987"/>
    </row>
    <row r="41" spans="2:11" x14ac:dyDescent="0.3">
      <c r="B41" s="972" t="s">
        <v>326</v>
      </c>
      <c r="C41" s="989" t="str">
        <f>IF(OR('BDO Prequal'!D102="",'BDO Prequal'!D102=0),"",'BDO Prequal'!D102)</f>
        <v>Cash</v>
      </c>
      <c r="D41" s="989" t="str">
        <f>IF(OR('BDO Prequal'!F102="",'BDO Prequal'!F102=0),"",'BDO Prequal'!F102)</f>
        <v>Cash</v>
      </c>
      <c r="E41" s="989" t="str">
        <f>IF(OR('BDO Prequal'!H102="",'BDO Prequal'!H102=0),"",'BDO Prequal'!H102)</f>
        <v>Cash</v>
      </c>
      <c r="F41" s="990" t="str">
        <f>IF(OR('BDO Prequal'!J102="",'BDO Prequal'!J102=0),"",'BDO Prequal'!J102)</f>
        <v>Accrual</v>
      </c>
      <c r="G41" s="987"/>
      <c r="H41" s="987"/>
      <c r="I41" s="987"/>
      <c r="J41" s="987"/>
    </row>
    <row r="42" spans="2:11" x14ac:dyDescent="0.3">
      <c r="B42" s="1237" t="s">
        <v>327</v>
      </c>
      <c r="C42" s="1238"/>
      <c r="D42" s="1238"/>
      <c r="E42" s="1238"/>
      <c r="F42" s="1239"/>
      <c r="G42" s="987"/>
      <c r="H42" s="987"/>
      <c r="I42" s="987"/>
      <c r="J42" s="987"/>
    </row>
    <row r="43" spans="2:11" x14ac:dyDescent="0.3">
      <c r="B43" s="972" t="s">
        <v>328</v>
      </c>
      <c r="C43" s="991">
        <f>'BDO Prequal'!D104</f>
        <v>29649370</v>
      </c>
      <c r="D43" s="991">
        <f>'BDO Prequal'!F104</f>
        <v>43335889</v>
      </c>
      <c r="E43" s="991">
        <f>'BDO Prequal'!H104</f>
        <v>66978891</v>
      </c>
      <c r="F43" s="992">
        <f>'BDO Prequal'!J104</f>
        <v>31334920</v>
      </c>
      <c r="G43" s="987"/>
      <c r="H43" s="987"/>
      <c r="I43" s="987"/>
      <c r="J43" s="987"/>
    </row>
    <row r="44" spans="2:11" x14ac:dyDescent="0.3">
      <c r="B44" s="972" t="s">
        <v>329</v>
      </c>
      <c r="C44" s="991">
        <f>'BDO Prequal'!D105</f>
        <v>26862626</v>
      </c>
      <c r="D44" s="991">
        <f>'BDO Prequal'!F105</f>
        <v>39325395</v>
      </c>
      <c r="E44" s="991">
        <f>'BDO Prequal'!H105</f>
        <v>62627088</v>
      </c>
      <c r="F44" s="992">
        <f>'BDO Prequal'!J105</f>
        <v>27540075</v>
      </c>
      <c r="G44" s="987"/>
      <c r="H44" s="987"/>
      <c r="I44" s="987"/>
      <c r="J44" s="987"/>
    </row>
    <row r="45" spans="2:11" x14ac:dyDescent="0.3">
      <c r="B45" s="972" t="s">
        <v>330</v>
      </c>
      <c r="C45" s="991">
        <f>'BDO Prequal'!D106</f>
        <v>2786744</v>
      </c>
      <c r="D45" s="991">
        <f>'BDO Prequal'!F106</f>
        <v>4010494</v>
      </c>
      <c r="E45" s="991">
        <f>'BDO Prequal'!H106</f>
        <v>4351803</v>
      </c>
      <c r="F45" s="992">
        <f>'BDO Prequal'!J106</f>
        <v>3794845</v>
      </c>
      <c r="G45" s="987"/>
      <c r="H45" s="987"/>
      <c r="I45" s="987"/>
      <c r="J45" s="987"/>
    </row>
    <row r="46" spans="2:11" x14ac:dyDescent="0.3">
      <c r="B46" s="1237" t="s">
        <v>331</v>
      </c>
      <c r="C46" s="1238"/>
      <c r="D46" s="1238"/>
      <c r="E46" s="1238"/>
      <c r="F46" s="1239"/>
      <c r="G46" s="987"/>
      <c r="H46" s="987"/>
      <c r="I46" s="987"/>
      <c r="J46" s="987"/>
    </row>
    <row r="47" spans="2:11" x14ac:dyDescent="0.3">
      <c r="B47" s="972" t="s">
        <v>332</v>
      </c>
      <c r="C47" s="991">
        <f>'BDO Prequal'!D121</f>
        <v>2046899</v>
      </c>
      <c r="D47" s="991">
        <f>'BDO Prequal'!F121</f>
        <v>2328065</v>
      </c>
      <c r="E47" s="991">
        <f>'BDO Prequal'!H121</f>
        <v>2771319</v>
      </c>
      <c r="F47" s="993">
        <f>'BDO Prequal'!J121</f>
        <v>2844493</v>
      </c>
      <c r="G47" s="987"/>
      <c r="H47" s="987"/>
      <c r="I47" s="987"/>
      <c r="J47" s="987"/>
    </row>
    <row r="48" spans="2:11" x14ac:dyDescent="0.3">
      <c r="B48" s="972" t="s">
        <v>333</v>
      </c>
      <c r="C48" s="991">
        <f>'BDO Prequal'!D123</f>
        <v>739845</v>
      </c>
      <c r="D48" s="991">
        <f>'BDO Prequal'!F123</f>
        <v>1682429</v>
      </c>
      <c r="E48" s="991">
        <f>'BDO Prequal'!H123</f>
        <v>1580484</v>
      </c>
      <c r="F48" s="993">
        <f>'BDO Prequal'!G123</f>
        <v>3.882299495459756E-2</v>
      </c>
      <c r="G48" s="987"/>
      <c r="H48" s="987"/>
      <c r="I48" s="987"/>
      <c r="J48" s="987"/>
    </row>
    <row r="49" spans="2:10" x14ac:dyDescent="0.3">
      <c r="B49" s="972" t="s">
        <v>334</v>
      </c>
      <c r="C49" s="991">
        <f>'BDO Prequal'!D127</f>
        <v>177445</v>
      </c>
      <c r="D49" s="991">
        <f>'BDO Prequal'!F127</f>
        <v>323610</v>
      </c>
      <c r="E49" s="991">
        <f>'BDO Prequal'!H127</f>
        <v>832712</v>
      </c>
      <c r="F49" s="993">
        <f>'BDO Prequal'!G127</f>
        <v>7.4674826677722014E-3</v>
      </c>
      <c r="G49" s="987"/>
      <c r="H49" s="987"/>
      <c r="I49" s="987"/>
      <c r="J49" s="987"/>
    </row>
    <row r="50" spans="2:10" x14ac:dyDescent="0.3">
      <c r="B50" s="972" t="s">
        <v>335</v>
      </c>
      <c r="C50" s="991">
        <f>'BDO Prequal'!D129</f>
        <v>917290</v>
      </c>
      <c r="D50" s="991">
        <f>'BDO Prequal'!F129</f>
        <v>2006039</v>
      </c>
      <c r="E50" s="991">
        <f>'BDO Prequal'!H129</f>
        <v>2413196</v>
      </c>
      <c r="F50" s="993">
        <f>'BDO Prequal'!G129</f>
        <v>4.6290477622369763E-2</v>
      </c>
      <c r="G50" s="987"/>
      <c r="H50" s="987"/>
      <c r="I50" s="987"/>
      <c r="J50" s="987"/>
    </row>
    <row r="51" spans="2:10" x14ac:dyDescent="0.3">
      <c r="B51" s="1237" t="s">
        <v>336</v>
      </c>
      <c r="C51" s="1238"/>
      <c r="D51" s="1238"/>
      <c r="E51" s="1238"/>
      <c r="F51" s="1239"/>
      <c r="G51" s="987"/>
      <c r="H51" s="987"/>
      <c r="I51" s="987"/>
      <c r="J51" s="987"/>
    </row>
    <row r="52" spans="2:10" x14ac:dyDescent="0.3">
      <c r="B52" s="972" t="s">
        <v>337</v>
      </c>
      <c r="C52" s="994">
        <f>'BDO Prequal'!D135+'BDO Prequal'!D136+'BDO Prequal'!D137+'BDO Prequal'!D138</f>
        <v>451064</v>
      </c>
      <c r="D52" s="994">
        <f>'BDO Prequal'!F135+'BDO Prequal'!F136+'BDO Prequal'!F137+'BDO Prequal'!F138</f>
        <v>451507</v>
      </c>
      <c r="E52" s="994">
        <f>'BDO Prequal'!H135+'BDO Prequal'!H136+'BDO Prequal'!H137+'BDO Prequal'!H138</f>
        <v>565393</v>
      </c>
      <c r="F52" s="995">
        <f>'BDO Prequal'!J135+'BDO Prequal'!J136+'BDO Prequal'!J137+'BDO Prequal'!J138</f>
        <v>48753</v>
      </c>
      <c r="G52" s="987"/>
      <c r="H52" s="987"/>
      <c r="I52" s="987"/>
      <c r="J52" s="987"/>
    </row>
    <row r="53" spans="2:10" x14ac:dyDescent="0.3">
      <c r="B53" s="972" t="s">
        <v>338</v>
      </c>
      <c r="C53" s="994">
        <f>'BDO Prequal'!D139</f>
        <v>0</v>
      </c>
      <c r="D53" s="994">
        <f>'BDO Prequal'!F139</f>
        <v>0</v>
      </c>
      <c r="E53" s="994">
        <f>'BDO Prequal'!H139</f>
        <v>0</v>
      </c>
      <c r="F53" s="995">
        <f>'BDO Prequal'!J139</f>
        <v>0</v>
      </c>
      <c r="G53" s="987"/>
      <c r="H53" s="987"/>
      <c r="I53" s="987"/>
      <c r="J53" s="987"/>
    </row>
    <row r="54" spans="2:10" x14ac:dyDescent="0.3">
      <c r="B54" s="972" t="s">
        <v>339</v>
      </c>
      <c r="C54" s="994">
        <f>'BDO Prequal'!D140</f>
        <v>0</v>
      </c>
      <c r="D54" s="994">
        <f>'BDO Prequal'!F140</f>
        <v>0</v>
      </c>
      <c r="E54" s="994">
        <f>'BDO Prequal'!H140</f>
        <v>0</v>
      </c>
      <c r="F54" s="995">
        <f>'BDO Prequal'!J140</f>
        <v>0</v>
      </c>
      <c r="G54" s="987"/>
      <c r="H54" s="987"/>
      <c r="I54" s="987"/>
      <c r="J54" s="987"/>
    </row>
    <row r="55" spans="2:10" x14ac:dyDescent="0.3">
      <c r="B55" s="1008" t="str">
        <f>'BDO Prequal'!C141</f>
        <v>Estimated Property Tax</v>
      </c>
      <c r="C55" s="994">
        <f>'BDO Prequal'!D141</f>
        <v>0</v>
      </c>
      <c r="D55" s="994">
        <f>'BDO Prequal'!F141</f>
        <v>0</v>
      </c>
      <c r="E55" s="994">
        <f>'BDO Prequal'!H141</f>
        <v>0</v>
      </c>
      <c r="F55" s="995">
        <f>'BDO Prequal'!J141</f>
        <v>0</v>
      </c>
      <c r="G55" s="987"/>
      <c r="H55" s="987"/>
      <c r="I55" s="987"/>
      <c r="J55" s="987"/>
    </row>
    <row r="56" spans="2:10" x14ac:dyDescent="0.3">
      <c r="B56" s="1008" t="str">
        <f>'BDO Prequal'!C142</f>
        <v>Required Owner's Draw</v>
      </c>
      <c r="C56" s="994">
        <f>'BDO Prequal'!D142</f>
        <v>-258960</v>
      </c>
      <c r="D56" s="994">
        <f>'BDO Prequal'!F142</f>
        <v>-258960</v>
      </c>
      <c r="E56" s="994">
        <f>'BDO Prequal'!H142</f>
        <v>-258960</v>
      </c>
      <c r="F56" s="995">
        <f>'BDO Prequal'!J142</f>
        <v>-258960</v>
      </c>
      <c r="G56" s="987"/>
      <c r="H56" s="987"/>
      <c r="I56" s="987"/>
      <c r="J56" s="987"/>
    </row>
    <row r="57" spans="2:10" x14ac:dyDescent="0.3">
      <c r="B57" s="1237" t="s">
        <v>340</v>
      </c>
      <c r="C57" s="1238"/>
      <c r="D57" s="1238"/>
      <c r="E57" s="1238"/>
      <c r="F57" s="1239"/>
      <c r="G57" s="987"/>
      <c r="H57" s="987"/>
      <c r="I57" s="987"/>
      <c r="J57" s="987"/>
    </row>
    <row r="58" spans="2:10" x14ac:dyDescent="0.3">
      <c r="B58" s="972" t="s">
        <v>341</v>
      </c>
      <c r="C58" s="991">
        <f>'BDO Prequal'!D144</f>
        <v>1109394</v>
      </c>
      <c r="D58" s="991">
        <f>'BDO Prequal'!F144</f>
        <v>2198586</v>
      </c>
      <c r="E58" s="991">
        <f>'BDO Prequal'!H144</f>
        <v>2719629</v>
      </c>
      <c r="F58" s="993">
        <f>'BDO Prequal'!J144</f>
        <v>740145</v>
      </c>
      <c r="G58" s="987"/>
      <c r="H58" s="987"/>
      <c r="I58" s="987"/>
      <c r="J58" s="987"/>
    </row>
    <row r="59" spans="2:10" x14ac:dyDescent="0.3">
      <c r="B59" s="972" t="s">
        <v>342</v>
      </c>
      <c r="C59" s="991">
        <f>'BDO Prequal'!D146</f>
        <v>0</v>
      </c>
      <c r="D59" s="991">
        <f>'BDO Prequal'!F146</f>
        <v>0</v>
      </c>
      <c r="E59" s="991">
        <f>'BDO Prequal'!H146</f>
        <v>0</v>
      </c>
      <c r="F59" s="993">
        <f>'BDO Prequal'!J146</f>
        <v>0</v>
      </c>
      <c r="G59" s="987"/>
      <c r="H59" s="987"/>
      <c r="I59" s="987"/>
      <c r="J59" s="987"/>
    </row>
    <row r="60" spans="2:10" x14ac:dyDescent="0.3">
      <c r="B60" s="1001" t="str">
        <f>'BDO Prequal'!C147</f>
        <v>SBA 7(a) Debt Service</v>
      </c>
      <c r="C60" s="991">
        <f ca="1">'BDO Prequal'!D147</f>
        <v>90189.574707492357</v>
      </c>
      <c r="D60" s="991">
        <f ca="1">'BDO Prequal'!F147</f>
        <v>90189.574707492357</v>
      </c>
      <c r="E60" s="991">
        <f ca="1">'BDO Prequal'!H147</f>
        <v>90189.574707492357</v>
      </c>
      <c r="F60" s="993">
        <f ca="1">'BDO Prequal'!J147</f>
        <v>30063.191569164119</v>
      </c>
      <c r="G60" s="987"/>
      <c r="H60" s="987"/>
      <c r="I60" s="987"/>
      <c r="J60" s="987"/>
    </row>
    <row r="61" spans="2:10" x14ac:dyDescent="0.3">
      <c r="B61" s="1001" t="str">
        <f>'BDO Prequal'!C148</f>
        <v>SBA 7(a) Debt Service</v>
      </c>
      <c r="C61" s="991">
        <f ca="1">'BDO Prequal'!D148</f>
        <v>365004.01451185776</v>
      </c>
      <c r="D61" s="991">
        <f ca="1">'BDO Prequal'!F148</f>
        <v>365004.01451185776</v>
      </c>
      <c r="E61" s="991">
        <f ca="1">'BDO Prequal'!H148</f>
        <v>365004.01451185776</v>
      </c>
      <c r="F61" s="993">
        <f ca="1">'BDO Prequal'!J148</f>
        <v>121668.00483728592</v>
      </c>
      <c r="G61" s="987"/>
      <c r="H61" s="987"/>
      <c r="I61" s="987"/>
      <c r="J61" s="987"/>
    </row>
    <row r="62" spans="2:10" x14ac:dyDescent="0.3">
      <c r="B62" s="1001" t="str">
        <f>'BDO Prequal'!C149</f>
        <v>SBA 504 Debt Service</v>
      </c>
      <c r="C62" s="991">
        <f ca="1">'BDO Prequal'!D149</f>
        <v>209693.3052878122</v>
      </c>
      <c r="D62" s="991">
        <f ca="1">'BDO Prequal'!F149</f>
        <v>209693.3052878122</v>
      </c>
      <c r="E62" s="991">
        <f ca="1">'BDO Prequal'!H149</f>
        <v>209693.3052878122</v>
      </c>
      <c r="F62" s="993">
        <f ca="1">'BDO Prequal'!J149</f>
        <v>69897.768429270727</v>
      </c>
      <c r="G62" s="987"/>
      <c r="H62" s="987"/>
      <c r="I62" s="987"/>
      <c r="J62" s="987"/>
    </row>
    <row r="63" spans="2:10" x14ac:dyDescent="0.3">
      <c r="B63" s="1001" t="str">
        <f>'BDO Prequal'!C150</f>
        <v>Seller Note Debt Service</v>
      </c>
      <c r="C63" s="991">
        <f ca="1">'BDO Prequal'!D150</f>
        <v>54281.273166557949</v>
      </c>
      <c r="D63" s="991">
        <f ca="1">'BDO Prequal'!F150</f>
        <v>54281.273166557949</v>
      </c>
      <c r="E63" s="991">
        <f ca="1">'BDO Prequal'!H150</f>
        <v>54281.273166557949</v>
      </c>
      <c r="F63" s="993">
        <f ca="1">'BDO Prequal'!J150</f>
        <v>18093.757722185983</v>
      </c>
      <c r="G63" s="987"/>
      <c r="H63" s="987"/>
      <c r="I63" s="987"/>
      <c r="J63" s="987"/>
    </row>
    <row r="64" spans="2:10" x14ac:dyDescent="0.3">
      <c r="B64" s="1001" t="str">
        <f>'BDO Prequal'!C151</f>
        <v>Debenture Debt Service</v>
      </c>
      <c r="C64" s="991">
        <f ca="1">'BDO Prequal'!D151</f>
        <v>683430.44569912017</v>
      </c>
      <c r="D64" s="991">
        <f ca="1">'BDO Prequal'!F151</f>
        <v>683430.44569912017</v>
      </c>
      <c r="E64" s="991">
        <f ca="1">'BDO Prequal'!H151</f>
        <v>683430.44569912017</v>
      </c>
      <c r="F64" s="993">
        <f ca="1">'BDO Prequal'!J151</f>
        <v>227810.14856637339</v>
      </c>
      <c r="G64" s="987"/>
      <c r="H64" s="987"/>
      <c r="I64" s="987"/>
      <c r="J64" s="987"/>
    </row>
    <row r="65" spans="2:10" x14ac:dyDescent="0.3">
      <c r="B65" s="1001" t="str">
        <f>'BDO Prequal'!C152</f>
        <v>N/A Debt Service</v>
      </c>
      <c r="C65" s="991">
        <f ca="1">'BDO Prequal'!D152</f>
        <v>0</v>
      </c>
      <c r="D65" s="991">
        <f ca="1">'BDO Prequal'!F152</f>
        <v>0</v>
      </c>
      <c r="E65" s="991">
        <f ca="1">'BDO Prequal'!H152</f>
        <v>0</v>
      </c>
      <c r="F65" s="993">
        <f ca="1">'BDO Prequal'!J152</f>
        <v>0</v>
      </c>
      <c r="G65" s="987"/>
      <c r="H65" s="987"/>
      <c r="I65" s="987"/>
      <c r="J65" s="987"/>
    </row>
    <row r="66" spans="2:10" x14ac:dyDescent="0.3">
      <c r="B66" s="1001" t="str">
        <f>'BDO Prequal'!C153</f>
        <v>N/A Debt Service</v>
      </c>
      <c r="C66" s="991">
        <f ca="1">'BDO Prequal'!D153</f>
        <v>0</v>
      </c>
      <c r="D66" s="991">
        <f ca="1">'BDO Prequal'!F153</f>
        <v>0</v>
      </c>
      <c r="E66" s="991">
        <f ca="1">'BDO Prequal'!H153</f>
        <v>0</v>
      </c>
      <c r="F66" s="993">
        <f ca="1">'BDO Prequal'!J153</f>
        <v>0</v>
      </c>
      <c r="G66" s="987"/>
      <c r="H66" s="987"/>
      <c r="I66" s="987"/>
      <c r="J66" s="987"/>
    </row>
    <row r="67" spans="2:10" x14ac:dyDescent="0.3">
      <c r="B67" s="972" t="s">
        <v>343</v>
      </c>
      <c r="C67" s="991">
        <f ca="1">'BDO Prequal'!D154</f>
        <v>1402598.6133728405</v>
      </c>
      <c r="D67" s="991">
        <f ca="1">'BDO Prequal'!F154</f>
        <v>1402598.6133728405</v>
      </c>
      <c r="E67" s="991">
        <f ca="1">'BDO Prequal'!H154</f>
        <v>1402598.6133728405</v>
      </c>
      <c r="F67" s="993">
        <f ca="1">'BDO Prequal'!J154</f>
        <v>467532.87112428015</v>
      </c>
      <c r="G67" s="987"/>
      <c r="H67" s="987"/>
      <c r="I67" s="987"/>
      <c r="J67" s="987"/>
    </row>
    <row r="68" spans="2:10" x14ac:dyDescent="0.3">
      <c r="B68" s="972" t="s">
        <v>344</v>
      </c>
      <c r="C68" s="996">
        <f ca="1">'BDO Prequal'!D156</f>
        <v>0.79095615054989332</v>
      </c>
      <c r="D68" s="996">
        <f ca="1">'BDO Prequal'!F156</f>
        <v>1.5675090357554555</v>
      </c>
      <c r="E68" s="996">
        <f ca="1">'BDO Prequal'!H156</f>
        <v>1.9389930761874103</v>
      </c>
      <c r="F68" s="997">
        <f ca="1">'BDO Prequal'!J156</f>
        <v>1.5830865500861302</v>
      </c>
      <c r="G68" s="987"/>
      <c r="H68" s="987"/>
      <c r="I68" s="987"/>
      <c r="J68" s="987"/>
    </row>
    <row r="69" spans="2:10" x14ac:dyDescent="0.3">
      <c r="B69" s="1237" t="s">
        <v>345</v>
      </c>
      <c r="C69" s="1238"/>
      <c r="D69" s="1238"/>
      <c r="E69" s="1238"/>
      <c r="F69" s="1239"/>
      <c r="G69" s="987"/>
      <c r="H69" s="987"/>
      <c r="I69" s="987"/>
      <c r="J69" s="987"/>
    </row>
    <row r="70" spans="2:10" x14ac:dyDescent="0.3">
      <c r="B70" s="972" t="s">
        <v>347</v>
      </c>
      <c r="C70" s="998">
        <f>'BDO Prequal'!D162</f>
        <v>1368354</v>
      </c>
      <c r="D70" s="998">
        <f>'BDO Prequal'!F162</f>
        <v>2457546</v>
      </c>
      <c r="E70" s="998">
        <f>'BDO Prequal'!H162</f>
        <v>2978589</v>
      </c>
      <c r="F70" s="993">
        <f>'BDO Prequal'!J162</f>
        <v>999105</v>
      </c>
      <c r="G70" s="987"/>
      <c r="H70" s="987"/>
      <c r="I70" s="987"/>
      <c r="J70" s="987"/>
    </row>
    <row r="71" spans="2:10" x14ac:dyDescent="0.3">
      <c r="B71" s="972" t="s">
        <v>346</v>
      </c>
      <c r="C71" s="998">
        <f>SUM('BDO Prequal'!D164:D175)</f>
        <v>0</v>
      </c>
      <c r="D71" s="998">
        <f>SUM('BDO Prequal'!F164:F175)</f>
        <v>0</v>
      </c>
      <c r="E71" s="998">
        <f>SUM('BDO Prequal'!H164:H175)</f>
        <v>0</v>
      </c>
      <c r="F71" s="993">
        <f>SUM('BDO Prequal'!J164:J175)</f>
        <v>0</v>
      </c>
      <c r="G71" s="987"/>
      <c r="H71" s="987"/>
      <c r="I71" s="987"/>
      <c r="J71" s="987"/>
    </row>
    <row r="72" spans="2:10" x14ac:dyDescent="0.3">
      <c r="B72" s="972" t="s">
        <v>513</v>
      </c>
      <c r="C72" s="998">
        <f>SUM('BDO Prequal'!D177:D186)</f>
        <v>-84771.666666666686</v>
      </c>
      <c r="D72" s="998">
        <f>SUM('BDO Prequal'!F177:F186)</f>
        <v>-84771.666666666686</v>
      </c>
      <c r="E72" s="998">
        <f>SUM('BDO Prequal'!H177:H186)</f>
        <v>-84771.666666666686</v>
      </c>
      <c r="F72" s="993">
        <f>SUM('BDO Prequal'!J177:J186)</f>
        <v>-84771.666666666686</v>
      </c>
      <c r="G72" s="987"/>
      <c r="H72" s="987"/>
      <c r="I72" s="987"/>
      <c r="J72" s="987"/>
    </row>
    <row r="73" spans="2:10" x14ac:dyDescent="0.3">
      <c r="B73" s="972" t="s">
        <v>348</v>
      </c>
      <c r="C73" s="998">
        <f>SUM(C70:C72)</f>
        <v>1283582.3333333333</v>
      </c>
      <c r="D73" s="998">
        <f>SUM(D70:D72)</f>
        <v>2372774.3333333335</v>
      </c>
      <c r="E73" s="998">
        <f>SUM(E70:E72)</f>
        <v>2893817.3333333335</v>
      </c>
      <c r="F73" s="998">
        <f>SUM(F70:F72)</f>
        <v>914333.33333333326</v>
      </c>
      <c r="G73" s="987"/>
      <c r="H73" s="987"/>
      <c r="I73" s="987"/>
      <c r="J73" s="987"/>
    </row>
    <row r="74" spans="2:10" x14ac:dyDescent="0.3">
      <c r="B74" s="972" t="s">
        <v>349</v>
      </c>
      <c r="C74" s="998">
        <f ca="1">'BDO Prequal'!D189</f>
        <v>1402598.6133728405</v>
      </c>
      <c r="D74" s="998">
        <f ca="1">'BDO Prequal'!F189</f>
        <v>1402598.6133728405</v>
      </c>
      <c r="E74" s="998">
        <f ca="1">'BDO Prequal'!H189</f>
        <v>1402598.6133728405</v>
      </c>
      <c r="F74" s="993">
        <f ca="1">'BDO Prequal'!J189</f>
        <v>467532.87112428015</v>
      </c>
      <c r="G74" s="987"/>
      <c r="H74" s="987"/>
      <c r="I74" s="987"/>
      <c r="J74" s="987"/>
    </row>
    <row r="75" spans="2:10" ht="14.4" thickBot="1" x14ac:dyDescent="0.35">
      <c r="B75" s="976" t="s">
        <v>350</v>
      </c>
      <c r="C75" s="999">
        <f ca="1">C73/C74</f>
        <v>0.91514587359151323</v>
      </c>
      <c r="D75" s="999">
        <f ca="1">D73/D74</f>
        <v>1.6916987587970755</v>
      </c>
      <c r="E75" s="999">
        <f ca="1">E73/E74</f>
        <v>2.0631827992290304</v>
      </c>
      <c r="F75" s="1000">
        <f ca="1">F73/F74</f>
        <v>1.95565571921099</v>
      </c>
      <c r="G75" s="987"/>
      <c r="H75" s="987"/>
      <c r="I75" s="987"/>
      <c r="J75" s="987"/>
    </row>
  </sheetData>
  <sheetProtection sheet="1" objects="1" scenarios="1"/>
  <mergeCells count="8">
    <mergeCell ref="B69:F69"/>
    <mergeCell ref="B57:F57"/>
    <mergeCell ref="B2:J2"/>
    <mergeCell ref="B14:K14"/>
    <mergeCell ref="B36:F36"/>
    <mergeCell ref="B42:F42"/>
    <mergeCell ref="B46:F46"/>
    <mergeCell ref="B51:F51"/>
  </mergeCells>
  <phoneticPr fontId="2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3:BZT59"/>
  <sheetViews>
    <sheetView topLeftCell="A4" workbookViewId="0">
      <selection activeCell="I51" sqref="I51"/>
    </sheetView>
  </sheetViews>
  <sheetFormatPr defaultColWidth="8.77734375" defaultRowHeight="16.95" customHeight="1" x14ac:dyDescent="0.3"/>
  <cols>
    <col min="1" max="1" width="9.109375" style="64"/>
    <col min="2" max="2" width="39.44140625" style="64"/>
    <col min="3" max="8" width="17.6640625" style="64"/>
    <col min="9" max="9" width="13.109375" style="64"/>
    <col min="10" max="10" width="36.44140625" style="64"/>
    <col min="11" max="16" width="17.6640625" style="64"/>
    <col min="17" max="17" width="9.109375" style="64"/>
    <col min="18" max="18" width="28.44140625" style="64"/>
    <col min="19" max="19" width="11.109375" style="64"/>
    <col min="20" max="20" width="9.109375" style="64"/>
    <col min="21" max="21" width="11.6640625" style="64"/>
    <col min="22" max="2048" width="9.109375" style="64"/>
  </cols>
  <sheetData>
    <row r="3" spans="2:21" ht="15.6" x14ac:dyDescent="0.3">
      <c r="B3" s="1338" t="s">
        <v>4</v>
      </c>
      <c r="C3" s="1339"/>
      <c r="D3" s="1339"/>
      <c r="E3" s="1339"/>
      <c r="F3" s="1339"/>
      <c r="G3" s="1339"/>
      <c r="H3" s="1340"/>
      <c r="J3" s="8" t="s">
        <v>86</v>
      </c>
      <c r="K3" s="52">
        <f>SUM(K4:K6)</f>
        <v>1</v>
      </c>
      <c r="L3" s="53">
        <f>O36</f>
        <v>0</v>
      </c>
      <c r="M3" s="80" t="s">
        <v>87</v>
      </c>
      <c r="N3" s="81"/>
      <c r="O3" s="81"/>
      <c r="P3" s="82"/>
      <c r="R3" s="8" t="s">
        <v>5</v>
      </c>
      <c r="S3" s="9" t="s">
        <v>6</v>
      </c>
      <c r="T3" s="9" t="s">
        <v>7</v>
      </c>
      <c r="U3" s="10" t="s">
        <v>8</v>
      </c>
    </row>
    <row r="4" spans="2:21" ht="14.4" x14ac:dyDescent="0.3">
      <c r="B4" s="2"/>
      <c r="C4" s="3"/>
      <c r="D4" s="3"/>
      <c r="E4" s="3"/>
      <c r="F4" s="3"/>
      <c r="G4" s="1"/>
      <c r="H4" s="83"/>
      <c r="J4" s="12" t="s">
        <v>89</v>
      </c>
      <c r="K4" s="55">
        <v>0.5</v>
      </c>
      <c r="L4" s="56">
        <f>L3*K4</f>
        <v>0</v>
      </c>
      <c r="M4" s="56">
        <f>K36-L4</f>
        <v>0</v>
      </c>
      <c r="N4" s="58"/>
      <c r="O4" s="58"/>
      <c r="P4" s="66"/>
      <c r="R4" s="12" t="s">
        <v>9</v>
      </c>
      <c r="S4" s="13">
        <v>2500</v>
      </c>
      <c r="T4" s="14">
        <v>0</v>
      </c>
      <c r="U4" s="15">
        <f t="shared" ref="U4:U18" si="0">S4*T4</f>
        <v>0</v>
      </c>
    </row>
    <row r="5" spans="2:21" ht="14.4" x14ac:dyDescent="0.3">
      <c r="B5" s="16"/>
      <c r="C5" s="17" t="s">
        <v>269</v>
      </c>
      <c r="D5" s="18" t="s">
        <v>11</v>
      </c>
      <c r="E5" s="17" t="s">
        <v>12</v>
      </c>
      <c r="F5" s="17" t="s">
        <v>270</v>
      </c>
      <c r="G5" s="18" t="s">
        <v>271</v>
      </c>
      <c r="H5" s="4"/>
      <c r="J5" s="12" t="s">
        <v>91</v>
      </c>
      <c r="K5" s="55">
        <v>0.4</v>
      </c>
      <c r="L5" s="56">
        <f>L3*K5</f>
        <v>0</v>
      </c>
      <c r="M5" s="56">
        <f>N36-L5</f>
        <v>0</v>
      </c>
      <c r="N5" s="58"/>
      <c r="O5" s="58"/>
      <c r="P5" s="66"/>
      <c r="R5" s="12" t="s">
        <v>14</v>
      </c>
      <c r="S5" s="13">
        <v>0</v>
      </c>
      <c r="T5" s="14">
        <v>0</v>
      </c>
      <c r="U5" s="15">
        <f t="shared" si="0"/>
        <v>0</v>
      </c>
    </row>
    <row r="6" spans="2:21" ht="14.4" x14ac:dyDescent="0.3">
      <c r="B6" s="19" t="s">
        <v>20</v>
      </c>
      <c r="C6" s="5">
        <v>7.4999999999999997E-2</v>
      </c>
      <c r="D6" s="21"/>
      <c r="E6" s="5">
        <v>0.08</v>
      </c>
      <c r="F6" s="5">
        <v>7.4999999999999997E-2</v>
      </c>
      <c r="G6" s="5">
        <v>6.2399999999999997E-2</v>
      </c>
      <c r="H6" s="4"/>
      <c r="J6" s="12" t="s">
        <v>92</v>
      </c>
      <c r="K6" s="55">
        <v>0.1</v>
      </c>
      <c r="L6" s="56">
        <f>L3*K6</f>
        <v>0</v>
      </c>
      <c r="M6" s="56">
        <f>L36-L6</f>
        <v>0</v>
      </c>
      <c r="N6" s="58"/>
      <c r="O6" s="58"/>
      <c r="P6" s="66"/>
      <c r="R6" s="12" t="s">
        <v>16</v>
      </c>
      <c r="S6" s="13">
        <v>0</v>
      </c>
      <c r="T6" s="14">
        <v>0</v>
      </c>
      <c r="U6" s="15">
        <f t="shared" si="0"/>
        <v>0</v>
      </c>
    </row>
    <row r="7" spans="2:21" ht="14.4" x14ac:dyDescent="0.3">
      <c r="B7" s="19" t="s">
        <v>23</v>
      </c>
      <c r="C7" s="5">
        <v>1.4999999999999999E-2</v>
      </c>
      <c r="D7" s="22"/>
      <c r="E7" s="5">
        <v>0</v>
      </c>
      <c r="F7" s="5">
        <v>1.4999999999999999E-2</v>
      </c>
      <c r="G7" s="5">
        <v>0</v>
      </c>
      <c r="H7" s="4"/>
      <c r="J7" s="12"/>
      <c r="K7" s="58"/>
      <c r="L7" s="59"/>
      <c r="M7" s="60"/>
      <c r="N7" s="58"/>
      <c r="O7" s="58"/>
      <c r="P7" s="66"/>
      <c r="R7" s="12" t="s">
        <v>18</v>
      </c>
      <c r="S7" s="13">
        <v>0</v>
      </c>
      <c r="T7" s="14">
        <v>0</v>
      </c>
      <c r="U7" s="15">
        <f t="shared" si="0"/>
        <v>0</v>
      </c>
    </row>
    <row r="8" spans="2:21" ht="14.4" x14ac:dyDescent="0.3">
      <c r="B8" s="19" t="s">
        <v>26</v>
      </c>
      <c r="C8" s="23">
        <f>C6+C7</f>
        <v>0.09</v>
      </c>
      <c r="D8" s="22"/>
      <c r="E8" s="23">
        <f>E6+E7</f>
        <v>0.08</v>
      </c>
      <c r="F8" s="23">
        <f>F6+F7</f>
        <v>0.09</v>
      </c>
      <c r="G8" s="23">
        <f>G6+G7</f>
        <v>6.2399999999999997E-2</v>
      </c>
      <c r="H8" s="4"/>
      <c r="J8" s="12" t="s">
        <v>95</v>
      </c>
      <c r="K8" s="63">
        <v>2.5000000000000001E-2</v>
      </c>
      <c r="L8" s="56">
        <f>L4*K8</f>
        <v>0</v>
      </c>
      <c r="M8" s="84" t="s">
        <v>108</v>
      </c>
      <c r="N8" s="1341" t="e">
        <f>(K36*F8+N36*G8)/SUM(K36+N36)</f>
        <v>#DIV/0!</v>
      </c>
      <c r="O8" s="1342"/>
      <c r="P8" s="66"/>
      <c r="R8" s="12" t="s">
        <v>21</v>
      </c>
      <c r="S8" s="13">
        <v>3500</v>
      </c>
      <c r="T8" s="14">
        <v>0</v>
      </c>
      <c r="U8" s="15">
        <f t="shared" si="0"/>
        <v>0</v>
      </c>
    </row>
    <row r="9" spans="2:21" ht="14.4" x14ac:dyDescent="0.3">
      <c r="B9" s="19" t="s">
        <v>28</v>
      </c>
      <c r="C9" s="24" t="s">
        <v>29</v>
      </c>
      <c r="D9" s="22"/>
      <c r="E9" s="25"/>
      <c r="F9" s="24" t="s">
        <v>29</v>
      </c>
      <c r="G9" s="20"/>
      <c r="H9" s="4"/>
      <c r="J9" s="12" t="s">
        <v>96</v>
      </c>
      <c r="K9" s="63">
        <v>5.0000000000000001E-3</v>
      </c>
      <c r="L9" s="56">
        <f>L4*K9</f>
        <v>0</v>
      </c>
      <c r="M9" s="58"/>
      <c r="N9" s="58"/>
      <c r="O9" s="58"/>
      <c r="P9" s="66"/>
      <c r="R9" s="12" t="s">
        <v>24</v>
      </c>
      <c r="S9" s="13">
        <v>7500</v>
      </c>
      <c r="T9" s="14">
        <v>0</v>
      </c>
      <c r="U9" s="15">
        <f t="shared" si="0"/>
        <v>0</v>
      </c>
    </row>
    <row r="10" spans="2:21" ht="14.4" x14ac:dyDescent="0.3">
      <c r="B10" s="19" t="s">
        <v>32</v>
      </c>
      <c r="C10" s="26">
        <v>10</v>
      </c>
      <c r="D10" s="27"/>
      <c r="E10" s="26">
        <v>10</v>
      </c>
      <c r="F10" s="26">
        <v>10</v>
      </c>
      <c r="G10" s="26">
        <v>25</v>
      </c>
      <c r="H10" s="4"/>
      <c r="J10" s="65" t="s">
        <v>97</v>
      </c>
      <c r="K10" s="63">
        <v>0</v>
      </c>
      <c r="L10" s="56">
        <f>K10*L4</f>
        <v>0</v>
      </c>
      <c r="M10" s="85" t="s">
        <v>102</v>
      </c>
      <c r="N10" s="1343">
        <f>K36+N36</f>
        <v>0</v>
      </c>
      <c r="O10" s="1344"/>
      <c r="P10" s="66"/>
      <c r="R10" s="12" t="s">
        <v>27</v>
      </c>
      <c r="S10" s="13">
        <v>0</v>
      </c>
      <c r="T10" s="14">
        <v>0</v>
      </c>
      <c r="U10" s="15">
        <f t="shared" si="0"/>
        <v>0</v>
      </c>
    </row>
    <row r="11" spans="2:21" ht="14.4" x14ac:dyDescent="0.3">
      <c r="B11" s="19" t="s">
        <v>35</v>
      </c>
      <c r="C11" s="26">
        <f>C10*12</f>
        <v>120</v>
      </c>
      <c r="D11" s="27"/>
      <c r="E11" s="26">
        <f>E10*12</f>
        <v>120</v>
      </c>
      <c r="F11" s="26">
        <f>F10*12</f>
        <v>120</v>
      </c>
      <c r="G11" s="26">
        <f>G10*12</f>
        <v>300</v>
      </c>
      <c r="H11" s="4"/>
      <c r="J11" s="65" t="s">
        <v>98</v>
      </c>
      <c r="K11" s="63">
        <v>0</v>
      </c>
      <c r="L11" s="56">
        <f>K11*L4</f>
        <v>0</v>
      </c>
      <c r="M11" s="85" t="s">
        <v>105</v>
      </c>
      <c r="N11" s="1343">
        <f>ROUNDUP(L12,-3)</f>
        <v>0</v>
      </c>
      <c r="O11" s="1344"/>
      <c r="P11" s="66"/>
      <c r="R11" s="12" t="s">
        <v>31</v>
      </c>
      <c r="S11" s="13">
        <v>350</v>
      </c>
      <c r="T11" s="14">
        <v>0</v>
      </c>
      <c r="U11" s="15">
        <f t="shared" si="0"/>
        <v>0</v>
      </c>
    </row>
    <row r="12" spans="2:21" ht="14.4" x14ac:dyDescent="0.3">
      <c r="B12" s="19" t="s">
        <v>40</v>
      </c>
      <c r="C12" s="28">
        <v>0</v>
      </c>
      <c r="D12" s="29"/>
      <c r="E12" s="30"/>
      <c r="F12" s="31"/>
      <c r="G12" s="1"/>
      <c r="H12" s="4"/>
      <c r="J12" s="12" t="s">
        <v>100</v>
      </c>
      <c r="K12" s="63">
        <f>SUM(K8:K11)</f>
        <v>3.0000000000000002E-2</v>
      </c>
      <c r="L12" s="56">
        <f>SUM(L8:L11)</f>
        <v>0</v>
      </c>
      <c r="M12" s="85" t="s">
        <v>272</v>
      </c>
      <c r="N12" s="1341" t="e">
        <f>N11/N10</f>
        <v>#DIV/0!</v>
      </c>
      <c r="O12" s="1342"/>
      <c r="P12" s="66"/>
      <c r="R12" s="12" t="s">
        <v>33</v>
      </c>
      <c r="S12" s="13">
        <v>2500</v>
      </c>
      <c r="T12" s="14">
        <v>0</v>
      </c>
      <c r="U12" s="15">
        <f t="shared" si="0"/>
        <v>0</v>
      </c>
    </row>
    <row r="13" spans="2:21" ht="14.4" x14ac:dyDescent="0.3">
      <c r="B13" s="32"/>
      <c r="C13" s="33"/>
      <c r="D13" s="33"/>
      <c r="E13" s="33"/>
      <c r="F13" s="33"/>
      <c r="G13" s="33"/>
      <c r="H13" s="7"/>
      <c r="J13" s="39" t="s">
        <v>273</v>
      </c>
      <c r="K13" s="40"/>
      <c r="L13" s="40"/>
      <c r="M13" s="40"/>
      <c r="N13" s="40"/>
      <c r="O13" s="40"/>
      <c r="P13" s="49"/>
      <c r="R13" s="12" t="s">
        <v>30</v>
      </c>
      <c r="S13" s="13">
        <v>2500</v>
      </c>
      <c r="T13" s="14">
        <v>0</v>
      </c>
      <c r="U13" s="15">
        <f t="shared" si="0"/>
        <v>0</v>
      </c>
    </row>
    <row r="14" spans="2:21" ht="14.4" x14ac:dyDescent="0.3">
      <c r="I14" s="86"/>
      <c r="J14" s="86"/>
      <c r="R14" s="12" t="s">
        <v>274</v>
      </c>
      <c r="S14" s="13">
        <v>0</v>
      </c>
      <c r="T14" s="14">
        <v>0</v>
      </c>
      <c r="U14" s="15">
        <f t="shared" si="0"/>
        <v>0</v>
      </c>
    </row>
    <row r="15" spans="2:21" ht="14.4" x14ac:dyDescent="0.3">
      <c r="I15" s="86"/>
      <c r="J15" s="86"/>
      <c r="R15" s="12" t="s">
        <v>41</v>
      </c>
      <c r="S15" s="13">
        <v>8000</v>
      </c>
      <c r="T15" s="14">
        <v>0</v>
      </c>
      <c r="U15" s="15">
        <f t="shared" si="0"/>
        <v>0</v>
      </c>
    </row>
    <row r="16" spans="2:21" ht="15.6" x14ac:dyDescent="0.3">
      <c r="B16" s="87" t="s">
        <v>275</v>
      </c>
      <c r="C16" s="88"/>
      <c r="D16" s="88"/>
      <c r="E16" s="88"/>
      <c r="F16" s="88"/>
      <c r="G16" s="88"/>
      <c r="H16" s="89"/>
      <c r="J16" s="87" t="s">
        <v>276</v>
      </c>
      <c r="K16" s="88"/>
      <c r="L16" s="88"/>
      <c r="M16" s="88"/>
      <c r="N16" s="88"/>
      <c r="O16" s="88"/>
      <c r="P16" s="89"/>
      <c r="R16" s="12" t="s">
        <v>44</v>
      </c>
      <c r="S16" s="13">
        <v>64000</v>
      </c>
      <c r="T16" s="14">
        <v>0</v>
      </c>
      <c r="U16" s="15">
        <f t="shared" si="0"/>
        <v>0</v>
      </c>
    </row>
    <row r="17" spans="2:21" ht="14.4" x14ac:dyDescent="0.3">
      <c r="B17" s="6"/>
      <c r="C17" s="1"/>
      <c r="D17" s="1"/>
      <c r="E17" s="1"/>
      <c r="F17" s="38"/>
      <c r="G17" s="1"/>
      <c r="H17" s="4"/>
      <c r="J17" s="6"/>
      <c r="K17" s="1"/>
      <c r="L17" s="1"/>
      <c r="M17" s="1"/>
      <c r="N17" s="38"/>
      <c r="O17" s="1"/>
      <c r="P17" s="4"/>
      <c r="R17" s="12" t="s">
        <v>277</v>
      </c>
      <c r="S17" s="13">
        <v>13000</v>
      </c>
      <c r="T17" s="14">
        <v>0</v>
      </c>
      <c r="U17" s="15">
        <f t="shared" si="0"/>
        <v>0</v>
      </c>
    </row>
    <row r="18" spans="2:21" ht="14.4" x14ac:dyDescent="0.3">
      <c r="B18" s="42"/>
      <c r="C18" s="17" t="str">
        <f>C5</f>
        <v>T Bank  7(a)</v>
      </c>
      <c r="D18" s="18" t="str">
        <f>D5</f>
        <v>Borrower</v>
      </c>
      <c r="E18" s="17" t="str">
        <f>E5</f>
        <v>Seller Note</v>
      </c>
      <c r="F18" s="17" t="str">
        <f>G5</f>
        <v>CDC 504</v>
      </c>
      <c r="G18" s="18" t="s">
        <v>8</v>
      </c>
      <c r="H18" s="4"/>
      <c r="J18" s="42"/>
      <c r="K18" s="17" t="s">
        <v>270</v>
      </c>
      <c r="L18" s="18" t="str">
        <f>D5</f>
        <v>Borrower</v>
      </c>
      <c r="M18" s="17" t="str">
        <f>E5</f>
        <v>Seller Note</v>
      </c>
      <c r="N18" s="17" t="str">
        <f>G5</f>
        <v>CDC 504</v>
      </c>
      <c r="O18" s="18" t="s">
        <v>8</v>
      </c>
      <c r="P18" s="4"/>
      <c r="R18" s="12" t="s">
        <v>48</v>
      </c>
      <c r="S18" s="13">
        <v>300</v>
      </c>
      <c r="T18" s="14">
        <v>0</v>
      </c>
      <c r="U18" s="15">
        <f t="shared" si="0"/>
        <v>0</v>
      </c>
    </row>
    <row r="19" spans="2:21" ht="14.4" x14ac:dyDescent="0.3">
      <c r="B19" s="43" t="s">
        <v>54</v>
      </c>
      <c r="C19" s="44"/>
      <c r="D19" s="44"/>
      <c r="E19" s="44"/>
      <c r="F19" s="44"/>
      <c r="G19" s="44"/>
      <c r="H19" s="4"/>
      <c r="J19" s="43" t="s">
        <v>54</v>
      </c>
      <c r="K19" s="44"/>
      <c r="L19" s="44"/>
      <c r="M19" s="44"/>
      <c r="N19" s="44"/>
      <c r="O19" s="44"/>
      <c r="P19" s="4"/>
      <c r="R19" s="34" t="s">
        <v>50</v>
      </c>
      <c r="S19" s="35"/>
      <c r="T19" s="36"/>
      <c r="U19" s="37">
        <f>U32</f>
        <v>0</v>
      </c>
    </row>
    <row r="20" spans="2:21" ht="14.4" x14ac:dyDescent="0.3">
      <c r="B20" s="45" t="s">
        <v>56</v>
      </c>
      <c r="C20" s="46">
        <f t="shared" ref="C20:C30" si="1">G20-SUM(D20:F20)</f>
        <v>0</v>
      </c>
      <c r="D20" s="47">
        <v>0</v>
      </c>
      <c r="E20" s="47">
        <v>0</v>
      </c>
      <c r="F20" s="47">
        <v>0</v>
      </c>
      <c r="G20" s="47">
        <v>0</v>
      </c>
      <c r="H20" s="4"/>
      <c r="J20" s="45" t="s">
        <v>56</v>
      </c>
      <c r="K20" s="46">
        <f t="shared" ref="K20:K30" si="2">O20-SUM(L20:N20)</f>
        <v>0</v>
      </c>
      <c r="L20" s="47">
        <v>0</v>
      </c>
      <c r="M20" s="47">
        <v>0</v>
      </c>
      <c r="N20" s="47">
        <v>0</v>
      </c>
      <c r="O20" s="47">
        <v>0</v>
      </c>
      <c r="P20" s="4"/>
      <c r="R20" s="39" t="s">
        <v>51</v>
      </c>
      <c r="S20" s="40"/>
      <c r="T20" s="40"/>
      <c r="U20" s="41">
        <f>SUM(U4:U19)</f>
        <v>0</v>
      </c>
    </row>
    <row r="21" spans="2:21" ht="14.4" x14ac:dyDescent="0.3">
      <c r="B21" s="45" t="s">
        <v>58</v>
      </c>
      <c r="C21" s="46">
        <f t="shared" si="1"/>
        <v>0</v>
      </c>
      <c r="D21" s="47">
        <v>0</v>
      </c>
      <c r="E21" s="47">
        <v>0</v>
      </c>
      <c r="F21" s="47">
        <v>0</v>
      </c>
      <c r="G21" s="47">
        <v>0</v>
      </c>
      <c r="H21" s="4"/>
      <c r="J21" s="45" t="s">
        <v>58</v>
      </c>
      <c r="K21" s="46">
        <f t="shared" si="2"/>
        <v>0</v>
      </c>
      <c r="L21" s="47">
        <v>0</v>
      </c>
      <c r="M21" s="47">
        <v>0</v>
      </c>
      <c r="N21" s="47">
        <v>0</v>
      </c>
      <c r="O21" s="47">
        <v>0</v>
      </c>
      <c r="P21" s="4"/>
      <c r="R21" s="11"/>
      <c r="S21" s="11"/>
      <c r="T21" s="11"/>
      <c r="U21" s="11"/>
    </row>
    <row r="22" spans="2:21" ht="14.4" x14ac:dyDescent="0.3">
      <c r="B22" s="45" t="s">
        <v>60</v>
      </c>
      <c r="C22" s="46">
        <f t="shared" si="1"/>
        <v>0</v>
      </c>
      <c r="D22" s="47">
        <v>0</v>
      </c>
      <c r="E22" s="47">
        <v>0</v>
      </c>
      <c r="F22" s="47">
        <v>0</v>
      </c>
      <c r="G22" s="47">
        <v>0</v>
      </c>
      <c r="H22" s="4"/>
      <c r="J22" s="45" t="s">
        <v>60</v>
      </c>
      <c r="K22" s="46">
        <f t="shared" si="2"/>
        <v>0</v>
      </c>
      <c r="L22" s="47">
        <v>0</v>
      </c>
      <c r="M22" s="47">
        <v>0</v>
      </c>
      <c r="N22" s="47">
        <v>0</v>
      </c>
      <c r="O22" s="47">
        <v>0</v>
      </c>
      <c r="P22" s="4"/>
      <c r="R22" s="8" t="s">
        <v>55</v>
      </c>
      <c r="S22" s="9" t="s">
        <v>6</v>
      </c>
      <c r="T22" s="9" t="s">
        <v>7</v>
      </c>
      <c r="U22" s="10" t="s">
        <v>8</v>
      </c>
    </row>
    <row r="23" spans="2:21" ht="14.4" x14ac:dyDescent="0.3">
      <c r="B23" s="45" t="s">
        <v>62</v>
      </c>
      <c r="C23" s="46">
        <f t="shared" si="1"/>
        <v>0</v>
      </c>
      <c r="D23" s="47">
        <v>0</v>
      </c>
      <c r="E23" s="47">
        <v>0</v>
      </c>
      <c r="F23" s="47">
        <v>0</v>
      </c>
      <c r="G23" s="47">
        <v>0</v>
      </c>
      <c r="H23" s="4"/>
      <c r="J23" s="45" t="s">
        <v>62</v>
      </c>
      <c r="K23" s="46">
        <f t="shared" si="2"/>
        <v>0</v>
      </c>
      <c r="L23" s="47">
        <v>0</v>
      </c>
      <c r="M23" s="47">
        <v>0</v>
      </c>
      <c r="N23" s="47">
        <v>0</v>
      </c>
      <c r="O23" s="47">
        <v>0</v>
      </c>
      <c r="P23" s="4"/>
      <c r="R23" s="12" t="s">
        <v>57</v>
      </c>
      <c r="S23" s="13">
        <v>35</v>
      </c>
      <c r="T23" s="13">
        <v>0</v>
      </c>
      <c r="U23" s="15">
        <f t="shared" ref="U23:U31" si="3">S23*T23</f>
        <v>0</v>
      </c>
    </row>
    <row r="24" spans="2:21" ht="14.4" x14ac:dyDescent="0.3">
      <c r="B24" s="45" t="s">
        <v>65</v>
      </c>
      <c r="C24" s="46">
        <f t="shared" si="1"/>
        <v>0</v>
      </c>
      <c r="D24" s="47">
        <v>0</v>
      </c>
      <c r="E24" s="47">
        <v>0</v>
      </c>
      <c r="F24" s="47">
        <v>0</v>
      </c>
      <c r="G24" s="47">
        <v>0</v>
      </c>
      <c r="H24" s="4"/>
      <c r="J24" s="45" t="s">
        <v>65</v>
      </c>
      <c r="K24" s="46">
        <f t="shared" si="2"/>
        <v>0</v>
      </c>
      <c r="L24" s="47">
        <v>0</v>
      </c>
      <c r="M24" s="47">
        <v>0</v>
      </c>
      <c r="N24" s="47">
        <v>0</v>
      </c>
      <c r="O24" s="47">
        <v>0</v>
      </c>
      <c r="P24" s="4"/>
      <c r="R24" s="12" t="s">
        <v>59</v>
      </c>
      <c r="S24" s="13">
        <v>25</v>
      </c>
      <c r="T24" s="13">
        <v>0</v>
      </c>
      <c r="U24" s="15">
        <f t="shared" si="3"/>
        <v>0</v>
      </c>
    </row>
    <row r="25" spans="2:21" ht="14.4" x14ac:dyDescent="0.3">
      <c r="B25" s="45" t="s">
        <v>68</v>
      </c>
      <c r="C25" s="46">
        <f t="shared" si="1"/>
        <v>0</v>
      </c>
      <c r="D25" s="47">
        <v>0</v>
      </c>
      <c r="E25" s="47">
        <v>0</v>
      </c>
      <c r="F25" s="47">
        <v>0</v>
      </c>
      <c r="G25" s="47">
        <v>0</v>
      </c>
      <c r="H25" s="4"/>
      <c r="J25" s="45" t="s">
        <v>68</v>
      </c>
      <c r="K25" s="46">
        <f t="shared" si="2"/>
        <v>0</v>
      </c>
      <c r="L25" s="47">
        <v>0</v>
      </c>
      <c r="M25" s="47">
        <v>0</v>
      </c>
      <c r="N25" s="47">
        <v>0</v>
      </c>
      <c r="O25" s="47">
        <v>0</v>
      </c>
      <c r="P25" s="4"/>
      <c r="R25" s="12" t="s">
        <v>61</v>
      </c>
      <c r="S25" s="13">
        <v>65</v>
      </c>
      <c r="T25" s="13">
        <v>0</v>
      </c>
      <c r="U25" s="15">
        <f t="shared" si="3"/>
        <v>0</v>
      </c>
    </row>
    <row r="26" spans="2:21" ht="14.4" x14ac:dyDescent="0.3">
      <c r="B26" s="45" t="s">
        <v>71</v>
      </c>
      <c r="C26" s="46">
        <f t="shared" si="1"/>
        <v>0</v>
      </c>
      <c r="D26" s="47">
        <v>0</v>
      </c>
      <c r="E26" s="47">
        <v>0</v>
      </c>
      <c r="F26" s="47">
        <v>0</v>
      </c>
      <c r="G26" s="47">
        <v>0</v>
      </c>
      <c r="H26" s="4"/>
      <c r="J26" s="45" t="s">
        <v>71</v>
      </c>
      <c r="K26" s="46">
        <f t="shared" si="2"/>
        <v>0</v>
      </c>
      <c r="L26" s="47">
        <v>0</v>
      </c>
      <c r="M26" s="47">
        <v>0</v>
      </c>
      <c r="N26" s="47">
        <v>0</v>
      </c>
      <c r="O26" s="47">
        <v>0</v>
      </c>
      <c r="P26" s="4"/>
      <c r="R26" s="12" t="s">
        <v>63</v>
      </c>
      <c r="S26" s="13">
        <v>300</v>
      </c>
      <c r="T26" s="13">
        <v>0</v>
      </c>
      <c r="U26" s="15">
        <f t="shared" si="3"/>
        <v>0</v>
      </c>
    </row>
    <row r="27" spans="2:21" ht="14.4" x14ac:dyDescent="0.3">
      <c r="B27" s="45" t="s">
        <v>74</v>
      </c>
      <c r="C27" s="46">
        <f t="shared" si="1"/>
        <v>0</v>
      </c>
      <c r="D27" s="47">
        <v>0</v>
      </c>
      <c r="E27" s="47">
        <v>0</v>
      </c>
      <c r="F27" s="47">
        <v>0</v>
      </c>
      <c r="G27" s="47">
        <v>0</v>
      </c>
      <c r="H27" s="4"/>
      <c r="J27" s="45" t="s">
        <v>74</v>
      </c>
      <c r="K27" s="46">
        <f t="shared" si="2"/>
        <v>0</v>
      </c>
      <c r="L27" s="47">
        <v>0</v>
      </c>
      <c r="M27" s="47">
        <v>0</v>
      </c>
      <c r="N27" s="47">
        <v>0</v>
      </c>
      <c r="O27" s="47">
        <v>0</v>
      </c>
      <c r="P27" s="4"/>
      <c r="R27" s="12" t="s">
        <v>66</v>
      </c>
      <c r="S27" s="13">
        <v>20</v>
      </c>
      <c r="T27" s="13">
        <v>0</v>
      </c>
      <c r="U27" s="15">
        <f t="shared" si="3"/>
        <v>0</v>
      </c>
    </row>
    <row r="28" spans="2:21" ht="14.4" x14ac:dyDescent="0.3">
      <c r="B28" s="45" t="s">
        <v>78</v>
      </c>
      <c r="C28" s="46">
        <f t="shared" si="1"/>
        <v>0</v>
      </c>
      <c r="D28" s="47">
        <v>0</v>
      </c>
      <c r="E28" s="47">
        <v>0</v>
      </c>
      <c r="F28" s="47">
        <v>0</v>
      </c>
      <c r="G28" s="47">
        <v>0</v>
      </c>
      <c r="H28" s="4"/>
      <c r="J28" s="45" t="s">
        <v>78</v>
      </c>
      <c r="K28" s="46">
        <f t="shared" si="2"/>
        <v>0</v>
      </c>
      <c r="L28" s="47">
        <v>0</v>
      </c>
      <c r="M28" s="47">
        <v>0</v>
      </c>
      <c r="N28" s="47">
        <v>0</v>
      </c>
      <c r="O28" s="47">
        <v>0</v>
      </c>
      <c r="P28" s="4"/>
      <c r="R28" s="12" t="s">
        <v>69</v>
      </c>
      <c r="S28" s="13">
        <v>18</v>
      </c>
      <c r="T28" s="13">
        <v>0</v>
      </c>
      <c r="U28" s="15">
        <f t="shared" si="3"/>
        <v>0</v>
      </c>
    </row>
    <row r="29" spans="2:21" ht="14.4" x14ac:dyDescent="0.3">
      <c r="B29" s="45" t="s">
        <v>80</v>
      </c>
      <c r="C29" s="46">
        <f t="shared" si="1"/>
        <v>0</v>
      </c>
      <c r="D29" s="47">
        <v>0</v>
      </c>
      <c r="E29" s="47">
        <v>0</v>
      </c>
      <c r="F29" s="47">
        <v>0</v>
      </c>
      <c r="G29" s="47">
        <v>0</v>
      </c>
      <c r="H29" s="4"/>
      <c r="J29" s="45" t="s">
        <v>80</v>
      </c>
      <c r="K29" s="46">
        <f t="shared" si="2"/>
        <v>0</v>
      </c>
      <c r="L29" s="47">
        <v>0</v>
      </c>
      <c r="M29" s="47">
        <v>0</v>
      </c>
      <c r="N29" s="47">
        <v>0</v>
      </c>
      <c r="O29" s="47">
        <v>0</v>
      </c>
      <c r="P29" s="4"/>
      <c r="R29" s="12" t="s">
        <v>72</v>
      </c>
      <c r="S29" s="13">
        <v>100</v>
      </c>
      <c r="T29" s="13">
        <v>0</v>
      </c>
      <c r="U29" s="15">
        <f t="shared" si="3"/>
        <v>0</v>
      </c>
    </row>
    <row r="30" spans="2:21" ht="14.4" x14ac:dyDescent="0.3">
      <c r="B30" s="50" t="s">
        <v>82</v>
      </c>
      <c r="C30" s="46">
        <f t="shared" si="1"/>
        <v>0</v>
      </c>
      <c r="D30" s="47">
        <v>0</v>
      </c>
      <c r="E30" s="47">
        <v>0</v>
      </c>
      <c r="F30" s="47">
        <v>0</v>
      </c>
      <c r="G30" s="47">
        <v>0</v>
      </c>
      <c r="H30" s="4"/>
      <c r="J30" s="50" t="s">
        <v>82</v>
      </c>
      <c r="K30" s="46">
        <f t="shared" si="2"/>
        <v>0</v>
      </c>
      <c r="L30" s="47">
        <v>0</v>
      </c>
      <c r="M30" s="47">
        <v>0</v>
      </c>
      <c r="N30" s="47">
        <v>0</v>
      </c>
      <c r="O30" s="47">
        <v>0</v>
      </c>
      <c r="P30" s="4"/>
      <c r="R30" s="12" t="s">
        <v>75</v>
      </c>
      <c r="S30" s="13">
        <v>50</v>
      </c>
      <c r="T30" s="13">
        <v>0</v>
      </c>
      <c r="U30" s="15">
        <f t="shared" si="3"/>
        <v>0</v>
      </c>
    </row>
    <row r="31" spans="2:21" ht="14.4" x14ac:dyDescent="0.3">
      <c r="B31" s="45" t="s">
        <v>84</v>
      </c>
      <c r="C31" s="47">
        <v>0</v>
      </c>
      <c r="D31" s="46">
        <f>G31-C31</f>
        <v>0</v>
      </c>
      <c r="E31" s="47">
        <v>0</v>
      </c>
      <c r="F31" s="47">
        <v>0</v>
      </c>
      <c r="G31" s="46">
        <f>ROUND(((C20+F20)*C8/12)*C12+((C36-C20+F36-F20)*C8*0.6/12)*C12,0)</f>
        <v>0</v>
      </c>
      <c r="H31" s="51" t="s">
        <v>85</v>
      </c>
      <c r="J31" s="45" t="s">
        <v>84</v>
      </c>
      <c r="K31" s="47">
        <v>0</v>
      </c>
      <c r="L31" s="46">
        <f>O31-K31</f>
        <v>0</v>
      </c>
      <c r="M31" s="47">
        <v>0</v>
      </c>
      <c r="N31" s="47">
        <v>0</v>
      </c>
      <c r="O31" s="46">
        <v>0</v>
      </c>
      <c r="P31" s="51" t="s">
        <v>85</v>
      </c>
      <c r="R31" s="34" t="s">
        <v>79</v>
      </c>
      <c r="S31" s="13">
        <v>77</v>
      </c>
      <c r="T31" s="13">
        <v>0</v>
      </c>
      <c r="U31" s="15">
        <f t="shared" si="3"/>
        <v>0</v>
      </c>
    </row>
    <row r="32" spans="2:21" ht="14.4" x14ac:dyDescent="0.3">
      <c r="B32" s="45" t="s">
        <v>88</v>
      </c>
      <c r="C32" s="46">
        <f>G32-D32-E32-F32</f>
        <v>0</v>
      </c>
      <c r="D32" s="47">
        <v>0</v>
      </c>
      <c r="E32" s="47">
        <v>0</v>
      </c>
      <c r="F32" s="47">
        <v>0</v>
      </c>
      <c r="G32" s="46">
        <f>ROUND(G30*H32,0)</f>
        <v>0</v>
      </c>
      <c r="H32" s="54">
        <v>0.1</v>
      </c>
      <c r="J32" s="45" t="s">
        <v>88</v>
      </c>
      <c r="K32" s="46">
        <f>O32-L32-M32-N32</f>
        <v>0</v>
      </c>
      <c r="L32" s="47">
        <v>0</v>
      </c>
      <c r="M32" s="47">
        <v>0</v>
      </c>
      <c r="N32" s="47">
        <v>0</v>
      </c>
      <c r="O32" s="46">
        <f>ROUND(O30*P32,0)</f>
        <v>0</v>
      </c>
      <c r="P32" s="54">
        <v>0.1</v>
      </c>
      <c r="R32" s="39" t="s">
        <v>81</v>
      </c>
      <c r="S32" s="40"/>
      <c r="T32" s="40"/>
      <c r="U32" s="49">
        <f>SUM(U23:U31)</f>
        <v>0</v>
      </c>
    </row>
    <row r="33" spans="2:16" ht="14.4" x14ac:dyDescent="0.3">
      <c r="B33" s="50" t="s">
        <v>90</v>
      </c>
      <c r="C33" s="46">
        <f t="shared" ref="C33:C34" si="4">G33-SUM(D33:F33)</f>
        <v>0</v>
      </c>
      <c r="D33" s="47">
        <v>0</v>
      </c>
      <c r="E33" s="47">
        <v>0</v>
      </c>
      <c r="F33" s="47">
        <v>0</v>
      </c>
      <c r="G33" s="47">
        <v>0</v>
      </c>
      <c r="H33" s="4"/>
      <c r="J33" s="50" t="s">
        <v>90</v>
      </c>
      <c r="K33" s="46">
        <f t="shared" ref="K33:K34" si="5">O33-SUM(L33:N33)</f>
        <v>0</v>
      </c>
      <c r="L33" s="47">
        <v>0</v>
      </c>
      <c r="M33" s="47">
        <v>0</v>
      </c>
      <c r="N33" s="47">
        <v>0</v>
      </c>
      <c r="O33" s="47">
        <v>0</v>
      </c>
      <c r="P33" s="4"/>
    </row>
    <row r="34" spans="2:16" ht="14.4" x14ac:dyDescent="0.3">
      <c r="B34" s="57" t="s">
        <v>5</v>
      </c>
      <c r="C34" s="46">
        <f t="shared" si="4"/>
        <v>0</v>
      </c>
      <c r="D34" s="47">
        <v>0</v>
      </c>
      <c r="E34" s="47">
        <v>0</v>
      </c>
      <c r="F34" s="47">
        <v>0</v>
      </c>
      <c r="G34" s="47">
        <v>0</v>
      </c>
      <c r="H34" s="4"/>
      <c r="J34" s="57" t="s">
        <v>5</v>
      </c>
      <c r="K34" s="46">
        <f t="shared" si="5"/>
        <v>0</v>
      </c>
      <c r="L34" s="47">
        <v>0</v>
      </c>
      <c r="M34" s="47">
        <v>0</v>
      </c>
      <c r="N34" s="47">
        <v>0</v>
      </c>
      <c r="O34" s="47">
        <v>0</v>
      </c>
      <c r="P34" s="4"/>
    </row>
    <row r="35" spans="2:16" ht="14.4" x14ac:dyDescent="0.3">
      <c r="B35" s="57" t="s">
        <v>93</v>
      </c>
      <c r="C35" s="47">
        <v>0</v>
      </c>
      <c r="D35" s="46">
        <f>G35-C35</f>
        <v>0</v>
      </c>
      <c r="E35" s="20"/>
      <c r="F35" s="20"/>
      <c r="G35" s="90">
        <v>0</v>
      </c>
      <c r="H35" s="4"/>
      <c r="J35" s="57" t="s">
        <v>93</v>
      </c>
      <c r="K35" s="47">
        <v>0</v>
      </c>
      <c r="L35" s="46">
        <f>O35-K35</f>
        <v>0</v>
      </c>
      <c r="M35" s="20"/>
      <c r="N35" s="20"/>
      <c r="O35" s="90">
        <v>0</v>
      </c>
      <c r="P35" s="4"/>
    </row>
    <row r="36" spans="2:16" ht="14.4" x14ac:dyDescent="0.3">
      <c r="B36" s="61"/>
      <c r="C36" s="62">
        <f>SUM(C20:C35)</f>
        <v>0</v>
      </c>
      <c r="D36" s="62">
        <f>SUM(D20:D35)</f>
        <v>0</v>
      </c>
      <c r="E36" s="62">
        <f>SUM(E20:E35)</f>
        <v>0</v>
      </c>
      <c r="F36" s="62">
        <f>SUM(F20:F35)</f>
        <v>0</v>
      </c>
      <c r="G36" s="62">
        <f>SUM(G20:G35)</f>
        <v>0</v>
      </c>
      <c r="H36" s="4"/>
      <c r="J36" s="61"/>
      <c r="K36" s="62">
        <f>SUM(K20:K35)</f>
        <v>0</v>
      </c>
      <c r="L36" s="62">
        <f>SUM(L20:L35)</f>
        <v>0</v>
      </c>
      <c r="M36" s="62">
        <f>SUM(M20:M35)</f>
        <v>0</v>
      </c>
      <c r="N36" s="62">
        <f>SUM(N20:N35)</f>
        <v>0</v>
      </c>
      <c r="O36" s="62">
        <f>SUM(O20:O35)</f>
        <v>0</v>
      </c>
      <c r="P36" s="4"/>
    </row>
    <row r="37" spans="2:16" ht="14.4" x14ac:dyDescent="0.3">
      <c r="B37" s="6"/>
      <c r="C37" s="48">
        <f>IFERROR(C36/$G$36,0)</f>
        <v>0</v>
      </c>
      <c r="D37" s="48">
        <f>IFERROR(D36/$G$36,0)</f>
        <v>0</v>
      </c>
      <c r="E37" s="48">
        <f>IFERROR(E36/$G$36,0)</f>
        <v>0</v>
      </c>
      <c r="F37" s="48">
        <f>IFERROR(F36/$G$36,0)</f>
        <v>0</v>
      </c>
      <c r="G37" s="48">
        <f>IFERROR(G36/$G$36,0)</f>
        <v>0</v>
      </c>
      <c r="H37" s="4"/>
      <c r="J37" s="6"/>
      <c r="K37" s="48">
        <f>IFERROR(K36/$O$36,0)</f>
        <v>0</v>
      </c>
      <c r="L37" s="48">
        <f>IFERROR(L36/$O$36,0)</f>
        <v>0</v>
      </c>
      <c r="M37" s="48">
        <f>IFERROR(M36/$O$36,0)</f>
        <v>0</v>
      </c>
      <c r="N37" s="48">
        <f>IFERROR(N36/$O$36,0)</f>
        <v>0</v>
      </c>
      <c r="O37" s="48">
        <f>IFERROR(O36/$O$36,0)</f>
        <v>0</v>
      </c>
      <c r="P37" s="4"/>
    </row>
    <row r="38" spans="2:16" ht="14.4" x14ac:dyDescent="0.3">
      <c r="B38" s="32"/>
      <c r="C38" s="33"/>
      <c r="D38" s="33"/>
      <c r="E38" s="33"/>
      <c r="F38" s="33"/>
      <c r="G38" s="33"/>
      <c r="H38" s="7"/>
      <c r="J38" s="32"/>
      <c r="K38" s="33"/>
      <c r="L38" s="33"/>
      <c r="M38" s="33"/>
      <c r="N38" s="33"/>
      <c r="O38" s="33"/>
      <c r="P38" s="7"/>
    </row>
    <row r="41" spans="2:16" ht="14.4" x14ac:dyDescent="0.3">
      <c r="B41" s="67"/>
      <c r="C41" s="68" t="str">
        <f>C18</f>
        <v>T Bank  7(a)</v>
      </c>
      <c r="D41" s="69" t="str">
        <f>D18</f>
        <v>Borrower</v>
      </c>
      <c r="E41" s="69" t="str">
        <f>E18</f>
        <v>Seller Note</v>
      </c>
      <c r="F41" s="70" t="str">
        <f>G18</f>
        <v>Total</v>
      </c>
      <c r="J41" s="67"/>
      <c r="K41" s="68" t="str">
        <f>K18</f>
        <v>T Bank 504</v>
      </c>
      <c r="L41" s="69" t="str">
        <f>L18</f>
        <v>Borrower</v>
      </c>
      <c r="M41" s="68" t="str">
        <f>M18</f>
        <v>Seller Note</v>
      </c>
      <c r="N41" s="69" t="str">
        <f>N18</f>
        <v>CDC 504</v>
      </c>
      <c r="O41" s="70" t="str">
        <f>O18</f>
        <v>Total</v>
      </c>
    </row>
    <row r="42" spans="2:16" ht="14.4" x14ac:dyDescent="0.3">
      <c r="B42" s="71" t="str">
        <f t="shared" ref="B42:B57" si="6">B20</f>
        <v>Real Estate Acquisition</v>
      </c>
      <c r="C42" s="72">
        <f t="shared" ref="C42:C59" si="7">C20</f>
        <v>0</v>
      </c>
      <c r="D42" s="72">
        <f t="shared" ref="D42:D59" si="8">D20</f>
        <v>0</v>
      </c>
      <c r="E42" s="72">
        <f t="shared" ref="E42:E59" si="9">E20</f>
        <v>0</v>
      </c>
      <c r="F42" s="73">
        <f t="shared" ref="F42:F59" si="10">G20</f>
        <v>0</v>
      </c>
      <c r="J42" s="71" t="str">
        <f t="shared" ref="J42:J57" si="11">J20</f>
        <v>Real Estate Acquisition</v>
      </c>
      <c r="K42" s="72">
        <f t="shared" ref="K42:K59" si="12">K20</f>
        <v>0</v>
      </c>
      <c r="L42" s="72">
        <f t="shared" ref="L42:L59" si="13">L20</f>
        <v>0</v>
      </c>
      <c r="M42" s="72">
        <f t="shared" ref="M42:M59" si="14">M20</f>
        <v>0</v>
      </c>
      <c r="N42" s="72">
        <f t="shared" ref="N42:N59" si="15">N20</f>
        <v>0</v>
      </c>
      <c r="O42" s="73">
        <f t="shared" ref="O42:O59" si="16">O20</f>
        <v>0</v>
      </c>
    </row>
    <row r="43" spans="2:16" ht="14.4" x14ac:dyDescent="0.3">
      <c r="B43" s="71" t="str">
        <f t="shared" si="6"/>
        <v>Debt Refi - CRE</v>
      </c>
      <c r="C43" s="72">
        <f t="shared" si="7"/>
        <v>0</v>
      </c>
      <c r="D43" s="72">
        <f t="shared" si="8"/>
        <v>0</v>
      </c>
      <c r="E43" s="72">
        <f t="shared" si="9"/>
        <v>0</v>
      </c>
      <c r="F43" s="73">
        <f t="shared" si="10"/>
        <v>0</v>
      </c>
      <c r="J43" s="71" t="str">
        <f t="shared" si="11"/>
        <v>Debt Refi - CRE</v>
      </c>
      <c r="K43" s="72">
        <f t="shared" si="12"/>
        <v>0</v>
      </c>
      <c r="L43" s="72">
        <f t="shared" si="13"/>
        <v>0</v>
      </c>
      <c r="M43" s="72">
        <f t="shared" si="14"/>
        <v>0</v>
      </c>
      <c r="N43" s="72">
        <f t="shared" si="15"/>
        <v>0</v>
      </c>
      <c r="O43" s="73">
        <f t="shared" si="16"/>
        <v>0</v>
      </c>
    </row>
    <row r="44" spans="2:16" ht="14.4" x14ac:dyDescent="0.3">
      <c r="B44" s="71" t="str">
        <f t="shared" si="6"/>
        <v>Debt Refi - Non-CRE</v>
      </c>
      <c r="C44" s="72">
        <f t="shared" si="7"/>
        <v>0</v>
      </c>
      <c r="D44" s="72">
        <f t="shared" si="8"/>
        <v>0</v>
      </c>
      <c r="E44" s="72">
        <f t="shared" si="9"/>
        <v>0</v>
      </c>
      <c r="F44" s="73">
        <f t="shared" si="10"/>
        <v>0</v>
      </c>
      <c r="J44" s="71" t="str">
        <f t="shared" si="11"/>
        <v>Debt Refi - Non-CRE</v>
      </c>
      <c r="K44" s="72">
        <f t="shared" si="12"/>
        <v>0</v>
      </c>
      <c r="L44" s="72">
        <f t="shared" si="13"/>
        <v>0</v>
      </c>
      <c r="M44" s="72">
        <f t="shared" si="14"/>
        <v>0</v>
      </c>
      <c r="N44" s="72">
        <f t="shared" si="15"/>
        <v>0</v>
      </c>
      <c r="O44" s="73">
        <f t="shared" si="16"/>
        <v>0</v>
      </c>
    </row>
    <row r="45" spans="2:16" ht="14.4" x14ac:dyDescent="0.3">
      <c r="B45" s="71" t="str">
        <f t="shared" si="6"/>
        <v>Machinery &amp; Equipment</v>
      </c>
      <c r="C45" s="72">
        <f t="shared" si="7"/>
        <v>0</v>
      </c>
      <c r="D45" s="72">
        <f t="shared" si="8"/>
        <v>0</v>
      </c>
      <c r="E45" s="72">
        <f t="shared" si="9"/>
        <v>0</v>
      </c>
      <c r="F45" s="73">
        <f t="shared" si="10"/>
        <v>0</v>
      </c>
      <c r="J45" s="71" t="str">
        <f t="shared" si="11"/>
        <v>Machinery &amp; Equipment</v>
      </c>
      <c r="K45" s="72">
        <f t="shared" si="12"/>
        <v>0</v>
      </c>
      <c r="L45" s="72">
        <f t="shared" si="13"/>
        <v>0</v>
      </c>
      <c r="M45" s="72">
        <f t="shared" si="14"/>
        <v>0</v>
      </c>
      <c r="N45" s="72">
        <f t="shared" si="15"/>
        <v>0</v>
      </c>
      <c r="O45" s="73">
        <f t="shared" si="16"/>
        <v>0</v>
      </c>
    </row>
    <row r="46" spans="2:16" ht="14.4" hidden="1" x14ac:dyDescent="0.3">
      <c r="B46" s="71" t="str">
        <f t="shared" si="6"/>
        <v>Furniture &amp; Fixtures (TIs)</v>
      </c>
      <c r="C46" s="72">
        <f t="shared" si="7"/>
        <v>0</v>
      </c>
      <c r="D46" s="72">
        <f t="shared" si="8"/>
        <v>0</v>
      </c>
      <c r="E46" s="72">
        <f t="shared" si="9"/>
        <v>0</v>
      </c>
      <c r="F46" s="73">
        <f t="shared" si="10"/>
        <v>0</v>
      </c>
      <c r="J46" s="71" t="str">
        <f t="shared" si="11"/>
        <v>Furniture &amp; Fixtures (TIs)</v>
      </c>
      <c r="K46" s="72">
        <f t="shared" si="12"/>
        <v>0</v>
      </c>
      <c r="L46" s="72">
        <f t="shared" si="13"/>
        <v>0</v>
      </c>
      <c r="M46" s="72">
        <f t="shared" si="14"/>
        <v>0</v>
      </c>
      <c r="N46" s="72">
        <f t="shared" si="15"/>
        <v>0</v>
      </c>
      <c r="O46" s="73">
        <f t="shared" si="16"/>
        <v>0</v>
      </c>
    </row>
    <row r="47" spans="2:16" ht="14.4" hidden="1" x14ac:dyDescent="0.3">
      <c r="B47" s="71" t="str">
        <f t="shared" si="6"/>
        <v>Inventory</v>
      </c>
      <c r="C47" s="72">
        <f t="shared" si="7"/>
        <v>0</v>
      </c>
      <c r="D47" s="72">
        <f t="shared" si="8"/>
        <v>0</v>
      </c>
      <c r="E47" s="72">
        <f t="shared" si="9"/>
        <v>0</v>
      </c>
      <c r="F47" s="73">
        <f t="shared" si="10"/>
        <v>0</v>
      </c>
      <c r="J47" s="71" t="str">
        <f t="shared" si="11"/>
        <v>Inventory</v>
      </c>
      <c r="K47" s="72">
        <f t="shared" si="12"/>
        <v>0</v>
      </c>
      <c r="L47" s="72">
        <f t="shared" si="13"/>
        <v>0</v>
      </c>
      <c r="M47" s="72">
        <f t="shared" si="14"/>
        <v>0</v>
      </c>
      <c r="N47" s="72">
        <f t="shared" si="15"/>
        <v>0</v>
      </c>
      <c r="O47" s="73">
        <f t="shared" si="16"/>
        <v>0</v>
      </c>
    </row>
    <row r="48" spans="2:16" ht="14.4" hidden="1" x14ac:dyDescent="0.3">
      <c r="B48" s="71" t="str">
        <f t="shared" si="6"/>
        <v>Working Capital</v>
      </c>
      <c r="C48" s="72">
        <f t="shared" si="7"/>
        <v>0</v>
      </c>
      <c r="D48" s="72">
        <f t="shared" si="8"/>
        <v>0</v>
      </c>
      <c r="E48" s="72">
        <f t="shared" si="9"/>
        <v>0</v>
      </c>
      <c r="F48" s="73">
        <f t="shared" si="10"/>
        <v>0</v>
      </c>
      <c r="J48" s="71" t="str">
        <f t="shared" si="11"/>
        <v>Working Capital</v>
      </c>
      <c r="K48" s="72">
        <f t="shared" si="12"/>
        <v>0</v>
      </c>
      <c r="L48" s="72">
        <f t="shared" si="13"/>
        <v>0</v>
      </c>
      <c r="M48" s="72">
        <f t="shared" si="14"/>
        <v>0</v>
      </c>
      <c r="N48" s="72">
        <f t="shared" si="15"/>
        <v>0</v>
      </c>
      <c r="O48" s="73">
        <f t="shared" si="16"/>
        <v>0</v>
      </c>
    </row>
    <row r="49" spans="2:15" ht="14.4" hidden="1" x14ac:dyDescent="0.3">
      <c r="B49" s="71" t="str">
        <f t="shared" si="6"/>
        <v>Working Capital - Pre Opening</v>
      </c>
      <c r="C49" s="72">
        <f t="shared" si="7"/>
        <v>0</v>
      </c>
      <c r="D49" s="72">
        <f t="shared" si="8"/>
        <v>0</v>
      </c>
      <c r="E49" s="72">
        <f t="shared" si="9"/>
        <v>0</v>
      </c>
      <c r="F49" s="73">
        <f t="shared" si="10"/>
        <v>0</v>
      </c>
      <c r="J49" s="71" t="str">
        <f t="shared" si="11"/>
        <v>Working Capital - Pre Opening</v>
      </c>
      <c r="K49" s="72">
        <f t="shared" si="12"/>
        <v>0</v>
      </c>
      <c r="L49" s="72">
        <f t="shared" si="13"/>
        <v>0</v>
      </c>
      <c r="M49" s="72">
        <f t="shared" si="14"/>
        <v>0</v>
      </c>
      <c r="N49" s="72">
        <f t="shared" si="15"/>
        <v>0</v>
      </c>
      <c r="O49" s="73">
        <f t="shared" si="16"/>
        <v>0</v>
      </c>
    </row>
    <row r="50" spans="2:15" ht="14.4" x14ac:dyDescent="0.3">
      <c r="B50" s="71" t="str">
        <f t="shared" si="6"/>
        <v>Business Acquisition</v>
      </c>
      <c r="C50" s="72">
        <f t="shared" si="7"/>
        <v>0</v>
      </c>
      <c r="D50" s="72">
        <f t="shared" si="8"/>
        <v>0</v>
      </c>
      <c r="E50" s="72">
        <f t="shared" si="9"/>
        <v>0</v>
      </c>
      <c r="F50" s="73">
        <f t="shared" si="10"/>
        <v>0</v>
      </c>
      <c r="J50" s="71" t="str">
        <f t="shared" si="11"/>
        <v>Business Acquisition</v>
      </c>
      <c r="K50" s="72">
        <f t="shared" si="12"/>
        <v>0</v>
      </c>
      <c r="L50" s="72">
        <f t="shared" si="13"/>
        <v>0</v>
      </c>
      <c r="M50" s="72">
        <f t="shared" si="14"/>
        <v>0</v>
      </c>
      <c r="N50" s="72">
        <f t="shared" si="15"/>
        <v>0</v>
      </c>
      <c r="O50" s="73">
        <f t="shared" si="16"/>
        <v>0</v>
      </c>
    </row>
    <row r="51" spans="2:15" ht="14.4" x14ac:dyDescent="0.3">
      <c r="B51" s="71" t="str">
        <f t="shared" si="6"/>
        <v>Franchise Fees</v>
      </c>
      <c r="C51" s="72">
        <f t="shared" si="7"/>
        <v>0</v>
      </c>
      <c r="D51" s="72">
        <f t="shared" si="8"/>
        <v>0</v>
      </c>
      <c r="E51" s="72">
        <f t="shared" si="9"/>
        <v>0</v>
      </c>
      <c r="F51" s="73">
        <f t="shared" si="10"/>
        <v>0</v>
      </c>
      <c r="J51" s="71" t="str">
        <f t="shared" si="11"/>
        <v>Franchise Fees</v>
      </c>
      <c r="K51" s="72">
        <f t="shared" si="12"/>
        <v>0</v>
      </c>
      <c r="L51" s="72">
        <f t="shared" si="13"/>
        <v>0</v>
      </c>
      <c r="M51" s="72">
        <f t="shared" si="14"/>
        <v>0</v>
      </c>
      <c r="N51" s="72">
        <f t="shared" si="15"/>
        <v>0</v>
      </c>
      <c r="O51" s="73">
        <f t="shared" si="16"/>
        <v>0</v>
      </c>
    </row>
    <row r="52" spans="2:15" ht="14.4" x14ac:dyDescent="0.3">
      <c r="B52" s="71" t="str">
        <f t="shared" si="6"/>
        <v>Construction Hard Costs</v>
      </c>
      <c r="C52" s="72">
        <f t="shared" si="7"/>
        <v>0</v>
      </c>
      <c r="D52" s="72">
        <f t="shared" si="8"/>
        <v>0</v>
      </c>
      <c r="E52" s="72">
        <f t="shared" si="9"/>
        <v>0</v>
      </c>
      <c r="F52" s="73">
        <f t="shared" si="10"/>
        <v>0</v>
      </c>
      <c r="J52" s="71" t="str">
        <f t="shared" si="11"/>
        <v>Construction Hard Costs</v>
      </c>
      <c r="K52" s="72">
        <f t="shared" si="12"/>
        <v>0</v>
      </c>
      <c r="L52" s="72">
        <f t="shared" si="13"/>
        <v>0</v>
      </c>
      <c r="M52" s="72">
        <f t="shared" si="14"/>
        <v>0</v>
      </c>
      <c r="N52" s="72">
        <f t="shared" si="15"/>
        <v>0</v>
      </c>
      <c r="O52" s="73">
        <f t="shared" si="16"/>
        <v>0</v>
      </c>
    </row>
    <row r="53" spans="2:15" ht="14.4" x14ac:dyDescent="0.3">
      <c r="B53" s="71" t="str">
        <f t="shared" si="6"/>
        <v>Interim Interest Reserve</v>
      </c>
      <c r="C53" s="72">
        <f t="shared" si="7"/>
        <v>0</v>
      </c>
      <c r="D53" s="72">
        <f t="shared" si="8"/>
        <v>0</v>
      </c>
      <c r="E53" s="72">
        <f t="shared" si="9"/>
        <v>0</v>
      </c>
      <c r="F53" s="73">
        <f t="shared" si="10"/>
        <v>0</v>
      </c>
      <c r="J53" s="71" t="str">
        <f t="shared" si="11"/>
        <v>Interim Interest Reserve</v>
      </c>
      <c r="K53" s="72">
        <f t="shared" si="12"/>
        <v>0</v>
      </c>
      <c r="L53" s="72">
        <f t="shared" si="13"/>
        <v>0</v>
      </c>
      <c r="M53" s="72">
        <f t="shared" si="14"/>
        <v>0</v>
      </c>
      <c r="N53" s="72">
        <f t="shared" si="15"/>
        <v>0</v>
      </c>
      <c r="O53" s="73">
        <f t="shared" si="16"/>
        <v>0</v>
      </c>
    </row>
    <row r="54" spans="2:15" ht="14.4" x14ac:dyDescent="0.3">
      <c r="B54" s="71" t="str">
        <f t="shared" si="6"/>
        <v>Construction Contingency</v>
      </c>
      <c r="C54" s="72">
        <f t="shared" si="7"/>
        <v>0</v>
      </c>
      <c r="D54" s="72">
        <f t="shared" si="8"/>
        <v>0</v>
      </c>
      <c r="E54" s="72">
        <f t="shared" si="9"/>
        <v>0</v>
      </c>
      <c r="F54" s="73">
        <f t="shared" si="10"/>
        <v>0</v>
      </c>
      <c r="J54" s="71" t="str">
        <f t="shared" si="11"/>
        <v>Construction Contingency</v>
      </c>
      <c r="K54" s="72">
        <f t="shared" si="12"/>
        <v>0</v>
      </c>
      <c r="L54" s="72">
        <f t="shared" si="13"/>
        <v>0</v>
      </c>
      <c r="M54" s="72">
        <f t="shared" si="14"/>
        <v>0</v>
      </c>
      <c r="N54" s="72">
        <f t="shared" si="15"/>
        <v>0</v>
      </c>
      <c r="O54" s="73">
        <f t="shared" si="16"/>
        <v>0</v>
      </c>
    </row>
    <row r="55" spans="2:15" ht="14.4" x14ac:dyDescent="0.3">
      <c r="B55" s="71" t="str">
        <f t="shared" si="6"/>
        <v>Other Construction Soft Costs</v>
      </c>
      <c r="C55" s="72">
        <f t="shared" si="7"/>
        <v>0</v>
      </c>
      <c r="D55" s="72">
        <f t="shared" si="8"/>
        <v>0</v>
      </c>
      <c r="E55" s="72">
        <f t="shared" si="9"/>
        <v>0</v>
      </c>
      <c r="F55" s="73">
        <f t="shared" si="10"/>
        <v>0</v>
      </c>
      <c r="J55" s="71" t="str">
        <f t="shared" si="11"/>
        <v>Other Construction Soft Costs</v>
      </c>
      <c r="K55" s="72">
        <f t="shared" si="12"/>
        <v>0</v>
      </c>
      <c r="L55" s="72">
        <f t="shared" si="13"/>
        <v>0</v>
      </c>
      <c r="M55" s="72">
        <f t="shared" si="14"/>
        <v>0</v>
      </c>
      <c r="N55" s="72">
        <f t="shared" si="15"/>
        <v>0</v>
      </c>
      <c r="O55" s="73">
        <f t="shared" si="16"/>
        <v>0</v>
      </c>
    </row>
    <row r="56" spans="2:15" ht="14.4" x14ac:dyDescent="0.3">
      <c r="B56" s="71" t="str">
        <f t="shared" si="6"/>
        <v>Closing Costs</v>
      </c>
      <c r="C56" s="72">
        <f t="shared" si="7"/>
        <v>0</v>
      </c>
      <c r="D56" s="72">
        <f t="shared" si="8"/>
        <v>0</v>
      </c>
      <c r="E56" s="72">
        <f t="shared" si="9"/>
        <v>0</v>
      </c>
      <c r="F56" s="73">
        <f t="shared" si="10"/>
        <v>0</v>
      </c>
      <c r="J56" s="71" t="str">
        <f t="shared" si="11"/>
        <v>Closing Costs</v>
      </c>
      <c r="K56" s="72">
        <f t="shared" si="12"/>
        <v>0</v>
      </c>
      <c r="L56" s="72">
        <f t="shared" si="13"/>
        <v>0</v>
      </c>
      <c r="M56" s="72">
        <f t="shared" si="14"/>
        <v>0</v>
      </c>
      <c r="N56" s="72">
        <f t="shared" si="15"/>
        <v>0</v>
      </c>
      <c r="O56" s="73">
        <f t="shared" si="16"/>
        <v>0</v>
      </c>
    </row>
    <row r="57" spans="2:15" ht="14.4" x14ac:dyDescent="0.3">
      <c r="B57" s="71" t="str">
        <f t="shared" si="6"/>
        <v>SBA Gty Fee</v>
      </c>
      <c r="C57" s="72">
        <f t="shared" si="7"/>
        <v>0</v>
      </c>
      <c r="D57" s="72">
        <f t="shared" si="8"/>
        <v>0</v>
      </c>
      <c r="E57" s="72">
        <f t="shared" si="9"/>
        <v>0</v>
      </c>
      <c r="F57" s="73">
        <f t="shared" si="10"/>
        <v>0</v>
      </c>
      <c r="J57" s="71" t="str">
        <f t="shared" si="11"/>
        <v>SBA Gty Fee</v>
      </c>
      <c r="K57" s="72">
        <f t="shared" si="12"/>
        <v>0</v>
      </c>
      <c r="L57" s="72">
        <f t="shared" si="13"/>
        <v>0</v>
      </c>
      <c r="M57" s="72">
        <f t="shared" si="14"/>
        <v>0</v>
      </c>
      <c r="N57" s="72">
        <f t="shared" si="15"/>
        <v>0</v>
      </c>
      <c r="O57" s="73">
        <f t="shared" si="16"/>
        <v>0</v>
      </c>
    </row>
    <row r="58" spans="2:15" ht="14.4" x14ac:dyDescent="0.3">
      <c r="B58" s="74" t="s">
        <v>247</v>
      </c>
      <c r="C58" s="75">
        <f t="shared" si="7"/>
        <v>0</v>
      </c>
      <c r="D58" s="75">
        <f t="shared" si="8"/>
        <v>0</v>
      </c>
      <c r="E58" s="75">
        <f t="shared" si="9"/>
        <v>0</v>
      </c>
      <c r="F58" s="76">
        <f t="shared" si="10"/>
        <v>0</v>
      </c>
      <c r="J58" s="74" t="s">
        <v>247</v>
      </c>
      <c r="K58" s="75">
        <f t="shared" si="12"/>
        <v>0</v>
      </c>
      <c r="L58" s="75">
        <f t="shared" si="13"/>
        <v>0</v>
      </c>
      <c r="M58" s="75">
        <f t="shared" si="14"/>
        <v>0</v>
      </c>
      <c r="N58" s="75">
        <f t="shared" si="15"/>
        <v>0</v>
      </c>
      <c r="O58" s="76">
        <f t="shared" si="16"/>
        <v>0</v>
      </c>
    </row>
    <row r="59" spans="2:15" ht="14.4" x14ac:dyDescent="0.3">
      <c r="B59" s="77" t="s">
        <v>248</v>
      </c>
      <c r="C59" s="78">
        <f t="shared" si="7"/>
        <v>0</v>
      </c>
      <c r="D59" s="78">
        <f t="shared" si="8"/>
        <v>0</v>
      </c>
      <c r="E59" s="78">
        <f t="shared" si="9"/>
        <v>0</v>
      </c>
      <c r="F59" s="79">
        <f t="shared" si="10"/>
        <v>0</v>
      </c>
      <c r="J59" s="77" t="s">
        <v>248</v>
      </c>
      <c r="K59" s="78">
        <f t="shared" si="12"/>
        <v>0</v>
      </c>
      <c r="L59" s="78">
        <f t="shared" si="13"/>
        <v>0</v>
      </c>
      <c r="M59" s="78">
        <f t="shared" si="14"/>
        <v>0</v>
      </c>
      <c r="N59" s="78">
        <f t="shared" si="15"/>
        <v>0</v>
      </c>
      <c r="O59" s="79">
        <f t="shared" si="16"/>
        <v>0</v>
      </c>
    </row>
  </sheetData>
  <mergeCells count="5">
    <mergeCell ref="B3:H3"/>
    <mergeCell ref="N8:O8"/>
    <mergeCell ref="N11:O11"/>
    <mergeCell ref="N12:O12"/>
    <mergeCell ref="N10:O10"/>
  </mergeCells>
  <conditionalFormatting sqref="C35:G35">
    <cfRule type="expression" dxfId="10" priority="1">
      <formula>$C$30=504</formula>
    </cfRule>
  </conditionalFormatting>
  <conditionalFormatting sqref="J13">
    <cfRule type="expression" dxfId="9" priority="3">
      <formula>$H$29&gt;5000000</formula>
    </cfRule>
  </conditionalFormatting>
  <conditionalFormatting sqref="K3">
    <cfRule type="expression" dxfId="8" priority="4">
      <formula>"IF(N60&lt;1)"</formula>
    </cfRule>
  </conditionalFormatting>
  <conditionalFormatting sqref="K35:O35">
    <cfRule type="expression" dxfId="7" priority="2">
      <formula>$C$30=504</formula>
    </cfRule>
  </conditionalFormatting>
  <conditionalFormatting sqref="R20">
    <cfRule type="expression" dxfId="6" priority="10">
      <formula>$H$29&gt;5000000</formula>
    </cfRule>
  </conditionalFormatting>
  <conditionalFormatting sqref="R32">
    <cfRule type="expression" dxfId="5" priority="12">
      <formula>$H$29&gt;5000000</formula>
    </cfRule>
  </conditionalFormatting>
  <conditionalFormatting sqref="S4:S18">
    <cfRule type="expression" dxfId="4" priority="5">
      <formula>OR(ISBLANK(S4),ISTEXT(S4))</formula>
    </cfRule>
  </conditionalFormatting>
  <conditionalFormatting sqref="S10">
    <cfRule type="containsBlanks" dxfId="3" priority="6">
      <formula>LEN(TRIM(S10))=0</formula>
    </cfRule>
  </conditionalFormatting>
  <conditionalFormatting sqref="S19">
    <cfRule type="cellIs" dxfId="2" priority="7" operator="greaterThan">
      <formula>5000000</formula>
    </cfRule>
  </conditionalFormatting>
  <conditionalFormatting sqref="S23:S31">
    <cfRule type="expression" dxfId="1" priority="11">
      <formula>OR(ISBLANK(S23),ISTEXT(S23))</formula>
    </cfRule>
  </conditionalFormatting>
  <conditionalFormatting sqref="U19">
    <cfRule type="cellIs" dxfId="0" priority="13" operator="greaterThan">
      <formula>5000000</formula>
    </cfRule>
  </conditionalFormatting>
  <dataValidations count="1">
    <dataValidation type="whole" operator="greaterThanOrEqual" allowBlank="1" showErrorMessage="1" errorTitle="The value you entered is not valid." error="The value entered violates data validation rules set in cell" sqref="S4:U17 U18 S23:U31" xr:uid="{00000000-0002-0000-0300-000000000000}">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BDO Prequal</vt:lpstr>
      <vt:lpstr>Guarantors</vt:lpstr>
      <vt:lpstr>Affiliates</vt:lpstr>
      <vt:lpstr>Scores</vt:lpstr>
      <vt:lpstr>Charts</vt:lpstr>
      <vt:lpstr>Lists</vt:lpstr>
      <vt:lpstr>Calculations</vt:lpstr>
      <vt:lpstr>Summary</vt:lpstr>
      <vt:lpstr>Financial Spreads</vt:lpstr>
      <vt:lpstr>504-Hybrid</vt:lpstr>
      <vt:lpstr>Scores!Print_Area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 Torres</cp:lastModifiedBy>
  <cp:lastPrinted>2026-05-08T16:53:06Z</cp:lastPrinted>
  <dcterms:created xsi:type="dcterms:W3CDTF">2026-04-10T14:46:47Z</dcterms:created>
  <dcterms:modified xsi:type="dcterms:W3CDTF">2026-05-18T16:30:02Z</dcterms:modified>
</cp:coreProperties>
</file>