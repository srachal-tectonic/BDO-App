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drawings/vmlDrawing1.xml" ContentType="application/vnd.openxmlformats-officedocument.vmlDrawing"/>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Proposed Changes" r:id="rId1" sheetId="1"/>
    <sheet name="1. Project Structure" r:id="rId2" sheetId="2"/>
    <sheet name="2. Sources and Uses" r:id="rId3" sheetId="3"/>
    <sheet name="3. Financials" r:id="rId4" sheetId="4"/>
    <sheet name="4. PFS " r:id="rId5" sheetId="5"/>
    <sheet name="5.Collateral" r:id="rId6" sheetId="6"/>
    <sheet name="Charts" r:id="rId7" sheetId="7"/>
    <sheet name="6. Affiliates" r:id="rId8" sheetId="8"/>
    <sheet name="Lists" r:id="rId9" sheetId="9" state="hidden"/>
    <sheet name="Version" r:id="rId10" sheetId="10" state="hidden"/>
    <sheet name="Scores" r:id="rId11" sheetId="11"/>
    <sheet name="Lists_1" r:id="rId12" sheetId="12"/>
  </sheets>
  <definedNames>
    <definedName name="Beg_Bal" localSheetId="10">#REF!</definedName>
    <definedName name="Beg_Bal">#REF!</definedName>
    <definedName name="Cum_Int">#REF!</definedName>
    <definedName name="Data">#REF!</definedName>
    <definedName name="DisbursementType" localSheetId="10">#REF!</definedName>
    <definedName name="DisbursementType">#REF!</definedName>
    <definedName name="End_Bal" localSheetId="10">#REF!</definedName>
    <definedName name="End_Bal">#REF!</definedName>
    <definedName name="EXPENSES" localSheetId="10">#REF!</definedName>
    <definedName name="EXPENSES">#REF!</definedName>
    <definedName name="Extra_Pay" localSheetId="10">#REF!</definedName>
    <definedName name="Extra_Pay">#REF!</definedName>
    <definedName name="Full_Print" localSheetId="10">#REF!</definedName>
    <definedName name="Full_Print">#REF!</definedName>
    <definedName name="Header_Row" localSheetId="10">_xlfn.ROW(#REF!)</definedName>
    <definedName name="Header_Row">_xlfn.ROW(#REF!)</definedName>
    <definedName name="Int" localSheetId="10">#REF!</definedName>
    <definedName name="Int">#REF!</definedName>
    <definedName name="Interest_Rate" localSheetId="10">#REF!</definedName>
    <definedName name="Interest_Rate">#REF!</definedName>
    <definedName name="Last_Row" localSheetId="6">IF(#REF!_Entered,Header_Row+#REF!_of_Payments,Header_Row)</definedName>
    <definedName name="Last_Row" localSheetId="10">IF(Scores!Values_Entered,Scores!Header_Row+Scores!Number_of_Payments,Scores!Header_Row)</definedName>
    <definedName name="Last_Row">IF(Values_Entered,Header_Row+Number_of_Payments,Header_Row)</definedName>
    <definedName name="Loan_Amount" localSheetId="10">#REF!</definedName>
    <definedName name="Loan_Amount">#REF!</definedName>
    <definedName name="Loan_Start" localSheetId="10">#REF!</definedName>
    <definedName name="Loan_Start">#REF!</definedName>
    <definedName name="Loan_Years" localSheetId="10">#REF!</definedName>
    <definedName name="Loan_Years">#REF!</definedName>
    <definedName name="MajorExpensesList" localSheetId="10">#REF!</definedName>
    <definedName name="MajorExpensesList">#REF!</definedName>
    <definedName name="Num_Pmt_Per_Year" localSheetId="10">#REF!</definedName>
    <definedName name="Num_Pmt_Per_Year">#REF!</definedName>
    <definedName name="Number_of_Payments" localSheetId="6">MATCH(0.01,End_Bal,-1)+1</definedName>
    <definedName name="Number_of_Payments" localSheetId="10">MATCH(0.01,Scores!End_Bal,-1)+1</definedName>
    <definedName name="Number_of_Payments">MATCH(0.01,End_Bal,-1)+1</definedName>
    <definedName name="Pay_Date">#REF!</definedName>
    <definedName name="Pay_Num" localSheetId="10">#REF!</definedName>
    <definedName name="Pay_Num">#REF!</definedName>
    <definedName name="Payment_Date" localSheetId="6">"DATE(YEAR(#REF!_Start);MONTH(#REF!_Start)+Payment_Number;DAY(#REF!_Start))"</definedName>
    <definedName name="Payment_Date" localSheetId="10">DATE(YEAR(Scores!Loan_Start),MONTH(Scores!Loan_Start)+Payment_Number,DAY(Scores!Loan_Start))</definedName>
    <definedName name="Payment_Date">DATE(YEAR(Loan_Start),MONTH(Loan_Start)+Payment_Number,DAY(Loan_Start))</definedName>
    <definedName name="Periodic_rate" localSheetId="6">Annual_interest_rate/Payments_per_year</definedName>
    <definedName name="Periodic_rate" localSheetId="10">Annual_interest_rate/Payments_per_year</definedName>
    <definedName name="Periodic_rate">Annual_interest_rate/Payments_per_year</definedName>
    <definedName name="Princ" localSheetId="10">#REF!</definedName>
    <definedName name="Princ">#REF!</definedName>
    <definedName name="_xlnm.Print_Area" localSheetId="10">'Scores'!$A$1:$I$11</definedName>
    <definedName name="Print_Area_Reset" localSheetId="6">OFFSET(Full_Print,0,0,#REF!_Row)</definedName>
    <definedName name="Print_Area_Reset" localSheetId="10">OFFSET(Scores!Full_Print,0,0,Scores!Last_Row)</definedName>
    <definedName name="Print_Area_Reset">OFFSET(Full_Print,0,0,Last_Row)</definedName>
    <definedName name="Sched_Pay" localSheetId="10">#REF!</definedName>
    <definedName name="Sched_Pay">#REF!</definedName>
    <definedName name="Scheduled_Extra_Payments" localSheetId="10">#REF!</definedName>
    <definedName name="Scheduled_Extra_Payments">#REF!</definedName>
    <definedName name="Scheduled_Interest_Rate">#REF!</definedName>
    <definedName name="Scheduled_Monthly_Payment" localSheetId="10">#REF!</definedName>
    <definedName name="Scheduled_Monthly_Payment">#REF!</definedName>
    <definedName name="Total_Interest">#REF!</definedName>
    <definedName name="Total_Pay" localSheetId="10">#REF!</definedName>
    <definedName name="Total_Pay">#REF!</definedName>
    <definedName name="Total_Payment" localSheetId="6">Scheduled_Payment+Extra_Payment</definedName>
    <definedName name="Total_Payment" localSheetId="10">Scheduled_Payment+Extra_Payment</definedName>
    <definedName name="Total_Payment">Scheduled_Payment+Extra_Payment</definedName>
    <definedName name="Total_payments" localSheetId="6">Payments_per_year*Term_in_years</definedName>
    <definedName name="Total_payments" localSheetId="10">Payments_per_year*Term_in_years</definedName>
    <definedName name="Total_payments">Payments_per_year*Term_in_years</definedName>
    <definedName name="Values_Entered" localSheetId="6">IF(Loan_Amount*Interest_Rate*Loan_Years*Loan_Start&gt;0,1,0)</definedName>
    <definedName name="Values_Entered" localSheetId="10">"#N/A"</definedName>
    <definedName name="Values_Entered">IF(Loan_Amount*Interest_Rate*Loan_Years*Loan_Start&gt;0,1,0)</definedName>
    <definedName name="_xlnm.Print_Area">'Scores'!$A$1:$I$11</definedName>
  </definedNames>
  <extLst/>
</workbook>
</file>

<file path=xl/comments1.xml><?xml version="1.0" encoding="utf-8"?>
<comments xmlns="http://schemas.openxmlformats.org/spreadsheetml/2006/main">
  <authors>
    <author/>
  </authors>
  <commentList>
    <comment ref="C20" authorId="0">
      <text>
        <t xml:space="preserve">Administrator:
Amortization Basis and Months required to calculate Payment.
Pmt Calculates off Sources and Uses if input
</t>
      </text>
    </comment>
  </commentList>
</comments>
</file>

<file path=xl/sharedStrings.xml><?xml version="1.0" encoding="utf-8"?>
<sst xmlns="http://schemas.openxmlformats.org/spreadsheetml/2006/main" count="809" uniqueCount="809">
  <si>
    <t>Tab 1</t>
  </si>
  <si>
    <t>Tab 2</t>
  </si>
  <si>
    <t>Tab 3</t>
  </si>
  <si>
    <t>Tab 4</t>
  </si>
  <si>
    <t>Tab 5</t>
  </si>
  <si>
    <t>Tab 6</t>
  </si>
  <si>
    <t>Tab 7</t>
  </si>
  <si>
    <t>Tab 8</t>
  </si>
  <si>
    <t>Project Structure</t>
  </si>
  <si>
    <t>Sources &amp; Uses</t>
  </si>
  <si>
    <t>Financials</t>
  </si>
  <si>
    <t>PFS</t>
  </si>
  <si>
    <t>Debt and Liquidity?</t>
  </si>
  <si>
    <t>Affiliates?</t>
  </si>
  <si>
    <t>Scores</t>
  </si>
  <si>
    <t>Sections</t>
  </si>
  <si>
    <t>Project Description</t>
  </si>
  <si>
    <t>Income Statement</t>
  </si>
  <si>
    <t>4) Personal Financial Analysis</t>
  </si>
  <si>
    <t>Global Debt Coverage?</t>
  </si>
  <si>
    <t>Income Statement Spreads</t>
  </si>
  <si>
    <t>Charts?</t>
  </si>
  <si>
    <t>Loan Terms</t>
  </si>
  <si>
    <t>Total Project Cost</t>
  </si>
  <si>
    <t>Business Debt Schedule</t>
  </si>
  <si>
    <t>Business Debt Schedule ?</t>
  </si>
  <si>
    <t xml:space="preserve">Closing Cost </t>
  </si>
  <si>
    <t>Liquidity Review?</t>
  </si>
  <si>
    <t>Misc Closing Cost</t>
  </si>
  <si>
    <t xml:space="preserve">Ben's Sections: </t>
  </si>
  <si>
    <t>1) Loan Structure</t>
  </si>
  <si>
    <t>2) Sources and Uses</t>
  </si>
  <si>
    <t>Liquidity Review</t>
  </si>
  <si>
    <t>3) Income Statement</t>
  </si>
  <si>
    <t>Global Debt Coverage</t>
  </si>
  <si>
    <t xml:space="preserve">Business Debt Schedule </t>
  </si>
  <si>
    <t xml:space="preserve">4)  Affiliate Analysis </t>
  </si>
  <si>
    <t xml:space="preserve">5) Collateral Summary </t>
  </si>
  <si>
    <t>T Bank Loan</t>
  </si>
  <si>
    <t>Borrower</t>
  </si>
  <si>
    <t>Seller Note</t>
  </si>
  <si>
    <t>3rd Party</t>
  </si>
  <si>
    <t>T Bank  7(a)</t>
  </si>
  <si>
    <t>T Bank 504</t>
  </si>
  <si>
    <t>CDC 504</t>
  </si>
  <si>
    <t>Product Type</t>
  </si>
  <si>
    <t>SBA Gty %</t>
  </si>
  <si>
    <t>Base Rate</t>
  </si>
  <si>
    <t>Loan Amount/Injection</t>
  </si>
  <si>
    <t>Est. Appraisal Costs</t>
  </si>
  <si>
    <t>Spread</t>
  </si>
  <si>
    <t>Est. Environmental Report Costs</t>
  </si>
  <si>
    <t>Indicative Rate</t>
  </si>
  <si>
    <t>Packaging Fee</t>
  </si>
  <si>
    <t>Amortization Basis</t>
  </si>
  <si>
    <t>Actual/365</t>
  </si>
  <si>
    <t>Survey</t>
  </si>
  <si>
    <t>Term (years)</t>
  </si>
  <si>
    <t>Business Valuation</t>
  </si>
  <si>
    <t>Amortization (mos)</t>
  </si>
  <si>
    <t>Title / Escrow / Closing</t>
  </si>
  <si>
    <t>Est Const Period (mths)</t>
  </si>
  <si>
    <t>SBA GTY Fee</t>
  </si>
  <si>
    <t>Estimated Payment</t>
  </si>
  <si>
    <t>Other Costs</t>
  </si>
  <si>
    <t>Total SBA Fees &amp; Closing Costs</t>
  </si>
  <si>
    <t>Are there funded SBA Loans in last 90 days?</t>
  </si>
  <si>
    <t>Amount?</t>
  </si>
  <si>
    <t xml:space="preserve">Guarantee %?  </t>
  </si>
  <si>
    <t>Sources and Uses of Proceeds</t>
  </si>
  <si>
    <t>Sources and Uses of Proceeds - 504</t>
  </si>
  <si>
    <t>Total</t>
  </si>
  <si>
    <t>SBA Term (yrs)</t>
  </si>
  <si>
    <t>%</t>
  </si>
  <si>
    <t>Wgt</t>
  </si>
  <si>
    <t>Direct Project Costs</t>
  </si>
  <si>
    <t>Real Estate Acquisition</t>
  </si>
  <si>
    <t>Debt Refi - CRE</t>
  </si>
  <si>
    <t>Debt Refi - Non-CRE</t>
  </si>
  <si>
    <t>Machinery &amp; Equipment</t>
  </si>
  <si>
    <t>Furniture &amp; Fixtures (TIs)</t>
  </si>
  <si>
    <t>Inventory</t>
  </si>
  <si>
    <t>Working Capital</t>
  </si>
  <si>
    <t>Working Capital - Pre Opening</t>
  </si>
  <si>
    <t>Business Acquisition</t>
  </si>
  <si>
    <t>Franchise Fees</t>
  </si>
  <si>
    <t>Construction Hard Costs</t>
  </si>
  <si>
    <t>Interim Interest Reserve</t>
  </si>
  <si>
    <t>Const Contigency</t>
  </si>
  <si>
    <t>Construction Contingency</t>
  </si>
  <si>
    <t>Other Construction Soft Costs</t>
  </si>
  <si>
    <t>Closing Costs</t>
  </si>
  <si>
    <t>SBA Gty Fee</t>
  </si>
  <si>
    <t>Weighted Term</t>
  </si>
  <si>
    <t>Total Project</t>
  </si>
  <si>
    <t>(difference)</t>
  </si>
  <si>
    <t>Bank Loan %</t>
  </si>
  <si>
    <t>CDC Loan %</t>
  </si>
  <si>
    <t>Borrower %</t>
  </si>
  <si>
    <t>Bank Interim Loan Fee %</t>
  </si>
  <si>
    <t>Blended Rate</t>
  </si>
  <si>
    <t>(C22*'1. Project Structure'.c16 + F22*'1. Project Structure'.f16)/SUM('1. Project Structure'.c13+'1. Project Structure'.F13)</t>
  </si>
  <si>
    <t>SBA TPL Fee %</t>
  </si>
  <si>
    <t>Referral Fee %</t>
  </si>
  <si>
    <t>Interim Loan</t>
  </si>
  <si>
    <t>Participant Fee %</t>
  </si>
  <si>
    <t>Rounded Fee</t>
  </si>
  <si>
    <t>Origination Fee Total</t>
  </si>
  <si>
    <t>Fee % to Interim</t>
  </si>
  <si>
    <t>504 Loan Project</t>
  </si>
  <si>
    <t>Cost</t>
  </si>
  <si>
    <t>Quantity</t>
  </si>
  <si>
    <t>Loan Packaging Fee</t>
  </si>
  <si>
    <t>Title Insurance</t>
  </si>
  <si>
    <t>Real Estate Tax Fee</t>
  </si>
  <si>
    <t>Survey Charges</t>
  </si>
  <si>
    <t>CRE Appraisal</t>
  </si>
  <si>
    <t>Equipment Appraisal</t>
  </si>
  <si>
    <t>Appraisal Review</t>
  </si>
  <si>
    <t>Site Visit</t>
  </si>
  <si>
    <t>Environmental Investigation</t>
  </si>
  <si>
    <t>Residential Appr/Valuation</t>
  </si>
  <si>
    <t>Attorney Doc Prep</t>
  </si>
  <si>
    <t>Interim Loan Fee / Origination</t>
  </si>
  <si>
    <t>SBA TPL Fee</t>
  </si>
  <si>
    <t>Rounding</t>
  </si>
  <si>
    <t>Other:  UCCs and Misc Closing</t>
  </si>
  <si>
    <t>Total Estimated Closing Costs</t>
  </si>
  <si>
    <t>Miscellaneous Closing Costs</t>
  </si>
  <si>
    <t>Business Credit Report</t>
  </si>
  <si>
    <t>Personal Credit Report</t>
  </si>
  <si>
    <t>IRS Transcript Service</t>
  </si>
  <si>
    <t>UCC Searches</t>
  </si>
  <si>
    <t>Certificate of Good Standing</t>
  </si>
  <si>
    <t>Flood Certification</t>
  </si>
  <si>
    <t>Filing &amp; Recording Fees</t>
  </si>
  <si>
    <t>FedEx Charges</t>
  </si>
  <si>
    <t>Other: rounding</t>
  </si>
  <si>
    <t>Total Misc. Closing Costs</t>
  </si>
  <si>
    <t>Not 7a, Guaranty Calculation not applicable</t>
  </si>
  <si>
    <t>SBA Guaranty %</t>
  </si>
  <si>
    <t>If there has been a previous SBA 7a loan funded within the last 90 days, enter loan amount and guaranty %.</t>
  </si>
  <si>
    <t>Previous Loan Amount</t>
  </si>
  <si>
    <t>Previous Guaranty %</t>
  </si>
  <si>
    <t>SBA Guaranty Fee Calculation</t>
  </si>
  <si>
    <t>T Bank SBA Loan</t>
  </si>
  <si>
    <t>Previous SBA Loan Within 90 Days</t>
  </si>
  <si>
    <t>Two Loans Combined</t>
  </si>
  <si>
    <t>Loan Amount</t>
  </si>
  <si>
    <t>Guaranteed Portion</t>
  </si>
  <si>
    <t>Guaranty Fee</t>
  </si>
  <si>
    <t>Add'l Gty Fee</t>
  </si>
  <si>
    <t>Total Gty Fee (Rounded)</t>
  </si>
  <si>
    <t>Proposed Loan Amount</t>
  </si>
  <si>
    <t>Fee %</t>
  </si>
  <si>
    <t>Prior Loan Amount Calc</t>
  </si>
  <si>
    <t>Total Combined</t>
  </si>
  <si>
    <t>&lt;</t>
  </si>
  <si>
    <t>Request 1</t>
  </si>
  <si>
    <t>504 Perm 1st</t>
  </si>
  <si>
    <t>Basis</t>
  </si>
  <si>
    <t>Interest Rate</t>
  </si>
  <si>
    <t>Term (mo)</t>
  </si>
  <si>
    <t>Amo (mo)</t>
  </si>
  <si>
    <t>Start Month</t>
  </si>
  <si>
    <t>End Month</t>
  </si>
  <si>
    <t># days</t>
  </si>
  <si>
    <t>Interest Rate Conversion</t>
  </si>
  <si>
    <t>Pmt</t>
  </si>
  <si>
    <t>30/360</t>
  </si>
  <si>
    <t>Actual/360</t>
  </si>
  <si>
    <t>Plus 1%</t>
  </si>
  <si>
    <t>Plus 2%</t>
  </si>
  <si>
    <t>Plus 3%</t>
  </si>
  <si>
    <t>Plus 4%</t>
  </si>
  <si>
    <t>{Insert business name which represents PSOR}</t>
  </si>
  <si>
    <t>Include in Global?</t>
  </si>
  <si>
    <t>Yes</t>
  </si>
  <si>
    <t>Statement Date</t>
  </si>
  <si>
    <t>Projections</t>
  </si>
  <si>
    <t>Months Covered</t>
  </si>
  <si>
    <t>Customer</t>
  </si>
  <si>
    <t>Statement Type</t>
  </si>
  <si>
    <t>Tax Returns</t>
  </si>
  <si>
    <t>Internal</t>
  </si>
  <si>
    <t xml:space="preserve">Year </t>
  </si>
  <si>
    <t>Revenue Recognition</t>
  </si>
  <si>
    <t>REVENUE</t>
  </si>
  <si>
    <t>Revenue</t>
  </si>
  <si>
    <t>(Product Line #1)</t>
  </si>
  <si>
    <t>Revenue (Product Line #1)</t>
  </si>
  <si>
    <t>COGS</t>
  </si>
  <si>
    <t>COGS (Product Line #1)</t>
  </si>
  <si>
    <t>Gross Margin</t>
  </si>
  <si>
    <t>Gross Margin (Product Line #1)</t>
  </si>
  <si>
    <t>Total Revenue</t>
  </si>
  <si>
    <t>Total COGS</t>
  </si>
  <si>
    <t>Total Gross Margin</t>
  </si>
  <si>
    <t>OPERATING EXPENSES</t>
  </si>
  <si>
    <t>Officer's Compensation</t>
  </si>
  <si>
    <t>Salaries &amp; Wages</t>
  </si>
  <si>
    <t>Repairs &amp; Maintenance</t>
  </si>
  <si>
    <t>Bad Debts</t>
  </si>
  <si>
    <t>Rents</t>
  </si>
  <si>
    <t>Taxes &amp; Licenses</t>
  </si>
  <si>
    <t>Interest</t>
  </si>
  <si>
    <t>Depreciation &amp; Amortization</t>
  </si>
  <si>
    <t>Advertising</t>
  </si>
  <si>
    <t>Other</t>
  </si>
  <si>
    <t>Total Operating Expenses</t>
  </si>
  <si>
    <t>Ordinary Income</t>
  </si>
  <si>
    <t xml:space="preserve">Other Income  </t>
  </si>
  <si>
    <t>Other Income</t>
  </si>
  <si>
    <t>Other Expense</t>
  </si>
  <si>
    <t>Total Other Income (Expenses)</t>
  </si>
  <si>
    <t>Net Income Before Taxes</t>
  </si>
  <si>
    <t>Income Taxes</t>
  </si>
  <si>
    <t>NET INCOME AFTER TAXES</t>
  </si>
  <si>
    <t>Add Backs :</t>
  </si>
  <si>
    <t xml:space="preserve">  + Compensation of Officers</t>
  </si>
  <si>
    <t xml:space="preserve">  + Depreciation/Amortization</t>
  </si>
  <si>
    <t xml:space="preserve">  + Interest Expense</t>
  </si>
  <si>
    <t xml:space="preserve">  + Rent Add Back</t>
  </si>
  <si>
    <t>+ - Other</t>
  </si>
  <si>
    <t xml:space="preserve">  - Estimated Property Tax</t>
  </si>
  <si>
    <t xml:space="preserve">  - Required Owner's Draw</t>
  </si>
  <si>
    <t>Cash Available</t>
  </si>
  <si>
    <t>Existing Debt</t>
  </si>
  <si>
    <t>Proposed Loan 1</t>
  </si>
  <si>
    <t>Seller Carry Note</t>
  </si>
  <si>
    <t>3rd Party Financing</t>
  </si>
  <si>
    <t>Total Debt</t>
  </si>
  <si>
    <t>DCR</t>
  </si>
  <si>
    <t>Lender</t>
  </si>
  <si>
    <t>Current Balance</t>
  </si>
  <si>
    <t>Mthly Pmt</t>
  </si>
  <si>
    <t>Collateral</t>
  </si>
  <si>
    <t>Refinance?</t>
  </si>
  <si>
    <t>% of Loan</t>
  </si>
  <si>
    <t>Refi Pmt</t>
  </si>
  <si>
    <t>% Chg</t>
  </si>
  <si>
    <t>CF Debt Svc</t>
  </si>
  <si>
    <t>Reserved</t>
  </si>
  <si>
    <t>Curr Pmts on Debt to Be Refinanced</t>
  </si>
  <si>
    <t>Proposed Pmt:</t>
  </si>
  <si>
    <t>% Savings:</t>
  </si>
  <si>
    <t>Loan Structure</t>
  </si>
  <si>
    <t>Purchase and Sale Close Date, if known, otherwise Target Closing Date</t>
  </si>
  <si>
    <t xml:space="preserve">Entity Name: - Financials </t>
  </si>
  <si>
    <t>Role</t>
  </si>
  <si>
    <t>Yrs. In Bus.</t>
  </si>
  <si>
    <t>Guarantor?</t>
  </si>
  <si>
    <t>BDO:</t>
  </si>
  <si>
    <t>Cooperating BDO:</t>
  </si>
  <si>
    <t>Broker Name:</t>
  </si>
  <si>
    <t>Broker Fee:</t>
  </si>
  <si>
    <t>* List entities in the following order (as applicable): Borrower, Co-Borrower, Operating Entity, Corp. Guarantor, Affiliate.</t>
  </si>
  <si>
    <t>Individual Guarantor Info:</t>
  </si>
  <si>
    <t>Ownership Exp. (yrs)</t>
  </si>
  <si>
    <t>Ownership %</t>
  </si>
  <si>
    <t>FICO</t>
  </si>
  <si>
    <t>Prior BK?</t>
  </si>
  <si>
    <t>Prior Loss to Gov't</t>
  </si>
  <si>
    <t>Debarred by SBA?</t>
  </si>
  <si>
    <t>Pending Legal Action?</t>
  </si>
  <si>
    <t>Criminal History?</t>
  </si>
  <si>
    <t>Business / Property Address:</t>
  </si>
  <si>
    <t>(Street)</t>
  </si>
  <si>
    <t>(City) (State) (ZIP)</t>
  </si>
  <si>
    <t>Personal Financial Analysis</t>
  </si>
  <si>
    <t>+ Collapse /Expand (Additional Individuals)</t>
  </si>
  <si>
    <t>Last Name, First Initial</t>
  </si>
  <si>
    <t>Liquid Assets*</t>
  </si>
  <si>
    <t>Annual Income Sources other than SBC:</t>
  </si>
  <si>
    <t>Spouses salary/pension</t>
  </si>
  <si>
    <t>Interest and Dividends</t>
  </si>
  <si>
    <t>Business Income (Sch C)</t>
  </si>
  <si>
    <t>Net Rental Income (Sch E)</t>
  </si>
  <si>
    <t>Social Security Income</t>
  </si>
  <si>
    <t>Other: (Income from Affiliate)</t>
  </si>
  <si>
    <t>Other: (alimony, ongoing capital gains)</t>
  </si>
  <si>
    <t>Total Annual Outside Income</t>
  </si>
  <si>
    <t>Fixed Monthly Expenses:</t>
  </si>
  <si>
    <t>Home/Primary Residence</t>
  </si>
  <si>
    <t>Other Mortgages</t>
  </si>
  <si>
    <t>Other Installment Loans</t>
  </si>
  <si>
    <t>Vehicle Loans</t>
  </si>
  <si>
    <t>Credit Cards</t>
  </si>
  <si>
    <t>Other:</t>
  </si>
  <si>
    <t>Total Fixed Monthly Expenses</t>
  </si>
  <si>
    <t>Annualized Monthly Fixed Expenses</t>
  </si>
  <si>
    <t>Debt Ratio prior to draw</t>
  </si>
  <si>
    <t>Calculated draw (Mo. Exp x2)</t>
  </si>
  <si>
    <r>
      <t xml:space="preserve">Monthly Expenses </t>
    </r>
    <r>
      <rPr>
        <b/>
        <i/>
        <sz val="12"/>
        <rFont val="Calibri"/>
      </rPr>
      <t>not</t>
    </r>
    <r>
      <rPr>
        <b/>
        <sz val="12"/>
        <rFont val="Calibri"/>
      </rPr>
      <t xml:space="preserve"> Doubled</t>
    </r>
  </si>
  <si>
    <t>Lifestyle Adjustment</t>
  </si>
  <si>
    <t>Alimony Payments</t>
  </si>
  <si>
    <t>Rental/Other Property Payments</t>
  </si>
  <si>
    <t>Personal Expenses per PIE</t>
  </si>
  <si>
    <t>Diff between calculated draw and PIE</t>
  </si>
  <si>
    <t>Monthly Difference, included in cell D32</t>
  </si>
  <si>
    <t>Total Annual Need</t>
  </si>
  <si>
    <t>Less Income from Outside Sources</t>
  </si>
  <si>
    <t>Total Required Draw from SBC</t>
  </si>
  <si>
    <t>Include Required Draw in CF?</t>
  </si>
  <si>
    <t>Amount</t>
  </si>
  <si>
    <t>As of:</t>
  </si>
  <si>
    <t>Operating Company Liquidity</t>
  </si>
  <si>
    <t>Affiliate 1</t>
  </si>
  <si>
    <t>Owner/Guarantor 1</t>
  </si>
  <si>
    <t>Affiliate 2</t>
  </si>
  <si>
    <t>Owner/Guarantor 2</t>
  </si>
  <si>
    <t>Affiliate 3</t>
  </si>
  <si>
    <t>Owner/Guarantor 3</t>
  </si>
  <si>
    <t>Affiliate 4</t>
  </si>
  <si>
    <t>Owner/Guarantor 4</t>
  </si>
  <si>
    <t>Affiliate 5</t>
  </si>
  <si>
    <t>Owner/Guarantor 5</t>
  </si>
  <si>
    <t>Owner/Guarantor 6</t>
  </si>
  <si>
    <t>Owner/Guarantor 7</t>
  </si>
  <si>
    <t>Owner/Guarantor 8</t>
  </si>
  <si>
    <t>Expand / Collapse Additional Owners</t>
  </si>
  <si>
    <t>Total Available Liquidity</t>
  </si>
  <si>
    <t>Expected Injection</t>
  </si>
  <si>
    <t>Remaining Available</t>
  </si>
  <si>
    <t>Collateral Analysis</t>
  </si>
  <si>
    <t>Collateral Summary</t>
  </si>
  <si>
    <t>Prop Type</t>
  </si>
  <si>
    <t>Valuation Method</t>
  </si>
  <si>
    <t xml:space="preserve">Address </t>
  </si>
  <si>
    <t>Gross Value</t>
  </si>
  <si>
    <t>Liquidation Value</t>
  </si>
  <si>
    <t>Discounted
 Value</t>
  </si>
  <si>
    <t>Senior Liens</t>
  </si>
  <si>
    <t>Liquidation 
Value</t>
  </si>
  <si>
    <t xml:space="preserve">Primary Real Estate </t>
  </si>
  <si>
    <t>9000 houston houston tx, 55994</t>
  </si>
  <si>
    <t xml:space="preserve">Secondary Real Estate </t>
  </si>
  <si>
    <t>Accounts Receivable</t>
  </si>
  <si>
    <t xml:space="preserve"> </t>
  </si>
  <si>
    <t>FF&amp;E</t>
  </si>
  <si>
    <t>Lease Hold Improvements</t>
  </si>
  <si>
    <t>Miscellaneous</t>
  </si>
  <si>
    <t>Totals</t>
  </si>
  <si>
    <t>Gross LTV</t>
  </si>
  <si>
    <t>Net LTV</t>
  </si>
  <si>
    <t>Discounted Collateral Value</t>
  </si>
  <si>
    <t>Gross Coverage</t>
  </si>
  <si>
    <t>Net Coverage</t>
  </si>
  <si>
    <t>Gross Exposure Amount</t>
  </si>
  <si>
    <t>Life Insurance Requirement</t>
  </si>
  <si>
    <t>Life Insurance Required</t>
  </si>
  <si>
    <t>SBA Guarantee Amount</t>
  </si>
  <si>
    <t>Maximum Exposure</t>
  </si>
  <si>
    <t>Loan Request</t>
  </si>
  <si>
    <t>Project Total</t>
  </si>
  <si>
    <t>Percentages</t>
  </si>
  <si>
    <t>Closing &amp; 3rd Party Costs</t>
  </si>
  <si>
    <t>(Estimated)</t>
  </si>
  <si>
    <t>Structure Table</t>
  </si>
  <si>
    <t>Adjustment / Fix</t>
  </si>
  <si>
    <t>Quarterly</t>
  </si>
  <si>
    <t>Fixed</t>
  </si>
  <si>
    <t>Blended Rate Table</t>
  </si>
  <si>
    <t xml:space="preserve">Bank Loan with CDC Loan </t>
  </si>
  <si>
    <t xml:space="preserve">Loan </t>
  </si>
  <si>
    <t>Est. Payment</t>
  </si>
  <si>
    <t>Rate</t>
  </si>
  <si>
    <t>Total/Blend</t>
  </si>
  <si>
    <t>Liquidity Analysis</t>
  </si>
  <si>
    <t>Post Close Liquidity</t>
  </si>
  <si>
    <t>Stand-Alone DSCR</t>
  </si>
  <si>
    <t>Year 1</t>
  </si>
  <si>
    <t>Year 2</t>
  </si>
  <si>
    <t>Affiliate 1 DSCR</t>
  </si>
  <si>
    <t>{Insert business name which represents Affiliate 1}</t>
  </si>
  <si>
    <t>Existing Monthly Debt</t>
  </si>
  <si>
    <t>Affiliate 2 DSCR</t>
  </si>
  <si>
    <t>{Insert business name which represents Affiliate 2}</t>
  </si>
  <si>
    <t>Affiliate 3 DSCR</t>
  </si>
  <si>
    <t>{Insert business name which represents Affiliate 3}</t>
  </si>
  <si>
    <t>Affiliate 4 DSCR</t>
  </si>
  <si>
    <t>{Insert business name which represents Affiliate 4}</t>
  </si>
  <si>
    <t>Affiliate 5 DSCR</t>
  </si>
  <si>
    <t xml:space="preserve">{Insert business name which represents Affiliate 5} + description </t>
  </si>
  <si>
    <t>Affiliate Analysis</t>
  </si>
  <si>
    <t>No</t>
  </si>
  <si>
    <t>(Product Line #2)</t>
  </si>
  <si>
    <t>(Product Line #3)</t>
  </si>
  <si>
    <t xml:space="preserve">Click to expand/collapse     </t>
  </si>
  <si>
    <t>Pension, Profit Sharing</t>
  </si>
  <si>
    <t>Employee Benefits</t>
  </si>
  <si>
    <t>Insurance</t>
  </si>
  <si>
    <t>Utilities, Telephone, Cable, Internet</t>
  </si>
  <si>
    <t>Legal, Professional, Accounting</t>
  </si>
  <si>
    <t>Travel, Meals &amp; Entertainment</t>
  </si>
  <si>
    <t>Office Expenses &amp; Supplies</t>
  </si>
  <si>
    <t>Auto &amp;Truck Expense</t>
  </si>
  <si>
    <t>Bank Charges, Credit Card Expenses</t>
  </si>
  <si>
    <t>Dues &amp; Subscriptions</t>
  </si>
  <si>
    <t xml:space="preserve">Click to expand/collapse (Affiliate 1)     </t>
  </si>
  <si>
    <t xml:space="preserve">Click to expand/collapse (Affiliate 2)     </t>
  </si>
  <si>
    <t xml:space="preserve">Click to expand/collapse (Affiliate 3)     </t>
  </si>
  <si>
    <t xml:space="preserve">Click to expand/collapse (Affiliate 4)     </t>
  </si>
  <si>
    <t xml:space="preserve">Click to expand/collapse (Affiliate 5)     </t>
  </si>
  <si>
    <t>Version</t>
  </si>
  <si>
    <t>Loan Type</t>
  </si>
  <si>
    <t>Basics</t>
  </si>
  <si>
    <t>Request</t>
  </si>
  <si>
    <t>UW</t>
  </si>
  <si>
    <t>BDO</t>
  </si>
  <si>
    <t>Original</t>
  </si>
  <si>
    <t>N/A</t>
  </si>
  <si>
    <t>New</t>
  </si>
  <si>
    <t>Andrew Taylor</t>
  </si>
  <si>
    <t>Audrey Wendel</t>
  </si>
  <si>
    <t>Mod 1</t>
  </si>
  <si>
    <t>SBA 7a</t>
  </si>
  <si>
    <t>Renewal</t>
  </si>
  <si>
    <t>Antony Parker</t>
  </si>
  <si>
    <t>Ben Eakin</t>
  </si>
  <si>
    <t>Mod 2</t>
  </si>
  <si>
    <t>SBA Express</t>
  </si>
  <si>
    <t>Modification</t>
  </si>
  <si>
    <t>Brent Ruch</t>
  </si>
  <si>
    <t>Cameron Brewer</t>
  </si>
  <si>
    <t>Mod 3</t>
  </si>
  <si>
    <t>Jennifer Dennis</t>
  </si>
  <si>
    <t>Eric Wadley</t>
  </si>
  <si>
    <t>Mod 4</t>
  </si>
  <si>
    <t>USDA</t>
  </si>
  <si>
    <t>Disbursement</t>
  </si>
  <si>
    <t>Jessica Gauden</t>
  </si>
  <si>
    <t>Glenn Giro</t>
  </si>
  <si>
    <t>Mod 5</t>
  </si>
  <si>
    <t>P&amp;E</t>
  </si>
  <si>
    <t>Rodney Johnson</t>
  </si>
  <si>
    <t>Greg Swett</t>
  </si>
  <si>
    <t>Mod 6</t>
  </si>
  <si>
    <t>Conventional</t>
  </si>
  <si>
    <t>Multi</t>
  </si>
  <si>
    <t>Rose Haynes-Taylor</t>
  </si>
  <si>
    <t>Jordan Sayler</t>
  </si>
  <si>
    <t>Mod 7</t>
  </si>
  <si>
    <t>Single</t>
  </si>
  <si>
    <t>True/False</t>
  </si>
  <si>
    <t>Connor Shaw</t>
  </si>
  <si>
    <t>Kandace Moon</t>
  </si>
  <si>
    <t>Mod 8</t>
  </si>
  <si>
    <t>Sheila Simms</t>
  </si>
  <si>
    <t>Kerry Smith</t>
  </si>
  <si>
    <t>Mod 9</t>
  </si>
  <si>
    <t>True</t>
  </si>
  <si>
    <t>Kevin Coffman</t>
  </si>
  <si>
    <t>Mod 10</t>
  </si>
  <si>
    <t>False</t>
  </si>
  <si>
    <t>Mike Ramsay</t>
  </si>
  <si>
    <t>Patrick Phillips</t>
  </si>
  <si>
    <t>Entity Types</t>
  </si>
  <si>
    <t>Loan Program</t>
  </si>
  <si>
    <t>Risk Rating</t>
  </si>
  <si>
    <t>Rick McMann</t>
  </si>
  <si>
    <t>Rod Rodriguez</t>
  </si>
  <si>
    <t>TBD</t>
  </si>
  <si>
    <t>Cash</t>
  </si>
  <si>
    <t>Steve Jones</t>
  </si>
  <si>
    <t>Sole Prop</t>
  </si>
  <si>
    <t>PLP</t>
  </si>
  <si>
    <t>Audited</t>
  </si>
  <si>
    <t>Accrual</t>
  </si>
  <si>
    <t>LLC</t>
  </si>
  <si>
    <t>GP</t>
  </si>
  <si>
    <t>Reviewed</t>
  </si>
  <si>
    <t>Hybrid</t>
  </si>
  <si>
    <t>S-Corp</t>
  </si>
  <si>
    <t>Compiled</t>
  </si>
  <si>
    <t>C-Corp</t>
  </si>
  <si>
    <t>Schedule C</t>
  </si>
  <si>
    <t>Proforma BS</t>
  </si>
  <si>
    <t>Prof Corp</t>
  </si>
  <si>
    <t>Prof LLC</t>
  </si>
  <si>
    <t>Form 10K</t>
  </si>
  <si>
    <t>New BS</t>
  </si>
  <si>
    <t>Trust</t>
  </si>
  <si>
    <t>Form 10Q</t>
  </si>
  <si>
    <t>Last Year End</t>
  </si>
  <si>
    <t>LTD Partnership</t>
  </si>
  <si>
    <t>Interim</t>
  </si>
  <si>
    <t>Partnership</t>
  </si>
  <si>
    <t>Submission</t>
  </si>
  <si>
    <t>Rate Adjustment</t>
  </si>
  <si>
    <t>Lien Position</t>
  </si>
  <si>
    <t>Property Type</t>
  </si>
  <si>
    <t>UCC Lien Type</t>
  </si>
  <si>
    <t>Daily</t>
  </si>
  <si>
    <t>First</t>
  </si>
  <si>
    <t>C-Store</t>
  </si>
  <si>
    <t>Standard</t>
  </si>
  <si>
    <t>Monthly</t>
  </si>
  <si>
    <t>Second</t>
  </si>
  <si>
    <t>Purchase Money UCC</t>
  </si>
  <si>
    <t>Hotel</t>
  </si>
  <si>
    <t>Appraisal</t>
  </si>
  <si>
    <t>Calendar Qtr</t>
  </si>
  <si>
    <t>Third</t>
  </si>
  <si>
    <t>Blanket UCC</t>
  </si>
  <si>
    <t>Industrial</t>
  </si>
  <si>
    <t>Book Value</t>
  </si>
  <si>
    <t>Fourth</t>
  </si>
  <si>
    <t>Security Interest</t>
  </si>
  <si>
    <t>Medical Office</t>
  </si>
  <si>
    <t>BPO</t>
  </si>
  <si>
    <t>Best Available</t>
  </si>
  <si>
    <t>Mixed-Use</t>
  </si>
  <si>
    <t>Invoice</t>
  </si>
  <si>
    <t>Mobile Home Park</t>
  </si>
  <si>
    <t>Estimated</t>
  </si>
  <si>
    <t>Construction Type</t>
  </si>
  <si>
    <t>Multi Family</t>
  </si>
  <si>
    <t>Tax</t>
  </si>
  <si>
    <t>Entity Class</t>
  </si>
  <si>
    <t>PFS RE Type</t>
  </si>
  <si>
    <t>Office</t>
  </si>
  <si>
    <t>Wood Frame</t>
  </si>
  <si>
    <t>Office/Warehouse</t>
  </si>
  <si>
    <t>Roof Type</t>
  </si>
  <si>
    <t>Steel Frame</t>
  </si>
  <si>
    <t>Holding Company/EPC</t>
  </si>
  <si>
    <t>Single Family</t>
  </si>
  <si>
    <t>Residential</t>
  </si>
  <si>
    <t>Concrete Frame</t>
  </si>
  <si>
    <t>Operating Company</t>
  </si>
  <si>
    <t xml:space="preserve">Multi Family </t>
  </si>
  <si>
    <t>Restaurant</t>
  </si>
  <si>
    <t>Flat - Built Up</t>
  </si>
  <si>
    <t>Concrete Tilt Up</t>
  </si>
  <si>
    <t>Affiliate</t>
  </si>
  <si>
    <t>Commercial</t>
  </si>
  <si>
    <t>Retail</t>
  </si>
  <si>
    <t>Flat - Membrane</t>
  </si>
  <si>
    <t>Concrete Wall</t>
  </si>
  <si>
    <t>Self Storage</t>
  </si>
  <si>
    <t>Flat - Other</t>
  </si>
  <si>
    <t>Hollow Clay Tile / Adobe</t>
  </si>
  <si>
    <t>Vacant Land</t>
  </si>
  <si>
    <t>Pitched - Metal</t>
  </si>
  <si>
    <t>Steel Frame w/Metal Skin</t>
  </si>
  <si>
    <t>Borrower/Guarantor</t>
  </si>
  <si>
    <t>Pitched - Shingle</t>
  </si>
  <si>
    <t>Reinforced Masonry</t>
  </si>
  <si>
    <t>Pitched - Other</t>
  </si>
  <si>
    <t>Unreinforced Masonry</t>
  </si>
  <si>
    <t>CDC Term</t>
  </si>
  <si>
    <t>Trend</t>
  </si>
  <si>
    <t>None</t>
  </si>
  <si>
    <t>Not Known</t>
  </si>
  <si>
    <t>Increasing</t>
  </si>
  <si>
    <t>Decreasing</t>
  </si>
  <si>
    <t>Guarantor</t>
  </si>
  <si>
    <t>Stable</t>
  </si>
  <si>
    <t>Guarantee</t>
  </si>
  <si>
    <t>Un Stable</t>
  </si>
  <si>
    <t>Recourse</t>
  </si>
  <si>
    <t>Rate Type</t>
  </si>
  <si>
    <t>Appraisal Value</t>
  </si>
  <si>
    <t>Request #</t>
  </si>
  <si>
    <t>Consistent</t>
  </si>
  <si>
    <t>Inconsistent</t>
  </si>
  <si>
    <t>Full Unsecured</t>
  </si>
  <si>
    <t>As Is</t>
  </si>
  <si>
    <t>Full</t>
  </si>
  <si>
    <t>Full Secured</t>
  </si>
  <si>
    <t>Variable</t>
  </si>
  <si>
    <t>As Complete</t>
  </si>
  <si>
    <t>Request 2</t>
  </si>
  <si>
    <t>Non</t>
  </si>
  <si>
    <t>Lim. Unsecured</t>
  </si>
  <si>
    <t>As Stablized</t>
  </si>
  <si>
    <t>Partial</t>
  </si>
  <si>
    <t>Lim. Secured</t>
  </si>
  <si>
    <t>Spousal Int.</t>
  </si>
  <si>
    <t>Origination/Packaging</t>
  </si>
  <si>
    <t>Facility Type</t>
  </si>
  <si>
    <t>SBA Initial Rate Set</t>
  </si>
  <si>
    <t>Checks</t>
  </si>
  <si>
    <t>X/O</t>
  </si>
  <si>
    <t>Day of SBA/USDA Sub</t>
  </si>
  <si>
    <t>x</t>
  </si>
  <si>
    <t>Origination Fee</t>
  </si>
  <si>
    <t>Term Loan</t>
  </si>
  <si>
    <t>5 Days before Closing</t>
  </si>
  <si>
    <t>Clear</t>
  </si>
  <si>
    <t>RLOC</t>
  </si>
  <si>
    <t>Not Clear</t>
  </si>
  <si>
    <t>GLOC</t>
  </si>
  <si>
    <t>Const</t>
  </si>
  <si>
    <t>Non Rev Adv</t>
  </si>
  <si>
    <t>Breakeven</t>
  </si>
  <si>
    <t>Letter of Credit</t>
  </si>
  <si>
    <t>Tract Income Level</t>
  </si>
  <si>
    <t>Coll RE Type</t>
  </si>
  <si>
    <t>HLTV Max</t>
  </si>
  <si>
    <t>Branch</t>
  </si>
  <si>
    <t>BSA Rating</t>
  </si>
  <si>
    <t>Upper</t>
  </si>
  <si>
    <t>Primary CRE</t>
  </si>
  <si>
    <t>12- SMJ</t>
  </si>
  <si>
    <t xml:space="preserve">1- Low </t>
  </si>
  <si>
    <t>Moderate</t>
  </si>
  <si>
    <t>Primary Residence</t>
  </si>
  <si>
    <t>14-AMW</t>
  </si>
  <si>
    <t xml:space="preserve">2- Low Medium </t>
  </si>
  <si>
    <t>Middle</t>
  </si>
  <si>
    <t>Secondary RE</t>
  </si>
  <si>
    <t>15-HSE</t>
  </si>
  <si>
    <t>3- Medium</t>
  </si>
  <si>
    <t>Exception Clearing</t>
  </si>
  <si>
    <t>Low</t>
  </si>
  <si>
    <t>21-SBA</t>
  </si>
  <si>
    <t xml:space="preserve">4- Moderate </t>
  </si>
  <si>
    <t>22- Wendel Loans</t>
  </si>
  <si>
    <t>5-High</t>
  </si>
  <si>
    <t>Amber- Rose McCool</t>
  </si>
  <si>
    <t>76- Integra</t>
  </si>
  <si>
    <t>Rate Index</t>
  </si>
  <si>
    <t>Casey McDonald</t>
  </si>
  <si>
    <t>Gina Bedsole</t>
  </si>
  <si>
    <t>WSJ Prime</t>
  </si>
  <si>
    <t>KT Head</t>
  </si>
  <si>
    <t>SOFR</t>
  </si>
  <si>
    <t>Lorenzo Saavedra</t>
  </si>
  <si>
    <t>10 Yr Treas</t>
  </si>
  <si>
    <t>Nick Vu</t>
  </si>
  <si>
    <t>Rachel Preston</t>
  </si>
  <si>
    <t>Release Notes</t>
  </si>
  <si>
    <t>2016-10(1)</t>
  </si>
  <si>
    <t>Initial Roll out</t>
  </si>
  <si>
    <t>2016-10(2)</t>
  </si>
  <si>
    <t>Added Preimum/Discount for Purchased Loans</t>
  </si>
  <si>
    <t>Added Purchase Price for Purchased Loans</t>
  </si>
  <si>
    <t>Added Additional Collateral Fields</t>
  </si>
  <si>
    <t>Temporary COA Section in Narrative, pending comprehensive independent page</t>
  </si>
  <si>
    <t>2016-11(3)</t>
  </si>
  <si>
    <t>Misc Formating Changes</t>
  </si>
  <si>
    <t>Edit to CAR Formula</t>
  </si>
  <si>
    <t>Edit to SBA Eligibility section formulas on Debt Sch</t>
  </si>
  <si>
    <t>2017-01(4)</t>
  </si>
  <si>
    <t>Added Notes to collateral page for MF Underwriting</t>
  </si>
  <si>
    <t>Re-Formatted UOP Page</t>
  </si>
  <si>
    <t>2017-01(5)</t>
  </si>
  <si>
    <t>Formulatic corrections on collateral page</t>
  </si>
  <si>
    <t>General formatting corrections.</t>
  </si>
  <si>
    <t>2017-08(6)</t>
  </si>
  <si>
    <t>Formulatic corrections on Cash Flow page</t>
  </si>
  <si>
    <t>2017-10(7)</t>
  </si>
  <si>
    <t xml:space="preserve">Reformatted Narrative.  </t>
  </si>
  <si>
    <t>Corrected Formula on Seller Carry Note</t>
  </si>
  <si>
    <t>Added Business Valuation Methods</t>
  </si>
  <si>
    <t>2017-10(8)</t>
  </si>
  <si>
    <t>Added LTV and Cap at risk calcualtions for purchased loans.</t>
  </si>
  <si>
    <t>2018-01(9)</t>
  </si>
  <si>
    <t>Added additional Ratios to Ratios page.</t>
  </si>
  <si>
    <t>Added RMA ratios to Hist IS</t>
  </si>
  <si>
    <t>Added 3rd year Borr Proj to Projections page</t>
  </si>
  <si>
    <t>Modified UOP and Construction Budget Worksheet to Reconcile each other</t>
  </si>
  <si>
    <t>2018-02(10)</t>
  </si>
  <si>
    <t>Change to UOP Formulas to match Construction page better</t>
  </si>
  <si>
    <t>Minor modifications to UOP Formulas to show subtotals and remove</t>
  </si>
  <si>
    <t xml:space="preserve">      SBA Gty Fee calculation for non 7a Loans</t>
  </si>
  <si>
    <t>Corrected cell references in Affiliate tabes</t>
  </si>
  <si>
    <t>Created standard "Exhibit A" tab (baseline is hidden) for LOI and CL</t>
  </si>
  <si>
    <t>Drafted LOI and CL for SBA and Conv Loan types, to autofill from CM</t>
  </si>
  <si>
    <t xml:space="preserve">      (Baseline is hidden)</t>
  </si>
  <si>
    <t>Revised Amortization Schedule to utilize "Score" Format.</t>
  </si>
  <si>
    <t>Other Misc formulatic corrections</t>
  </si>
  <si>
    <t>2018-05(11)</t>
  </si>
  <si>
    <t>Included appraisal review checklist in workbook</t>
  </si>
  <si>
    <t>Included Environmental Review Checklist in Workbook</t>
  </si>
  <si>
    <t>Added Balance at maturity lookup</t>
  </si>
  <si>
    <t>Reformatted all Holding company and affiliate cash flow pages.</t>
  </si>
  <si>
    <t>Added Loan Type Codes for Synergy</t>
  </si>
  <si>
    <t>Added Collateral Type Code and Description for Synergy</t>
  </si>
  <si>
    <t>Added FHLB Eligibility</t>
  </si>
  <si>
    <t>2018-06(12)</t>
  </si>
  <si>
    <t>Added Amortization Basis 30/360; Actual/365; Actual/360</t>
  </si>
  <si>
    <t>Separated 912 Eligibility to its own tab</t>
  </si>
  <si>
    <t>misc formatting changes</t>
  </si>
  <si>
    <t>2019-03(13)</t>
  </si>
  <si>
    <t>Added OFAC/MLA Check to Guarantor Summary</t>
  </si>
  <si>
    <t>Updated SBA Eligibility for 2019-04 SOP Changes</t>
  </si>
  <si>
    <t>2019-10(14)</t>
  </si>
  <si>
    <t>Added tracking fields for CRA Data</t>
  </si>
  <si>
    <t>2019-10(15)</t>
  </si>
  <si>
    <t>Added Bankers Health Care Loan Type</t>
  </si>
  <si>
    <t>2019-11(16)</t>
  </si>
  <si>
    <t>Added Global Cash Flow Page</t>
  </si>
  <si>
    <t>2020-03(17)</t>
  </si>
  <si>
    <t>Added Program Code for SBA Pacheck Protection Program</t>
  </si>
  <si>
    <t>2020-06(18)</t>
  </si>
  <si>
    <t>Added Personal Resource Test (On Hold)</t>
  </si>
  <si>
    <t>2020-10(19)</t>
  </si>
  <si>
    <t>Updates resulting from SOP Changes</t>
  </si>
  <si>
    <t>2021-09(20)</t>
  </si>
  <si>
    <t>Updated SBA Fee Calculation</t>
  </si>
  <si>
    <t>Corrected GCF Calculation</t>
  </si>
  <si>
    <t>2022-12-(21)</t>
  </si>
  <si>
    <t>Reformat and re-release</t>
  </si>
  <si>
    <t>Removed references to purchased loans</t>
  </si>
  <si>
    <t>Removed Synergy Codes</t>
  </si>
  <si>
    <t>Removed FHLB Eligibility Indicator</t>
  </si>
  <si>
    <t>Removed OFAC/MLA Check, now addressed elsewhere</t>
  </si>
  <si>
    <t>Removed CRA Field, tracked elsewhere</t>
  </si>
  <si>
    <t>Reformatted Payment Calculations and Stress Testing to separate page from CF</t>
  </si>
  <si>
    <t>Added BDO tab</t>
  </si>
  <si>
    <t>2023-04(21)</t>
  </si>
  <si>
    <t>Added Various T Bank Calculations</t>
  </si>
  <si>
    <t>2023-05(22)</t>
  </si>
  <si>
    <t>Various Bug Fixes</t>
  </si>
  <si>
    <t>2023-06(23)</t>
  </si>
  <si>
    <t>Additional Bug Fixes.  Removed linkages between BDO Sheet and UW Sheets</t>
  </si>
  <si>
    <t>2023-06(24)</t>
  </si>
  <si>
    <t>Added Break Even Analysis and W/C Analysis</t>
  </si>
  <si>
    <t>2023-07(24)</t>
  </si>
  <si>
    <t>Modified Breakeven and WC Sheets</t>
  </si>
  <si>
    <t>2023-07(25)</t>
  </si>
  <si>
    <t>Corrected Breakeven Sheet</t>
  </si>
  <si>
    <t>2023-08(26)</t>
  </si>
  <si>
    <t>Corrected various UW formulas and formatting in BRKEVN, WC, PFS, and COLL, Global CF to include aff debt in all periods, added closing cost tier</t>
  </si>
  <si>
    <t>2023-09(27)</t>
  </si>
  <si>
    <t>Added SBA Gty Fee Adjustment Macro.</t>
  </si>
  <si>
    <t>2023-10(28)</t>
  </si>
  <si>
    <t>Added Close date to BDO Prequal.  Updated HLTV on Coll Tab.  Added 504 Adjustment Macro.  Modified SBA Gty Fee to match new fee structure</t>
  </si>
  <si>
    <t>2023-11(29)</t>
  </si>
  <si>
    <t>Reformatted Debt Schedule, Separated BDO Debt Schedule from UW. Corrected 504 HLTV Calculations</t>
  </si>
  <si>
    <t>23-12(30) thru 24-02(32)</t>
  </si>
  <si>
    <t>Various formating and bug fixes.</t>
  </si>
  <si>
    <t>24-02(33)</t>
  </si>
  <si>
    <t>Updated Scoring Matrix.  Corrected Formulation on PMT calcs page for number of months added to note date.</t>
  </si>
  <si>
    <t>24-03(34)</t>
  </si>
  <si>
    <t>Corrected Pers Need inflow to GDSCR on BDO Prequal.  Various updates to UW spreads with instructions and formatting.</t>
  </si>
  <si>
    <t>24-04(35)</t>
  </si>
  <si>
    <t>Various Bud Fixes, protection items, and settings for UW.</t>
  </si>
  <si>
    <t>24-04(36)</t>
  </si>
  <si>
    <t>Corrected Owner Draw formula in Global  CF on BDO Prequal</t>
  </si>
  <si>
    <t>24-07(37)</t>
  </si>
  <si>
    <t>Various Formula Improvements and spelling corrections.  Changes to Fees due to policy changes.</t>
  </si>
  <si>
    <t>24-08(38)</t>
  </si>
  <si>
    <t>Updated SBA gty fee calc.  Reformatting and prep for change in Credit memo and spread presentations.</t>
  </si>
  <si>
    <t>24-08(39)</t>
  </si>
  <si>
    <t>Corrected SBA Fee Calc</t>
  </si>
  <si>
    <t>24-09(40)</t>
  </si>
  <si>
    <t>Unprotected Owner Comp on Prequal page for flexibility.  Unlocked other expenses on prequal page.  Adjusted SBA Guarantee Fees for new fee structure</t>
  </si>
  <si>
    <t>24-11(41)</t>
  </si>
  <si>
    <t>Corrected BDO Debt Schedule Calculations.  Other Misc Formatting fixes.</t>
  </si>
  <si>
    <t>24-11(42)</t>
  </si>
  <si>
    <t>Clarification on Scoring grid</t>
  </si>
  <si>
    <t>25-02(43)</t>
  </si>
  <si>
    <t>Added Spell Check; Table of Contents</t>
  </si>
  <si>
    <t>25-03(44x)</t>
  </si>
  <si>
    <t>Chg SBA Fee, Updates to Biz Val, WC Analysis, Breakeven</t>
  </si>
  <si>
    <t>T Bank, N.A. SCORING GRID</t>
  </si>
  <si>
    <t>Total Score</t>
  </si>
  <si>
    <t>REPAYMENT</t>
  </si>
  <si>
    <t>MANAGEMENT</t>
  </si>
  <si>
    <t>CREDIT</t>
  </si>
  <si>
    <t>EQUITY</t>
  </si>
  <si>
    <t>COLLATERAL</t>
  </si>
  <si>
    <t>Working Capital/Liquidity</t>
  </si>
  <si>
    <t>Pro forma DSC of 1.40x  in the most recent year and 1.25x or better for the prior 2 years plus stable/positive trends in the  interim.  Stable is considered + - 0.05 change in DSC.</t>
  </si>
  <si>
    <t xml:space="preserve">3 or more years ownership in SBC or  3 years as primary responsible employee in SBC or 5 years recent experience in near identical type business as Principal Manager with P&amp;L and HR responsibility.   </t>
  </si>
  <si>
    <t>25% cash equity from personal sources
Expansions:  pro forma tangible D/W of 4:1 or less.</t>
  </si>
  <si>
    <t>Secured 120% of the loan on a discounted basis with any collateral or 100% secured with 1st lien on RE.
504 1st lien No construction</t>
  </si>
  <si>
    <t>Pro forma DSC of 1.40x or better for most recent years plus 1.25x for the 1 prior year plus stable/positive trends in the  interim.  Stable is considered + - 0.05 change in DSC.</t>
  </si>
  <si>
    <t>2 or more years ownership in SBC or  3 years experience in near identical type business.  
For startups - this experience, must have been within the last 5 years AND one of the guarantors will devote 100% of time to SBC</t>
  </si>
  <si>
    <t>FICO Score greater than 750.</t>
  </si>
  <si>
    <t>25% cash equity from any source or 20% from personal sources
Expansions:  pro forma tangible D/W of 5:1 or less.</t>
  </si>
  <si>
    <t>Secured 100% of the loan on a discounted basis with any collateral or 75% with 1st lien on RE.
504 1st Lien Construction</t>
  </si>
  <si>
    <t>Pro forma DSC of an  1.25x or better in most recent FYE and interim plus stable/positive trends in the  interim.  Stable is considered + - 0.05 change in DSC.
Regardless of DSC declining revenue or profitability trends in the most recent year and/or interim.</t>
  </si>
  <si>
    <t>2 years ownership in any industry or 3 years of transferable management experience in any industry, or approved franchise
For startups - this experience, must have been within the last 5 years AND one of the guarantors will devote 100% of time to SBC.</t>
  </si>
  <si>
    <t>FICO Score of 700 to 749.
Regardless of any higher FICO score BK between 3 and 5 years in time.
Regardless of any higher FICO score expected continuing income of between $5500 and $6000 for every $1000 of CC debt</t>
  </si>
  <si>
    <t>20% cash equity from any source or 15% from personal sources   Expansions:  pro forma tangible D/W of 6:1 or less.</t>
  </si>
  <si>
    <t>Secured 75% of the loan on a discounted basis with any collateral or 50% with 1st lien on RE.</t>
  </si>
  <si>
    <t>No or minimal working capital requirement 
OR 
Borrower has 1.5X working capital from own liquid resources. 
Minimal is the lesser of 5% of loan amount or $50K. None is included in loan.</t>
  </si>
  <si>
    <t>Pro forma DSC of 1.15x or better in most recent FYE and interim plus positive trends in the interim.
Regardless of DSC declining revenue or profitability trends in all periods
Projection Based or Start Up with Approved Franchise.</t>
  </si>
  <si>
    <t>2 years transferable management experience not specific to this industry or non-approved franchise.
For startups - this experience must have been within the last 3 years AND one of the guarantors will 100% of time devoted to SBC</t>
  </si>
  <si>
    <t>FICO Score 650 to 699
Regardless of any higher FICO score expected continuing income of between $5000 and $5499 for every $1000 of CC debt</t>
  </si>
  <si>
    <t>10% cash equity from any source
 Expansions:  pro forma tangible D/W of 8:1 or less.</t>
  </si>
  <si>
    <t>Secured 50% of the loan on a discounted basis with any collateral or 25% with 1st lien on RE.</t>
  </si>
  <si>
    <t>Borrower has sufficient documented working Capital to inject from own resources (WC as calculated by U/W). 
In loan is OK as long as borrower has 1x or greater residual liquidity.</t>
  </si>
  <si>
    <t xml:space="preserve">Projection based or start-up. </t>
  </si>
  <si>
    <t>Less than 2 years transferable management experience OR reliant on prior owner or franchisor for training.
For startups - the experience was over 3 years ago.</t>
  </si>
  <si>
    <t>FICO Score less than 650
Regardless of any higher FICO score expected continuing income of between $4500 and $4999 for every $1000 of CC debt</t>
  </si>
  <si>
    <t>Less than 10% injection and/or
50% or more Equity is from Seller note on full standby</t>
  </si>
  <si>
    <t>&lt; 50% secured with any collateral or less than 25% 1st lien on RE.</t>
  </si>
  <si>
    <t>All, or substantially all of W/C is included in loan or companion loan and borrower has little or no residual liquidity.</t>
  </si>
  <si>
    <t>Remote management or long distance management with no prior experience of remote management.</t>
  </si>
  <si>
    <t>BK in the last 3 years.
Regardless of any higher FICO score expected continuing income of less than $4500 for every $1000 of CC debt</t>
  </si>
  <si>
    <t>Any other allowable SBA SOP structure that does not require injection.</t>
  </si>
  <si>
    <t>No CRE included in collateral or only junior liens on residential.</t>
  </si>
  <si>
    <t>Working capital included in loan proceeds exceeds 50% of borrower cash injection.</t>
  </si>
  <si>
    <t xml:space="preserve">Tool - For Credit (Description - How to Use, What this means needed from Ben). Only Manually input is to enter the credit card debt of the owner. The table will populate with the income based on the PFS of the owner. </t>
  </si>
  <si>
    <t>Income</t>
  </si>
  <si>
    <t>CC Debt</t>
  </si>
  <si>
    <t>Income Needed $4,500</t>
  </si>
  <si>
    <t>Income Needed $4,501</t>
  </si>
  <si>
    <t>Income Needed $4,999</t>
  </si>
  <si>
    <t>Income Needed $4,1000</t>
  </si>
  <si>
    <t>Income Needed $5,499</t>
  </si>
  <si>
    <t>Income Needed $5,500</t>
  </si>
  <si>
    <t>Income Needed $6,000+</t>
  </si>
</sst>
</file>

<file path=xl/styles.xml><?xml version="1.0" encoding="utf-8"?>
<styleSheet xmlns="http://schemas.openxmlformats.org/spreadsheetml/2006/main">
  <numFmts count="22">
    <numFmt formatCode="#0%" numFmtId="164"/>
    <numFmt formatCode="#0.00%" numFmtId="165"/>
    <numFmt formatCode="[&gt;0]_(&quot;$&quot;* #,##0_);[&lt;0]_(&quot;$&quot;* \(#,##0\);_(&quot;$&quot;* &quot;-&quot;#??_);_(@_)" numFmtId="166"/>
    <numFmt formatCode="[&gt;0]_(&quot;$&quot;* #,##0.00_);[&lt;0]_(&quot;$&quot;* (#,##0.00);_(&quot;$&quot;* &quot;-&quot;#??_);_(@_)" numFmtId="167"/>
    <numFmt formatCode="[&gt;0]_(&quot;$&quot;* #,##0.00_);[&lt;0]_(&quot;$&quot;* \(#,##0.00\);_(&quot;$&quot;* &quot;-&quot;#??_);_(@_)" numFmtId="168"/>
    <numFmt formatCode="#0.00" numFmtId="169"/>
    <numFmt formatCode="#0" numFmtId="170"/>
    <numFmt formatCode="[&gt;=0]&quot;$&quot;#,##0.00_);[RED]\(&quot;$&quot;#,##0.00\)" numFmtId="171"/>
    <numFmt formatCode="[&gt;0]_(* #,##0.00_);[&lt;0]_(* \(#,##0.00\);_(* &quot;-&quot;#??_);_(@_)" numFmtId="172"/>
    <numFmt formatCode="[&gt;0]_(&quot;$&quot;* #,##0_);[&lt;0]_(&quot;$&quot;* \(#,##0\);_(&quot;$&quot;* &quot;-&quot;_);_(@_)" numFmtId="173"/>
    <numFmt formatCode="[&gt;=0]&quot;$&quot;#,##0_);\(&quot;$&quot;#,##0\)" numFmtId="174"/>
    <numFmt formatCode="[&gt;0]_(* #,##0_);[&lt;0]_(* \(#,##0\);_(* &quot;-&quot;#??_);_(@_)" numFmtId="175"/>
    <numFmt formatCode="&quot;$&quot;#,##0" numFmtId="176"/>
    <numFmt formatCode="[&gt;=0]&quot;&quot;MMM\-yy;@" numFmtId="177"/>
    <numFmt formatCode="#0.000%" numFmtId="178"/>
    <numFmt formatCode="@" numFmtId="179"/>
    <numFmt formatCode="[&gt;=0]M/d/yy;@" numFmtId="180"/>
    <numFmt formatCode="mm/dd/yy" numFmtId="181"/>
    <numFmt formatCode="#0.0%" numFmtId="182"/>
    <numFmt formatCode="mm/dd/yyyy" numFmtId="183"/>
    <numFmt formatCode="[&gt;=0]MM/dd/yy;@" numFmtId="184"/>
    <numFmt formatCode="&quot;$&quot;#,##0.00" numFmtId="185"/>
  </numFmts>
  <fonts count="50">
    <font>
      <sz val="11"/>
      <color rgb="FF000000"/>
      <name val="Calibri"/>
    </font>
    <font>
      <sz val="11"/>
      <name val="Calibri"/>
    </font>
    <font>
      <b/>
      <sz val="11"/>
      <name val="Calibri"/>
    </font>
    <font>
      <sz val="11"/>
      <name val="Calibri"/>
    </font>
    <font>
      <b/>
      <sz val="12"/>
      <name val="Aptos Narrow"/>
    </font>
    <font>
      <b/>
      <sz val="12"/>
      <name val="Aptos Narrow"/>
    </font>
    <font>
      <b/>
      <sz val="10"/>
      <name val="Aptos Narrow"/>
    </font>
    <font>
      <sz val="11"/>
      <name val="Aptos Narrow"/>
    </font>
    <font>
      <b/>
      <sz val="10"/>
      <name val="Aptos Narrow"/>
    </font>
    <font>
      <sz val="11"/>
      <name val="Aptos Narrow"/>
    </font>
    <font>
      <b/>
      <sz val="11"/>
      <name val="Aptos Narrow"/>
    </font>
    <font>
      <b/>
      <sz val="11"/>
      <name val="Aptos Narrow"/>
    </font>
    <font>
      <b/>
      <sz val="11"/>
      <color rgb="FFFF0000"/>
      <name val="Aptos Narrow"/>
    </font>
    <font>
      <b/>
      <sz val="11"/>
      <color rgb="FFFF0000"/>
      <name val="Aptos Narrow"/>
    </font>
    <font>
      <sz val="11"/>
      <color rgb="FF385723"/>
      <name val="Aptos Narrow"/>
    </font>
    <font>
      <sz val="11"/>
      <name val="Arial"/>
    </font>
    <font>
      <b/>
      <sz val="12"/>
      <name val="Calibri"/>
    </font>
    <font>
      <sz val="12"/>
      <name val="Aptos Narrow"/>
    </font>
    <font>
      <b/>
      <sz val="11"/>
      <color rgb="FF3366FF"/>
      <name val="Aptos Narrow"/>
    </font>
    <font>
      <sz val="11"/>
      <color rgb="FFFFFFFF"/>
      <name val="Aptos Narrow"/>
    </font>
    <font>
      <sz val="12"/>
      <name val="Calibri"/>
    </font>
    <font>
      <i/>
      <sz val="11"/>
      <name val="Aptos Narrow"/>
    </font>
    <font>
      <sz val="8"/>
      <name val="Aptos Narrow"/>
    </font>
    <font>
      <b/>
      <sz val="12"/>
      <name val="Aptos Narrow"/>
    </font>
    <font>
      <b/>
      <i/>
      <sz val="11"/>
      <name val="Aptos Narrow"/>
    </font>
    <font>
      <b/>
      <sz val="12"/>
      <color rgb="FFFFFFFF"/>
      <name val="Aptos Narrow"/>
    </font>
    <font>
      <b/>
      <i/>
      <sz val="12"/>
      <name val="Aptos Narrow"/>
    </font>
    <font>
      <i/>
      <sz val="12"/>
      <name val="Aptos Narrow"/>
    </font>
    <font>
      <b/>
      <sz val="10"/>
      <color rgb="FFFFFFFF"/>
      <name val="Calibri"/>
    </font>
    <font>
      <sz val="10"/>
      <color rgb="FFFFFFFF"/>
      <name val="Calibri"/>
    </font>
    <font>
      <sz val="10"/>
      <name val="Calibri"/>
    </font>
    <font>
      <b/>
      <sz val="10"/>
      <name val="Calibri"/>
    </font>
    <font>
      <sz val="10"/>
      <name val="Aptos Narrow"/>
    </font>
    <font>
      <b/>
      <i/>
      <sz val="10"/>
      <name val="Aptos Narrow"/>
    </font>
    <font>
      <i/>
      <sz val="10"/>
      <name val="Aptos Narrow"/>
    </font>
    <font>
      <b/>
      <sz val="10"/>
      <color rgb="FF3366FF"/>
      <name val="Aptos Narrow"/>
    </font>
    <font>
      <sz val="10"/>
      <name val="Aptos Narrow"/>
    </font>
    <font>
      <b/>
      <sz val="11"/>
      <color rgb="FF0563C1"/>
      <name val="Calibri"/>
    </font>
    <font>
      <sz val="11"/>
      <color rgb="FF0563C1"/>
      <name val="Calibri"/>
    </font>
    <font>
      <sz val="11"/>
      <name val="Arial"/>
    </font>
    <font>
      <sz val="10"/>
      <name val="Arial"/>
    </font>
    <font>
      <b/>
      <sz val="20"/>
      <color rgb="FFFFFFFF"/>
      <name val="Calibri"/>
    </font>
    <font>
      <b/>
      <sz val="14"/>
      <name val="Calibri"/>
    </font>
    <font>
      <b/>
      <sz val="24"/>
      <color rgb="FF000080"/>
      <name val="Calibri"/>
    </font>
    <font>
      <b/>
      <sz val="24"/>
      <name val="Calibri"/>
    </font>
    <font>
      <b/>
      <sz val="20"/>
      <name val="Calibri"/>
    </font>
    <font>
      <b/>
      <sz val="10"/>
      <name val="Arial"/>
    </font>
    <font>
      <b/>
      <sz val="11"/>
      <color rgb="FF0563C1"/>
      <name val="Calibri"/>
    </font>
    <font>
      <b/>
      <sz val="11"/>
      <name val="Calibri"/>
    </font>
    <font>
      <sz val="11"/>
      <color rgb="FF185C8A"/>
      <name val="Calibri"/>
    </font>
  </fonts>
  <fills count="30">
    <fill>
      <patternFill patternType="none"/>
    </fill>
    <fill>
      <patternFill patternType="gray125"/>
    </fill>
    <fill>
      <patternFill patternType="solid">
        <fgColor rgb="FFD9E0E0"/>
        <bgColor rgb="FFD9E0E0"/>
      </patternFill>
    </fill>
    <fill>
      <patternFill patternType="solid">
        <fgColor rgb="FF83CCEB"/>
        <bgColor rgb="FF000000"/>
      </patternFill>
    </fill>
    <fill>
      <patternFill patternType="solid">
        <fgColor rgb="FFFFFFFF"/>
        <bgColor rgb="FFFFFFFF"/>
      </patternFill>
    </fill>
    <fill>
      <patternFill patternType="solid">
        <fgColor rgb="FFD9E0E0"/>
        <bgColor rgb="FF000000"/>
      </patternFill>
    </fill>
    <fill>
      <patternFill patternType="solid">
        <fgColor rgb="FFD0CECE"/>
        <bgColor rgb="FF000000"/>
      </patternFill>
    </fill>
    <fill>
      <patternFill patternType="solid">
        <fgColor rgb="FFD6EAF8"/>
        <bgColor rgb="FF000000"/>
      </patternFill>
    </fill>
    <fill>
      <patternFill patternType="darkTrellis">
        <bgColor rgb="FFB1BFBF"/>
      </patternFill>
    </fill>
    <fill>
      <patternFill patternType="darkTrellis">
        <bgColor rgb="FFAFABAB"/>
      </patternFill>
    </fill>
    <fill>
      <patternFill patternType="solid">
        <fgColor rgb="FFCEE8B3"/>
        <bgColor rgb="FFCEE8B3"/>
      </patternFill>
    </fill>
    <fill>
      <patternFill patternType="solid">
        <fgColor rgb="FFDEEBF7"/>
        <bgColor rgb="FF000000"/>
      </patternFill>
    </fill>
    <fill>
      <patternFill patternType="solid">
        <fgColor rgb="FFD5F5E3"/>
        <bgColor rgb="FFD5F5E3"/>
      </patternFill>
    </fill>
    <fill>
      <patternFill patternType="solid">
        <fgColor rgb="FFFFFFFF"/>
        <bgColor rgb="FF000000"/>
      </patternFill>
    </fill>
    <fill>
      <patternFill patternType="solid">
        <fgColor rgb="FFD1F3D8"/>
        <bgColor rgb="FF000000"/>
      </patternFill>
    </fill>
    <fill>
      <patternFill patternType="solid">
        <fgColor rgb="FF8DE39F"/>
        <bgColor rgb="FF000000"/>
      </patternFill>
    </fill>
    <fill>
      <patternFill patternType="solid">
        <fgColor rgb="FFFFFF00"/>
        <bgColor rgb="FF000000"/>
      </patternFill>
    </fill>
    <fill>
      <patternFill patternType="solid">
        <fgColor rgb="FFD5F5E3"/>
        <bgColor rgb="FF000000"/>
      </patternFill>
    </fill>
    <fill>
      <patternFill patternType="solid">
        <fgColor rgb="FF000000"/>
        <bgColor rgb="FF000000"/>
      </patternFill>
    </fill>
    <fill>
      <patternFill patternType="solid">
        <fgColor rgb="FF1E2832"/>
        <bgColor rgb="FF000000"/>
      </patternFill>
    </fill>
    <fill>
      <patternFill patternType="solid">
        <fgColor rgb="FFF2F2F2"/>
        <bgColor rgb="FF000000"/>
      </patternFill>
    </fill>
    <fill>
      <patternFill patternType="solid">
        <fgColor rgb="FFC0E6F5"/>
        <bgColor rgb="FF000000"/>
      </patternFill>
    </fill>
    <fill>
      <patternFill patternType="solid">
        <fgColor rgb="FFE7E6E6"/>
        <bgColor rgb="FF000000"/>
      </patternFill>
    </fill>
    <fill>
      <patternFill patternType="solid">
        <fgColor rgb="FFE2F0D9"/>
        <bgColor rgb="FF000000"/>
      </patternFill>
    </fill>
    <fill>
      <patternFill patternType="solid">
        <fgColor rgb="FFF4F6F6"/>
        <bgColor rgb="FF000000"/>
      </patternFill>
    </fill>
    <fill>
      <patternFill patternType="solid">
        <fgColor rgb="FF000000"/>
        <bgColor rgb="FF000000"/>
      </patternFill>
    </fill>
    <fill>
      <patternFill patternType="solid">
        <fgColor rgb="FF83CCEB"/>
        <bgColor rgb="FF83CCEB"/>
      </patternFill>
    </fill>
    <fill>
      <patternFill patternType="lightUp">
        <bgColor rgb="FFD0CECE"/>
      </patternFill>
    </fill>
    <fill>
      <patternFill patternType="solid">
        <fgColor rgb="FFD9D9D9"/>
        <bgColor rgb="FF000000"/>
      </patternFill>
    </fill>
    <fill>
      <patternFill patternType="solid">
        <fgColor rgb="FFD6DCE5"/>
        <bgColor rgb="FF000000"/>
      </patternFill>
    </fill>
  </fills>
  <borders count="9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double">
        <color rgb="FFE4E4E4"/>
      </top>
      <bottom style="thin">
        <color rgb="FF000000"/>
      </bottom>
      <diagonal/>
    </border>
    <border>
      <left/>
      <right style="thin">
        <color rgb="FF000000"/>
      </right>
      <top style="double">
        <color rgb="FFF2F2F2"/>
      </top>
      <bottom style="thin">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657D9D"/>
      </top>
      <bottom/>
      <diagonal/>
    </border>
    <border>
      <left/>
      <right style="medium">
        <color rgb="FF657D9D"/>
      </right>
      <top style="medium">
        <color rgb="FF657D9D"/>
      </top>
      <bottom/>
      <diagonal/>
    </border>
    <border>
      <left/>
      <right style="medium">
        <color rgb="FF657D9D"/>
      </right>
      <top/>
      <bottom/>
      <diagonal/>
    </border>
    <border>
      <left/>
      <right style="thin">
        <color rgb="FF000000"/>
      </right>
      <top style="thin">
        <color rgb="FF000000"/>
      </top>
      <bottom style="thin">
        <color rgb="FFF2F2F2"/>
      </bottom>
      <diagonal/>
    </border>
    <border>
      <left style="thin">
        <color rgb="FF000000"/>
      </left>
      <right style="thin">
        <color rgb="FF000000"/>
      </right>
      <top style="thin">
        <color rgb="FF000000"/>
      </top>
      <bottom style="thin">
        <color rgb="FFF2F2F2"/>
      </bottom>
      <diagonal/>
    </border>
    <border>
      <left/>
      <right style="thin">
        <color rgb="FF000000"/>
      </right>
      <top style="thin">
        <color rgb="FFF2F2F2"/>
      </top>
      <bottom/>
      <diagonal/>
    </border>
    <border>
      <left style="thin">
        <color rgb="FF000000"/>
      </left>
      <right style="thin">
        <color rgb="FF000000"/>
      </right>
      <top style="thin">
        <color rgb="FFF2F2F2"/>
      </top>
      <bottom/>
      <diagonal/>
    </border>
    <border>
      <left style="thin">
        <color rgb="FF000000"/>
      </left>
      <right style="thin">
        <color rgb="FF000000"/>
      </right>
      <top style="thin">
        <color rgb="FFF2F2F2"/>
      </top>
      <bottom style="thin">
        <color rgb="FF000000"/>
      </bottom>
      <diagonal/>
    </border>
    <border>
      <left style="thin">
        <color rgb="FF000000"/>
      </left>
      <right style="thin">
        <color rgb="FF000000"/>
      </right>
      <top style="thin">
        <color rgb="FFF2F2F2"/>
      </top>
      <bottom style="thin">
        <color rgb="FFF2F2F2"/>
      </bottom>
      <diagonal/>
    </border>
    <border>
      <left/>
      <right/>
      <top/>
      <bottom style="medium">
        <color rgb="FF657D9D"/>
      </bottom>
      <diagonal/>
    </border>
    <border>
      <left/>
      <right style="medium">
        <color rgb="FF657D9D"/>
      </right>
      <top/>
      <bottom style="medium">
        <color rgb="FF657D9D"/>
      </bottom>
      <diagonal/>
    </border>
    <border>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F2F2F2"/>
      </top>
      <bottom style="double">
        <color rgb="FF000000"/>
      </bottom>
      <diagonal/>
    </border>
    <border>
      <left style="thin">
        <color rgb="FF000000"/>
      </left>
      <right style="thin">
        <color rgb="FF000000"/>
      </right>
      <top style="double">
        <color rgb="FF000000"/>
      </top>
      <bottom style="thin">
        <color rgb="FF000000"/>
      </bottom>
      <diagonal/>
    </border>
    <border>
      <left style="thin">
        <color rgb="FF000000"/>
      </left>
      <right style="thin">
        <color rgb="FF000000"/>
      </right>
      <top/>
      <bottom style="thin">
        <color rgb="FFF2F2F2"/>
      </bottom>
      <diagonal/>
    </border>
    <border>
      <left style="medium">
        <color rgb="FF000000"/>
      </left>
      <right style="medium">
        <color rgb="FF000000"/>
      </right>
      <top style="medium">
        <color rgb="FF000000"/>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style="thin">
        <color rgb="FFF2F2F2"/>
      </top>
      <bottom style="thin">
        <color rgb="FFF2F2F2"/>
      </bottom>
      <diagonal/>
    </border>
    <border>
      <left/>
      <right style="medium">
        <color rgb="FF000000"/>
      </right>
      <top style="thin">
        <color rgb="FFF2F2F2"/>
      </top>
      <bottom style="thin">
        <color rgb="FF000000"/>
      </bottom>
      <diagonal/>
    </border>
    <border>
      <left style="medium">
        <color rgb="FF000000"/>
      </left>
      <right style="thin">
        <color rgb="FF000000"/>
      </right>
      <top/>
      <bottom/>
      <diagonal/>
    </border>
    <border>
      <left style="medium">
        <color rgb="FF000000"/>
      </left>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style="thin">
        <color rgb="FF000000"/>
      </left>
      <right style="medium">
        <color rgb="FF000000"/>
      </right>
      <top style="thin">
        <color rgb="FF000000"/>
      </top>
      <bottom style="thin">
        <color rgb="FFF2F2F2"/>
      </bottom>
      <diagonal/>
    </border>
    <border>
      <left style="medium">
        <color rgb="FF000000"/>
      </left>
      <right style="thin">
        <color rgb="FF000000"/>
      </right>
      <top style="thin">
        <color rgb="FF000000"/>
      </top>
      <bottom style="thin">
        <color rgb="FFF2F2F2"/>
      </bottom>
      <diagonal/>
    </border>
    <border>
      <left style="thin">
        <color rgb="FF000000"/>
      </left>
      <right style="medium">
        <color rgb="FF000000"/>
      </right>
      <top style="thin">
        <color rgb="FFF2F2F2"/>
      </top>
      <bottom style="thin">
        <color rgb="FF000000"/>
      </bottom>
      <diagonal/>
    </border>
    <border>
      <left style="medium">
        <color rgb="FF000000"/>
      </left>
      <right style="thin">
        <color rgb="FF000000"/>
      </right>
      <top style="thin">
        <color rgb="FFF2F2F2"/>
      </top>
      <bottom style="thin">
        <color rgb="FF000000"/>
      </bottom>
      <diagonal/>
    </border>
    <border>
      <left style="thin">
        <color rgb="FF000000"/>
      </left>
      <right style="medium">
        <color rgb="FF000000"/>
      </right>
      <top style="thin">
        <color rgb="FFF2F2F2"/>
      </top>
      <bottom style="thin">
        <color rgb="FFF2F2F2"/>
      </bottom>
      <diagonal/>
    </border>
    <border>
      <left style="medium">
        <color rgb="FF000000"/>
      </left>
      <right style="thin">
        <color rgb="FF000000"/>
      </right>
      <top style="thin">
        <color rgb="FFF2F2F2"/>
      </top>
      <bottom style="thin">
        <color rgb="FFF2F2F2"/>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D9D9D9"/>
      </bottom>
      <diagonal/>
    </border>
    <border>
      <left style="thin">
        <color rgb="FF000000"/>
      </left>
      <right style="medium">
        <color rgb="FF000000"/>
      </right>
      <top style="thin">
        <color rgb="FFD9D9D9"/>
      </top>
      <bottom style="thin">
        <color rgb="FFD9D9D9"/>
      </bottom>
      <diagonal/>
    </border>
    <border>
      <left style="thin">
        <color rgb="FF000000"/>
      </left>
      <right style="medium">
        <color rgb="FF000000"/>
      </right>
      <top style="thin">
        <color rgb="FFD9D9D9"/>
      </top>
      <bottom style="medium">
        <color rgb="FF000000"/>
      </bottom>
      <diagonal/>
    </border>
  </borders>
  <cellStyleXfs count="1">
    <xf borderId="0" fillId="0" fontId="0" numFmtId="0" xfId="0">
      <alignment vertical="bottom"/>
    </xf>
  </cellStyleXfs>
  <cellXfs count="792">
    <xf borderId="0" fillId="0" fontId="0" numFmtId="0" xfId="0">
      <alignment vertical="bottom"/>
    </xf>
    <xf borderId="0" fillId="0" fontId="1" numFmtId="0" xfId="0">
      <alignment vertical="bottom" wrapText="1"/>
    </xf>
    <xf borderId="0" fillId="0" fontId="2" numFmtId="0" xfId="0">
      <alignment horizontal="center" vertical="bottom" wrapText="1"/>
    </xf>
    <xf borderId="0" fillId="0" fontId="1" numFmtId="0" xfId="0">
      <alignment horizontal="center" vertical="bottom" wrapText="1"/>
    </xf>
    <xf borderId="0" fillId="0" fontId="1" numFmtId="0" xfId="0">
      <alignment horizontal="center" vertical="bottom"/>
    </xf>
    <xf borderId="0" fillId="0" fontId="3" numFmtId="0" xfId="0">
      <alignment vertical="bottom"/>
    </xf>
    <xf borderId="0" fillId="0" fontId="1" numFmtId="0" xfId="0">
      <alignment vertical="bottom"/>
    </xf>
    <xf borderId="0" fillId="2" fontId="1" numFmtId="0" xfId="0">
      <alignment vertical="bottom" wrapText="1"/>
    </xf>
    <xf borderId="0" fillId="2" fontId="3" numFmtId="0" xfId="0">
      <alignment vertical="bottom"/>
    </xf>
    <xf borderId="1" fillId="3" fontId="4" numFmtId="0" xfId="0">
      <alignment horizontal="center" vertical="top"/>
    </xf>
    <xf borderId="2" fillId="0" fontId="3" numFmtId="0" xfId="0">
      <alignment horizontal="center" vertical="bottom"/>
    </xf>
    <xf borderId="3" fillId="0" fontId="3" numFmtId="0" xfId="0">
      <alignment horizontal="center" vertical="bottom"/>
    </xf>
    <xf borderId="4" fillId="4" fontId="1" numFmtId="0" xfId="0">
      <alignment horizontal="center" vertical="bottom"/>
    </xf>
    <xf borderId="0" fillId="4" fontId="1" numFmtId="0" xfId="0">
      <alignment vertical="bottom"/>
    </xf>
    <xf borderId="5" fillId="4" fontId="1" numFmtId="0" xfId="0">
      <alignment vertical="bottom"/>
    </xf>
    <xf borderId="6" fillId="0" fontId="3" numFmtId="0" xfId="0">
      <alignment vertical="bottom"/>
    </xf>
    <xf borderId="7" fillId="0" fontId="3" numFmtId="0" xfId="0">
      <alignment vertical="bottom"/>
    </xf>
    <xf borderId="8" fillId="0" fontId="3" numFmtId="0" xfId="0">
      <alignment vertical="bottom"/>
    </xf>
    <xf borderId="9" fillId="3" fontId="5" numFmtId="0" xfId="0">
      <alignment horizontal="center" vertical="top"/>
    </xf>
    <xf borderId="10" fillId="3" fontId="5" numFmtId="0" xfId="0">
      <alignment horizontal="center" vertical="top"/>
    </xf>
    <xf borderId="11" fillId="3" fontId="5" numFmtId="0" xfId="0">
      <alignment horizontal="center" vertical="top"/>
    </xf>
    <xf borderId="9" fillId="3" fontId="4" numFmtId="0" xfId="0">
      <alignment horizontal="center" vertical="top"/>
    </xf>
    <xf borderId="10" fillId="3" fontId="4" numFmtId="0" xfId="0">
      <alignment horizontal="center" vertical="top"/>
    </xf>
    <xf borderId="11" fillId="3" fontId="4" numFmtId="0" xfId="0">
      <alignment horizontal="center" vertical="top"/>
    </xf>
    <xf borderId="4" fillId="5" fontId="6" numFmtId="0" xfId="0">
      <alignment horizontal="center" vertical="top"/>
    </xf>
    <xf borderId="0" fillId="5" fontId="6" numFmtId="0" xfId="0">
      <alignment horizontal="center" vertical="top"/>
    </xf>
    <xf borderId="0" fillId="5" fontId="7" numFmtId="0" xfId="0">
      <alignment vertical="bottom"/>
    </xf>
    <xf borderId="5" fillId="5" fontId="7" numFmtId="0" xfId="0">
      <alignment vertical="bottom"/>
    </xf>
    <xf borderId="4" fillId="6" fontId="8" numFmtId="0" xfId="0">
      <alignment horizontal="center" vertical="top"/>
    </xf>
    <xf borderId="0" fillId="6" fontId="8" numFmtId="0" xfId="0">
      <alignment horizontal="center" vertical="top"/>
    </xf>
    <xf borderId="0" fillId="6" fontId="9" numFmtId="0" xfId="0">
      <alignment vertical="bottom"/>
    </xf>
    <xf borderId="5" fillId="6" fontId="8" numFmtId="0" xfId="0">
      <alignment horizontal="center" vertical="top"/>
    </xf>
    <xf borderId="12" fillId="5" fontId="6" numFmtId="0" xfId="0">
      <alignment horizontal="center" vertical="top"/>
    </xf>
    <xf borderId="13" fillId="5" fontId="10" numFmtId="0" xfId="0">
      <alignment horizontal="center" vertical="top" wrapText="1"/>
    </xf>
    <xf borderId="13" fillId="5" fontId="10" numFmtId="0" xfId="0">
      <alignment horizontal="center" vertical="top"/>
    </xf>
    <xf borderId="12" fillId="6" fontId="8" numFmtId="0" xfId="0">
      <alignment horizontal="center" vertical="top"/>
    </xf>
    <xf borderId="13" fillId="6" fontId="11" numFmtId="0" xfId="0">
      <alignment horizontal="center" vertical="top" wrapText="1"/>
    </xf>
    <xf borderId="13" fillId="6" fontId="11" numFmtId="0" xfId="0">
      <alignment horizontal="center" vertical="top"/>
    </xf>
    <xf borderId="5" fillId="6" fontId="9" numFmtId="0" xfId="0">
      <alignment vertical="bottom"/>
    </xf>
    <xf borderId="4" fillId="5" fontId="7" numFmtId="0" xfId="0">
      <alignment horizontal="right" vertical="bottom"/>
    </xf>
    <xf borderId="13" fillId="7" fontId="7" numFmtId="0" xfId="0">
      <alignment horizontal="center" vertical="top"/>
    </xf>
    <xf borderId="13" fillId="8" fontId="7" numFmtId="0" xfId="0">
      <alignment vertical="bottom"/>
    </xf>
    <xf borderId="13" fillId="8" fontId="10" numFmtId="0" xfId="0">
      <alignment vertical="bottom"/>
    </xf>
    <xf borderId="0" fillId="5" fontId="10" numFmtId="0" xfId="0">
      <alignment horizontal="right" vertical="bottom"/>
    </xf>
    <xf borderId="13" fillId="0" fontId="7" numFmtId="164" xfId="0">
      <alignment horizontal="center" vertical="bottom"/>
    </xf>
    <xf borderId="4" fillId="6" fontId="9" numFmtId="0" xfId="0">
      <alignment horizontal="right" vertical="bottom"/>
    </xf>
    <xf borderId="13" fillId="0" fontId="9" numFmtId="165" xfId="0">
      <alignment horizontal="center" vertical="bottom"/>
    </xf>
    <xf borderId="14" fillId="9" fontId="9" numFmtId="164" xfId="0">
      <alignment horizontal="center" vertical="bottom"/>
    </xf>
    <xf borderId="13" fillId="10" fontId="7" numFmtId="166" xfId="0">
      <alignment horizontal="center" vertical="bottom"/>
    </xf>
    <xf borderId="13" fillId="10" fontId="7" numFmtId="167" xfId="0">
      <alignment horizontal="center" vertical="bottom"/>
    </xf>
    <xf borderId="13" fillId="0" fontId="7" numFmtId="168" xfId="0">
      <alignment horizontal="center" vertical="bottom"/>
    </xf>
    <xf borderId="12" fillId="9" fontId="9" numFmtId="164" xfId="0">
      <alignment horizontal="center" vertical="bottom"/>
    </xf>
    <xf borderId="13" fillId="0" fontId="7" numFmtId="165" xfId="0">
      <alignment horizontal="center" vertical="bottom"/>
    </xf>
    <xf borderId="14" fillId="8" fontId="7" numFmtId="164" xfId="0">
      <alignment horizontal="center" vertical="bottom"/>
    </xf>
    <xf borderId="0" fillId="5" fontId="7" numFmtId="165" xfId="0">
      <alignment horizontal="center" vertical="bottom"/>
    </xf>
    <xf borderId="13" fillId="6" fontId="9" numFmtId="165" xfId="0">
      <alignment horizontal="center" vertical="bottom"/>
    </xf>
    <xf borderId="12" fillId="8" fontId="7" numFmtId="164" xfId="0">
      <alignment horizontal="center" vertical="bottom"/>
    </xf>
    <xf borderId="13" fillId="11" fontId="9" numFmtId="169" xfId="0">
      <alignment horizontal="center" vertical="center"/>
    </xf>
    <xf borderId="13" fillId="9" fontId="9" numFmtId="164" xfId="0">
      <alignment horizontal="center" vertical="bottom"/>
    </xf>
    <xf borderId="13" fillId="9" fontId="9" numFmtId="0" xfId="0">
      <alignment vertical="bottom"/>
    </xf>
    <xf borderId="13" fillId="5" fontId="7" numFmtId="165" xfId="0">
      <alignment horizontal="center" vertical="bottom"/>
    </xf>
    <xf borderId="13" fillId="0" fontId="9" numFmtId="170" xfId="0">
      <alignment horizontal="center" vertical="bottom"/>
    </xf>
    <xf borderId="12" fillId="9" fontId="9" numFmtId="0" xfId="0">
      <alignment horizontal="center" vertical="bottom"/>
    </xf>
    <xf borderId="13" fillId="7" fontId="7" numFmtId="169" xfId="0">
      <alignment horizontal="center" vertical="center"/>
    </xf>
    <xf borderId="13" fillId="8" fontId="7" numFmtId="164" xfId="0">
      <alignment horizontal="center" vertical="bottom"/>
    </xf>
    <xf borderId="13" fillId="0" fontId="7" numFmtId="170" xfId="0">
      <alignment horizontal="center" vertical="bottom"/>
    </xf>
    <xf borderId="12" fillId="8" fontId="7" numFmtId="0" xfId="0">
      <alignment horizontal="center" vertical="bottom"/>
    </xf>
    <xf borderId="13" fillId="0" fontId="12" numFmtId="170" xfId="0">
      <alignment horizontal="center" vertical="bottom"/>
    </xf>
    <xf borderId="0" fillId="6" fontId="9" numFmtId="0" xfId="0">
      <alignment horizontal="right" vertical="bottom"/>
    </xf>
    <xf borderId="0" fillId="6" fontId="9" numFmtId="171" xfId="0">
      <alignment horizontal="center" vertical="bottom"/>
    </xf>
    <xf borderId="0" fillId="6" fontId="9" numFmtId="171" xfId="0">
      <alignment vertical="bottom"/>
    </xf>
    <xf borderId="13" fillId="12" fontId="7" numFmtId="168" xfId="0">
      <alignment horizontal="center" vertical="bottom"/>
    </xf>
    <xf borderId="6" fillId="6" fontId="9" numFmtId="0" xfId="0">
      <alignment vertical="bottom"/>
    </xf>
    <xf borderId="7" fillId="6" fontId="9" numFmtId="0" xfId="0">
      <alignment vertical="bottom"/>
    </xf>
    <xf borderId="8" fillId="6" fontId="9" numFmtId="0" xfId="0">
      <alignment vertical="bottom"/>
    </xf>
    <xf borderId="12" fillId="5" fontId="7" numFmtId="0" xfId="0">
      <alignment horizontal="right" vertical="bottom"/>
    </xf>
    <xf borderId="13" fillId="5" fontId="7" numFmtId="171" xfId="0">
      <alignment horizontal="center" vertical="bottom"/>
    </xf>
    <xf borderId="15" fillId="8" fontId="7" numFmtId="0" xfId="0">
      <alignment vertical="bottom"/>
    </xf>
    <xf borderId="16" fillId="0" fontId="7" numFmtId="168" xfId="0">
      <alignment horizontal="center" vertical="bottom"/>
    </xf>
    <xf borderId="17" fillId="0" fontId="7" numFmtId="0" xfId="0">
      <alignment horizontal="center" vertical="bottom"/>
    </xf>
    <xf borderId="13" fillId="2" fontId="7" numFmtId="0" xfId="0">
      <alignment horizontal="center" vertical="center"/>
    </xf>
    <xf borderId="0" fillId="5" fontId="7" numFmtId="0" xfId="0">
      <alignment horizontal="right" vertical="bottom"/>
    </xf>
    <xf borderId="0" fillId="5" fontId="7" numFmtId="171" xfId="0">
      <alignment horizontal="center" vertical="bottom"/>
    </xf>
    <xf borderId="0" fillId="5" fontId="7" numFmtId="171" xfId="0">
      <alignment vertical="bottom"/>
    </xf>
    <xf borderId="13" fillId="7" fontId="7" numFmtId="0" xfId="0">
      <alignment horizontal="center" vertical="center"/>
    </xf>
    <xf borderId="13" fillId="0" fontId="7" numFmtId="172" xfId="0">
      <alignment horizontal="center" vertical="bottom"/>
    </xf>
    <xf borderId="0" fillId="5" fontId="7" numFmtId="171" xfId="0">
      <alignment horizontal="right" vertical="bottom"/>
    </xf>
    <xf borderId="0" fillId="5" fontId="7" numFmtId="168" xfId="0">
      <alignment horizontal="center" vertical="bottom"/>
    </xf>
    <xf borderId="5" fillId="5" fontId="7" numFmtId="168" xfId="0">
      <alignment horizontal="center" vertical="bottom"/>
    </xf>
    <xf borderId="6" fillId="5" fontId="7" numFmtId="0" xfId="0">
      <alignment vertical="bottom"/>
    </xf>
    <xf borderId="7" fillId="5" fontId="7" numFmtId="0" xfId="0">
      <alignment vertical="bottom"/>
    </xf>
    <xf borderId="7" fillId="5" fontId="7" numFmtId="0" xfId="0">
      <alignment horizontal="right" vertical="bottom"/>
    </xf>
    <xf borderId="8" fillId="5" fontId="7" numFmtId="0" xfId="0">
      <alignment vertical="bottom"/>
    </xf>
    <xf borderId="9" fillId="3" fontId="4" numFmtId="0" xfId="0">
      <alignment vertical="top"/>
    </xf>
    <xf borderId="10" fillId="3" fontId="4" numFmtId="0" xfId="0">
      <alignment vertical="top"/>
    </xf>
    <xf borderId="11" fillId="3" fontId="4" numFmtId="0" xfId="0">
      <alignment vertical="top"/>
    </xf>
    <xf borderId="4" fillId="5" fontId="7" numFmtId="0" xfId="0">
      <alignment vertical="bottom"/>
    </xf>
    <xf borderId="0" fillId="5" fontId="7" numFmtId="0" xfId="0">
      <alignment vertical="top"/>
    </xf>
    <xf borderId="4" fillId="6" fontId="9" numFmtId="0" xfId="0">
      <alignment vertical="bottom"/>
    </xf>
    <xf borderId="0" fillId="6" fontId="9" numFmtId="0" xfId="0">
      <alignment vertical="top"/>
    </xf>
    <xf borderId="12" fillId="5" fontId="7" numFmtId="0" xfId="0">
      <alignment vertical="top" wrapText="1"/>
    </xf>
    <xf borderId="18" fillId="5" fontId="10" numFmtId="0" xfId="0">
      <alignment horizontal="center" vertical="top" wrapText="1"/>
    </xf>
    <xf borderId="5" fillId="5" fontId="7" numFmtId="0" xfId="0">
      <alignment vertical="bottom" wrapText="1"/>
    </xf>
    <xf borderId="12" fillId="6" fontId="9" numFmtId="0" xfId="0">
      <alignment vertical="top" wrapText="1"/>
    </xf>
    <xf borderId="5" fillId="6" fontId="9" numFmtId="0" xfId="0">
      <alignment vertical="bottom" wrapText="1"/>
    </xf>
    <xf borderId="6" fillId="5" fontId="10" numFmtId="0" xfId="0">
      <alignment vertical="top"/>
    </xf>
    <xf borderId="2" fillId="5" fontId="10" numFmtId="0" xfId="0">
      <alignment vertical="top"/>
    </xf>
    <xf borderId="19" fillId="5" fontId="10" numFmtId="0" xfId="0">
      <alignment vertical="top"/>
    </xf>
    <xf borderId="20" fillId="5" fontId="10" numFmtId="0" xfId="0">
      <alignment vertical="top"/>
    </xf>
    <xf borderId="6" fillId="6" fontId="11" numFmtId="0" xfId="0">
      <alignment vertical="top"/>
    </xf>
    <xf borderId="2" fillId="6" fontId="11" numFmtId="0" xfId="0">
      <alignment vertical="top"/>
    </xf>
    <xf borderId="13" fillId="5" fontId="7" numFmtId="0" xfId="0">
      <alignment horizontal="right" vertical="top"/>
    </xf>
    <xf borderId="13" fillId="5" fontId="7" numFmtId="173" xfId="0">
      <alignment vertical="top"/>
    </xf>
    <xf borderId="13" fillId="0" fontId="7" numFmtId="173" xfId="0">
      <alignment vertical="top"/>
    </xf>
    <xf borderId="13" fillId="0" fontId="7" numFmtId="0" xfId="0">
      <alignment vertical="top"/>
    </xf>
    <xf borderId="13" fillId="5" fontId="7" numFmtId="164" xfId="0">
      <alignment vertical="top"/>
    </xf>
    <xf borderId="18" fillId="5" fontId="7" numFmtId="169" xfId="0">
      <alignment vertical="top"/>
    </xf>
    <xf borderId="13" fillId="6" fontId="9" numFmtId="0" xfId="0">
      <alignment horizontal="right" vertical="top"/>
    </xf>
    <xf borderId="13" fillId="6" fontId="9" numFmtId="173" xfId="0">
      <alignment vertical="top"/>
    </xf>
    <xf borderId="13" fillId="0" fontId="9" numFmtId="173" xfId="0">
      <alignment vertical="top"/>
    </xf>
    <xf borderId="0" fillId="0" fontId="3" numFmtId="0" xfId="0">
      <alignment vertical="bottom" wrapText="1"/>
    </xf>
    <xf borderId="13" fillId="5" fontId="10" numFmtId="0" xfId="0">
      <alignment horizontal="right" vertical="top"/>
    </xf>
    <xf borderId="13" fillId="6" fontId="11" numFmtId="0" xfId="0">
      <alignment horizontal="right" vertical="top"/>
    </xf>
    <xf borderId="5" fillId="5" fontId="10" numFmtId="0" xfId="0">
      <alignment vertical="bottom"/>
    </xf>
    <xf borderId="5" fillId="6" fontId="11" numFmtId="0" xfId="0">
      <alignment vertical="bottom"/>
    </xf>
    <xf borderId="13" fillId="0" fontId="13" numFmtId="164" xfId="0">
      <alignment horizontal="center" vertical="top"/>
    </xf>
    <xf borderId="13" fillId="0" fontId="12" numFmtId="164" xfId="0">
      <alignment horizontal="center" vertical="top"/>
    </xf>
    <xf borderId="13" fillId="5" fontId="10" numFmtId="0" xfId="0">
      <alignment horizontal="right" vertical="bottom"/>
    </xf>
    <xf borderId="13" fillId="6" fontId="11" numFmtId="0" xfId="0">
      <alignment horizontal="right" vertical="bottom"/>
    </xf>
    <xf borderId="21" fillId="5" fontId="7" numFmtId="169" xfId="0">
      <alignment vertical="top"/>
    </xf>
    <xf borderId="13" fillId="13" fontId="9" numFmtId="173" xfId="0">
      <alignment vertical="top"/>
    </xf>
    <xf borderId="14" fillId="5" fontId="7" numFmtId="0" xfId="0">
      <alignment vertical="bottom"/>
    </xf>
    <xf borderId="13" fillId="5" fontId="7" numFmtId="173" xfId="0">
      <alignment vertical="bottom"/>
    </xf>
    <xf borderId="13" fillId="5" fontId="7" numFmtId="0" xfId="0">
      <alignment vertical="bottom"/>
    </xf>
    <xf borderId="16" fillId="5" fontId="7" numFmtId="164" xfId="0">
      <alignment horizontal="right" vertical="bottom"/>
    </xf>
    <xf borderId="22" fillId="0" fontId="10" numFmtId="169" xfId="0">
      <alignment vertical="bottom"/>
    </xf>
    <xf borderId="14" fillId="6" fontId="9" numFmtId="0" xfId="0">
      <alignment vertical="bottom"/>
    </xf>
    <xf borderId="13" fillId="6" fontId="9" numFmtId="173" xfId="0">
      <alignment vertical="bottom"/>
    </xf>
    <xf borderId="13" fillId="6" fontId="9" numFmtId="164" xfId="0">
      <alignment vertical="top"/>
    </xf>
    <xf borderId="0" fillId="0" fontId="1" numFmtId="0" xfId="0">
      <alignment horizontal="right" vertical="bottom"/>
    </xf>
    <xf borderId="10" fillId="0" fontId="3" numFmtId="0" xfId="0">
      <alignment vertical="bottom"/>
    </xf>
    <xf borderId="11" fillId="0" fontId="3" numFmtId="0" xfId="0">
      <alignment vertical="bottom"/>
    </xf>
    <xf borderId="1" fillId="14" fontId="11" numFmtId="0" xfId="0">
      <alignment vertical="bottom"/>
    </xf>
    <xf borderId="13" fillId="13" fontId="14" numFmtId="164" xfId="0">
      <alignment horizontal="center" vertical="bottom"/>
    </xf>
    <xf borderId="13" fillId="13" fontId="14" numFmtId="173" xfId="0">
      <alignment horizontal="center" vertical="bottom"/>
    </xf>
    <xf borderId="16" fillId="14" fontId="9" numFmtId="0" xfId="0">
      <alignment horizontal="right" vertical="bottom"/>
    </xf>
    <xf borderId="2" fillId="14" fontId="9" numFmtId="0" xfId="0">
      <alignment vertical="bottom"/>
    </xf>
    <xf borderId="3" fillId="14" fontId="9" numFmtId="0" xfId="0">
      <alignment vertical="bottom"/>
    </xf>
    <xf borderId="4" fillId="14" fontId="9" numFmtId="0" xfId="0">
      <alignment vertical="bottom"/>
    </xf>
    <xf borderId="0" fillId="14" fontId="9" numFmtId="0" xfId="0">
      <alignment vertical="bottom"/>
    </xf>
    <xf borderId="5" fillId="14" fontId="9" numFmtId="0" xfId="0">
      <alignment vertical="bottom"/>
    </xf>
    <xf borderId="19" fillId="14" fontId="9" numFmtId="0" xfId="0">
      <alignment vertical="bottom"/>
    </xf>
    <xf borderId="13" fillId="13" fontId="14" numFmtId="165" xfId="0">
      <alignment horizontal="center" vertical="bottom"/>
    </xf>
    <xf borderId="0" fillId="14" fontId="9" numFmtId="0" xfId="0">
      <alignment horizontal="right" vertical="bottom"/>
    </xf>
    <xf borderId="16" fillId="13" fontId="14" numFmtId="165" xfId="0">
      <alignment horizontal="center" vertical="bottom"/>
    </xf>
    <xf borderId="17" fillId="13" fontId="14" numFmtId="165" xfId="0">
      <alignment horizontal="center" vertical="bottom"/>
    </xf>
    <xf borderId="12" fillId="14" fontId="9" numFmtId="0" xfId="0">
      <alignment vertical="bottom"/>
    </xf>
    <xf borderId="4" fillId="14" fontId="9" numFmtId="0" xfId="0">
      <alignment horizontal="right" vertical="bottom"/>
    </xf>
    <xf borderId="16" fillId="13" fontId="14" numFmtId="173" xfId="0">
      <alignment horizontal="center" vertical="bottom"/>
    </xf>
    <xf borderId="17" fillId="13" fontId="14" numFmtId="173" xfId="0">
      <alignment horizontal="center" vertical="bottom"/>
    </xf>
    <xf borderId="23" fillId="15" fontId="11" numFmtId="0" xfId="0">
      <alignment vertical="bottom"/>
    </xf>
    <xf borderId="7" fillId="15" fontId="11" numFmtId="173" xfId="0">
      <alignment vertical="bottom"/>
    </xf>
    <xf borderId="8" fillId="15" fontId="11" numFmtId="173" xfId="0">
      <alignment vertical="bottom"/>
    </xf>
    <xf borderId="2" fillId="14" fontId="11" numFmtId="174" xfId="0">
      <alignment horizontal="center" vertical="bottom"/>
    </xf>
    <xf borderId="3" fillId="14" fontId="11" numFmtId="174" xfId="0">
      <alignment horizontal="center" vertical="bottom"/>
    </xf>
    <xf borderId="13" fillId="13" fontId="14" numFmtId="173" xfId="0">
      <alignment vertical="bottom"/>
    </xf>
    <xf borderId="13" fillId="0" fontId="14" numFmtId="170" xfId="0">
      <alignment horizontal="center" vertical="bottom"/>
    </xf>
    <xf borderId="13" fillId="0" fontId="14" numFmtId="173" xfId="0">
      <alignment vertical="bottom"/>
    </xf>
    <xf borderId="6" fillId="14" fontId="9" numFmtId="0" xfId="0">
      <alignment vertical="bottom"/>
    </xf>
    <xf borderId="2" fillId="14" fontId="9" numFmtId="173" xfId="0">
      <alignment vertical="bottom"/>
    </xf>
    <xf borderId="0" fillId="14" fontId="9" numFmtId="173" xfId="0">
      <alignment vertical="bottom"/>
    </xf>
    <xf borderId="8" fillId="14" fontId="9" numFmtId="173" xfId="0">
      <alignment vertical="bottom"/>
    </xf>
    <xf borderId="24" fillId="15" fontId="11" numFmtId="173" xfId="0">
      <alignment vertical="bottom"/>
    </xf>
    <xf borderId="0" fillId="13" fontId="9" numFmtId="0" xfId="0">
      <alignment vertical="bottom"/>
    </xf>
    <xf borderId="1" fillId="10" fontId="2" numFmtId="0" xfId="0">
      <alignment horizontal="center" vertical="bottom"/>
    </xf>
    <xf borderId="2" fillId="10" fontId="2" numFmtId="0" xfId="0">
      <alignment horizontal="center" vertical="bottom"/>
    </xf>
    <xf borderId="3" fillId="10" fontId="2" numFmtId="0" xfId="0">
      <alignment horizontal="center" vertical="bottom"/>
    </xf>
    <xf borderId="4" fillId="5" fontId="1" numFmtId="0" xfId="0">
      <alignment vertical="bottom"/>
    </xf>
    <xf borderId="0" fillId="5" fontId="1" numFmtId="0" xfId="0">
      <alignment vertical="bottom"/>
    </xf>
    <xf borderId="16" fillId="5" fontId="1" numFmtId="0" xfId="0">
      <alignment horizontal="center" vertical="bottom"/>
    </xf>
    <xf borderId="17" fillId="5" fontId="1" numFmtId="0" xfId="0">
      <alignment horizontal="center" vertical="bottom"/>
    </xf>
    <xf borderId="13" fillId="10" fontId="1" numFmtId="164" xfId="0">
      <alignment horizontal="center" vertical="bottom"/>
    </xf>
    <xf borderId="0" fillId="5" fontId="2" numFmtId="0" xfId="0">
      <alignment horizontal="center" vertical="bottom"/>
    </xf>
    <xf borderId="5" fillId="5" fontId="2" numFmtId="0" xfId="0">
      <alignment horizontal="center" vertical="bottom"/>
    </xf>
    <xf borderId="4" fillId="5" fontId="2" numFmtId="0" xfId="0">
      <alignment horizontal="center" vertical="bottom" wrapText="1"/>
    </xf>
    <xf borderId="0" fillId="5" fontId="2" numFmtId="0" xfId="0">
      <alignment horizontal="center" vertical="bottom" wrapText="1"/>
    </xf>
    <xf borderId="5" fillId="5" fontId="2" numFmtId="0" xfId="0">
      <alignment horizontal="center" vertical="bottom" wrapText="1"/>
    </xf>
    <xf borderId="4" fillId="5" fontId="1" numFmtId="0" xfId="0">
      <alignment horizontal="right" vertical="bottom" wrapText="1"/>
    </xf>
    <xf borderId="0" fillId="5" fontId="1" numFmtId="0" xfId="0">
      <alignment horizontal="right" vertical="bottom" wrapText="1"/>
    </xf>
    <xf borderId="16" fillId="5" fontId="1" numFmtId="168" xfId="0">
      <alignment vertical="bottom"/>
    </xf>
    <xf borderId="17" fillId="5" fontId="1" numFmtId="168" xfId="0">
      <alignment vertical="bottom"/>
    </xf>
    <xf borderId="4" fillId="5" fontId="1" numFmtId="0" xfId="0">
      <alignment vertical="bottom" wrapText="1"/>
    </xf>
    <xf borderId="0" fillId="5" fontId="15" numFmtId="0" xfId="0">
      <alignment vertical="bottom"/>
    </xf>
    <xf borderId="5" fillId="5" fontId="1" numFmtId="0" xfId="0">
      <alignment vertical="bottom"/>
    </xf>
    <xf borderId="16" fillId="5" fontId="1" numFmtId="165" xfId="0">
      <alignment vertical="bottom"/>
    </xf>
    <xf borderId="17" fillId="5" fontId="1" numFmtId="165" xfId="0">
      <alignment vertical="bottom"/>
    </xf>
    <xf borderId="0" fillId="5" fontId="1" numFmtId="0" xfId="0">
      <alignment vertical="bottom" wrapText="1"/>
    </xf>
    <xf borderId="14" fillId="5" fontId="2" numFmtId="0" xfId="0">
      <alignment horizontal="center" vertical="bottom"/>
    </xf>
    <xf borderId="3" fillId="5" fontId="2" numFmtId="0" xfId="0">
      <alignment horizontal="center" vertical="bottom"/>
    </xf>
    <xf borderId="15" fillId="5" fontId="2" numFmtId="0" xfId="0">
      <alignment horizontal="center" vertical="bottom"/>
    </xf>
    <xf borderId="8" fillId="5" fontId="2" numFmtId="0" xfId="0">
      <alignment horizontal="center" vertical="bottom"/>
    </xf>
    <xf borderId="6" fillId="5" fontId="2" numFmtId="0" xfId="0">
      <alignment horizontal="center" vertical="bottom"/>
    </xf>
    <xf borderId="2" fillId="5" fontId="1" numFmtId="166" xfId="0">
      <alignment vertical="bottom"/>
    </xf>
    <xf borderId="3" fillId="5" fontId="1" numFmtId="168" xfId="0">
      <alignment vertical="bottom"/>
    </xf>
    <xf borderId="5" fillId="5" fontId="1" numFmtId="168" xfId="0">
      <alignment vertical="bottom"/>
    </xf>
    <xf borderId="0" fillId="5" fontId="1" numFmtId="166" xfId="0">
      <alignment vertical="bottom"/>
    </xf>
    <xf borderId="6" fillId="5" fontId="1" numFmtId="0" xfId="0">
      <alignment vertical="bottom"/>
    </xf>
    <xf borderId="7" fillId="5" fontId="1" numFmtId="0" xfId="0">
      <alignment vertical="bottom"/>
    </xf>
    <xf borderId="7" fillId="5" fontId="1" numFmtId="166" xfId="0">
      <alignment vertical="bottom"/>
    </xf>
    <xf borderId="8" fillId="5" fontId="1" numFmtId="168" xfId="0">
      <alignment vertical="bottom"/>
    </xf>
    <xf borderId="8" fillId="5" fontId="1" numFmtId="168" xfId="0">
      <alignment horizontal="right" vertical="bottom"/>
    </xf>
    <xf borderId="9" fillId="5" fontId="1" numFmtId="0" xfId="0">
      <alignment vertical="bottom"/>
    </xf>
    <xf borderId="10" fillId="5" fontId="1" numFmtId="0" xfId="0">
      <alignment vertical="bottom"/>
    </xf>
    <xf borderId="10" fillId="5" fontId="1" numFmtId="166" xfId="0">
      <alignment horizontal="right" vertical="bottom"/>
    </xf>
    <xf borderId="11" fillId="5" fontId="1" numFmtId="166" xfId="0">
      <alignment horizontal="right" vertical="bottom"/>
    </xf>
    <xf borderId="11" fillId="5" fontId="1" numFmtId="168" xfId="0">
      <alignment vertical="bottom"/>
    </xf>
    <xf borderId="25" fillId="16" fontId="16" numFmtId="0" xfId="0">
      <alignment horizontal="center" vertical="bottom"/>
    </xf>
    <xf borderId="26" fillId="16" fontId="16" numFmtId="0" xfId="0">
      <alignment horizontal="center" vertical="bottom"/>
    </xf>
    <xf borderId="27" fillId="16" fontId="16" numFmtId="0" xfId="0">
      <alignment horizontal="center" vertical="bottom"/>
    </xf>
    <xf borderId="28" fillId="5" fontId="1" numFmtId="0" xfId="0">
      <alignment horizontal="right" vertical="bottom"/>
    </xf>
    <xf borderId="29" fillId="5" fontId="1" numFmtId="0" xfId="0">
      <alignment vertical="bottom"/>
    </xf>
    <xf borderId="29" fillId="5" fontId="1" numFmtId="0" xfId="0">
      <alignment horizontal="center" vertical="bottom"/>
    </xf>
    <xf borderId="30" fillId="5" fontId="1" numFmtId="0" xfId="0">
      <alignment vertical="bottom"/>
    </xf>
    <xf borderId="16" fillId="5" fontId="1" numFmtId="175" xfId="0">
      <alignment horizontal="right" vertical="bottom"/>
    </xf>
    <xf borderId="19" fillId="5" fontId="1" numFmtId="175" xfId="0">
      <alignment vertical="bottom"/>
    </xf>
    <xf borderId="14" fillId="17" fontId="1" numFmtId="165" xfId="0">
      <alignment vertical="bottom"/>
    </xf>
    <xf borderId="0" fillId="5" fontId="1" numFmtId="172" xfId="0">
      <alignment horizontal="center" vertical="bottom"/>
    </xf>
    <xf borderId="0" fillId="5" fontId="1" numFmtId="172" xfId="0">
      <alignment vertical="bottom"/>
    </xf>
    <xf borderId="5" fillId="5" fontId="1" numFmtId="172" xfId="0">
      <alignment horizontal="center" vertical="bottom"/>
    </xf>
    <xf borderId="1" fillId="5" fontId="1" numFmtId="3" xfId="0">
      <alignment vertical="center"/>
    </xf>
    <xf borderId="3" fillId="5" fontId="1" numFmtId="3" xfId="0">
      <alignment vertical="center"/>
    </xf>
    <xf borderId="4" fillId="18" fontId="1" numFmtId="3" xfId="0">
      <alignment vertical="center"/>
    </xf>
    <xf borderId="5" fillId="18" fontId="1" numFmtId="3" xfId="0">
      <alignment vertical="center"/>
    </xf>
    <xf borderId="12" fillId="18" fontId="1" numFmtId="165" xfId="0">
      <alignment vertical="bottom"/>
    </xf>
    <xf borderId="0" fillId="18" fontId="1" numFmtId="172" xfId="0">
      <alignment horizontal="center" vertical="bottom"/>
    </xf>
    <xf borderId="0" fillId="18" fontId="1" numFmtId="0" xfId="0">
      <alignment vertical="bottom"/>
    </xf>
    <xf borderId="0" fillId="18" fontId="1" numFmtId="172" xfId="0">
      <alignment vertical="bottom"/>
    </xf>
    <xf borderId="5" fillId="18" fontId="1" numFmtId="172" xfId="0">
      <alignment horizontal="center" vertical="bottom"/>
    </xf>
    <xf borderId="6" fillId="5" fontId="1" numFmtId="3" xfId="0">
      <alignment vertical="center"/>
    </xf>
    <xf borderId="8" fillId="5" fontId="1" numFmtId="3" xfId="0">
      <alignment vertical="center"/>
    </xf>
    <xf borderId="15" fillId="17" fontId="1" numFmtId="165" xfId="0">
      <alignment vertical="bottom"/>
    </xf>
    <xf borderId="7" fillId="5" fontId="1" numFmtId="172" xfId="0">
      <alignment horizontal="center" vertical="bottom"/>
    </xf>
    <xf borderId="7" fillId="5" fontId="1" numFmtId="172" xfId="0">
      <alignment vertical="bottom"/>
    </xf>
    <xf borderId="8" fillId="5" fontId="1" numFmtId="172" xfId="0">
      <alignment horizontal="center" vertical="bottom"/>
    </xf>
    <xf borderId="31" fillId="5" fontId="2" numFmtId="0" xfId="0">
      <alignment vertical="bottom"/>
    </xf>
    <xf borderId="29" fillId="5" fontId="1" numFmtId="0" xfId="0">
      <alignment horizontal="right" vertical="bottom"/>
    </xf>
    <xf borderId="29" fillId="19" fontId="1" numFmtId="175" xfId="0">
      <alignment vertical="bottom"/>
    </xf>
    <xf borderId="32" fillId="5" fontId="1" numFmtId="0" xfId="0">
      <alignment vertical="bottom"/>
    </xf>
    <xf borderId="33" fillId="5" fontId="1" numFmtId="0" xfId="0">
      <alignment vertical="bottom"/>
    </xf>
    <xf borderId="34" fillId="5" fontId="1" numFmtId="0" xfId="0">
      <alignment vertical="bottom"/>
    </xf>
    <xf borderId="0" fillId="5" fontId="1" numFmtId="176" xfId="0">
      <alignment horizontal="center" vertical="bottom"/>
    </xf>
    <xf borderId="0" fillId="5" fontId="1" numFmtId="165" xfId="0">
      <alignment horizontal="center" vertical="bottom"/>
    </xf>
    <xf borderId="0" fillId="5" fontId="1" numFmtId="0" xfId="0">
      <alignment horizontal="center" vertical="bottom"/>
    </xf>
    <xf borderId="0" fillId="5" fontId="1" numFmtId="170" xfId="0">
      <alignment horizontal="center" vertical="bottom"/>
    </xf>
    <xf borderId="0" fillId="5" fontId="1" numFmtId="177" xfId="0">
      <alignment horizontal="center" vertical="bottom"/>
    </xf>
    <xf borderId="0" fillId="5" fontId="1" numFmtId="178" xfId="0">
      <alignment horizontal="center" vertical="bottom"/>
    </xf>
    <xf borderId="0" fillId="5" fontId="1" numFmtId="171" xfId="0">
      <alignment horizontal="left" vertical="bottom"/>
    </xf>
    <xf borderId="33" fillId="5" fontId="1" numFmtId="179" xfId="0">
      <alignment vertical="bottom"/>
    </xf>
    <xf borderId="35" fillId="5" fontId="1" numFmtId="0" xfId="0">
      <alignment vertical="bottom"/>
    </xf>
    <xf borderId="36" fillId="5" fontId="1" numFmtId="176" xfId="0">
      <alignment horizontal="center" vertical="bottom"/>
    </xf>
    <xf borderId="36" fillId="5" fontId="1" numFmtId="165" xfId="0">
      <alignment horizontal="center" vertical="bottom"/>
    </xf>
    <xf borderId="36" fillId="5" fontId="1" numFmtId="0" xfId="0">
      <alignment horizontal="center" vertical="bottom"/>
    </xf>
    <xf borderId="36" fillId="5" fontId="1" numFmtId="170" xfId="0">
      <alignment horizontal="center" vertical="bottom"/>
    </xf>
    <xf borderId="36" fillId="5" fontId="1" numFmtId="177" xfId="0">
      <alignment horizontal="center" vertical="bottom"/>
    </xf>
    <xf borderId="36" fillId="5" fontId="1" numFmtId="178" xfId="0">
      <alignment horizontal="center" vertical="bottom"/>
    </xf>
    <xf borderId="36" fillId="5" fontId="1" numFmtId="171" xfId="0">
      <alignment horizontal="left" vertical="bottom"/>
    </xf>
    <xf borderId="37" fillId="5" fontId="1" numFmtId="0" xfId="0">
      <alignment vertical="bottom"/>
    </xf>
    <xf borderId="16" fillId="3" fontId="4" numFmtId="0" xfId="0">
      <alignment horizontal="center" vertical="top"/>
    </xf>
    <xf borderId="19" fillId="3" fontId="4" numFmtId="0" xfId="0">
      <alignment horizontal="center" vertical="top"/>
    </xf>
    <xf borderId="17" fillId="3" fontId="4" numFmtId="0" xfId="0">
      <alignment horizontal="center" vertical="top"/>
    </xf>
    <xf borderId="38" fillId="20" fontId="9" numFmtId="0" xfId="0">
      <alignment horizontal="center" vertical="bottom"/>
    </xf>
    <xf borderId="39" fillId="20" fontId="9" numFmtId="0" xfId="0">
      <alignment horizontal="center" vertical="bottom"/>
    </xf>
    <xf borderId="6" fillId="0" fontId="17" numFmtId="0" xfId="0">
      <alignment horizontal="center" vertical="bottom"/>
    </xf>
    <xf borderId="0" fillId="0" fontId="17" numFmtId="0" xfId="0">
      <alignment horizontal="center" vertical="bottom"/>
    </xf>
    <xf borderId="7" fillId="0" fontId="17" numFmtId="0" xfId="0">
      <alignment horizontal="center" vertical="bottom"/>
    </xf>
    <xf borderId="8" fillId="0" fontId="17" numFmtId="0" xfId="0">
      <alignment horizontal="center" vertical="bottom"/>
    </xf>
    <xf borderId="0" fillId="20" fontId="9" numFmtId="0" xfId="0">
      <alignment vertical="bottom"/>
    </xf>
    <xf borderId="40" fillId="20" fontId="9" numFmtId="0" xfId="0">
      <alignment vertical="bottom"/>
    </xf>
    <xf borderId="4" fillId="6" fontId="11" numFmtId="0" xfId="0">
      <alignment horizontal="right" vertical="bottom"/>
    </xf>
    <xf borderId="22" fillId="21" fontId="9" numFmtId="0" xfId="0">
      <alignment horizontal="center" vertical="center"/>
    </xf>
    <xf borderId="0" fillId="6" fontId="11" numFmtId="0" xfId="0">
      <alignment horizontal="center" vertical="bottom"/>
    </xf>
    <xf borderId="5" fillId="6" fontId="11" numFmtId="0" xfId="0">
      <alignment horizontal="center" vertical="bottom"/>
    </xf>
    <xf borderId="4" fillId="6" fontId="9" numFmtId="0" xfId="0">
      <alignment horizontal="left" vertical="bottom"/>
    </xf>
    <xf borderId="13" fillId="0" fontId="9" numFmtId="180" xfId="0">
      <alignment horizontal="center" vertical="bottom"/>
    </xf>
    <xf borderId="0" fillId="6" fontId="9" numFmtId="0" xfId="0">
      <alignment horizontal="center" vertical="bottom"/>
    </xf>
    <xf borderId="14" fillId="0" fontId="9" numFmtId="180" xfId="0">
      <alignment horizontal="center" vertical="bottom"/>
    </xf>
    <xf borderId="15" fillId="0" fontId="9" numFmtId="170" xfId="0">
      <alignment horizontal="center" vertical="bottom"/>
    </xf>
    <xf borderId="0" fillId="6" fontId="9" numFmtId="181" xfId="0">
      <alignment horizontal="center" vertical="bottom"/>
    </xf>
    <xf borderId="5" fillId="6" fontId="9" numFmtId="181" xfId="0">
      <alignment vertical="bottom"/>
    </xf>
    <xf borderId="13" fillId="21" fontId="9" numFmtId="181" xfId="0">
      <alignment horizontal="center" vertical="bottom"/>
    </xf>
    <xf borderId="0" fillId="6" fontId="11" numFmtId="181" xfId="0">
      <alignment vertical="bottom"/>
    </xf>
    <xf borderId="14" fillId="21" fontId="9" numFmtId="181" xfId="0">
      <alignment horizontal="center" vertical="bottom"/>
    </xf>
    <xf borderId="15" fillId="21" fontId="9" numFmtId="0" xfId="0">
      <alignment horizontal="center" vertical="bottom"/>
    </xf>
    <xf borderId="4" fillId="6" fontId="11" numFmtId="0" xfId="0">
      <alignment vertical="bottom"/>
    </xf>
    <xf borderId="0" fillId="6" fontId="11" numFmtId="0" xfId="0">
      <alignment vertical="bottom"/>
    </xf>
    <xf borderId="0" fillId="6" fontId="18" numFmtId="0" xfId="0">
      <alignment vertical="bottom"/>
    </xf>
    <xf borderId="0" fillId="6" fontId="18" numFmtId="173" xfId="0">
      <alignment vertical="bottom"/>
    </xf>
    <xf borderId="5" fillId="6" fontId="18" numFmtId="164" xfId="0">
      <alignment vertical="bottom"/>
    </xf>
    <xf borderId="5" fillId="6" fontId="9" numFmtId="0" xfId="0">
      <alignment horizontal="right" vertical="bottom"/>
    </xf>
    <xf borderId="41" fillId="0" fontId="9" numFmtId="167" xfId="0">
      <alignment vertical="bottom"/>
    </xf>
    <xf borderId="12" fillId="6" fontId="9" numFmtId="164" xfId="0">
      <alignment vertical="bottom"/>
    </xf>
    <xf borderId="42" fillId="0" fontId="9" numFmtId="173" xfId="0">
      <alignment vertical="bottom"/>
    </xf>
    <xf borderId="0" fillId="20" fontId="9" numFmtId="0" xfId="0">
      <alignment horizontal="right" vertical="bottom"/>
    </xf>
    <xf borderId="0" fillId="20" fontId="9" numFmtId="164" xfId="0">
      <alignment vertical="bottom"/>
    </xf>
    <xf borderId="43" fillId="0" fontId="9" numFmtId="167" xfId="0">
      <alignment vertical="bottom"/>
    </xf>
    <xf borderId="44" fillId="0" fontId="9" numFmtId="173" xfId="0">
      <alignment vertical="bottom"/>
    </xf>
    <xf borderId="45" fillId="0" fontId="9" numFmtId="173" xfId="0">
      <alignment vertical="bottom"/>
    </xf>
    <xf borderId="17" fillId="22" fontId="9" numFmtId="167" xfId="0">
      <alignment vertical="bottom"/>
    </xf>
    <xf borderId="13" fillId="22" fontId="9" numFmtId="173" xfId="0">
      <alignment vertical="bottom"/>
    </xf>
    <xf borderId="14" fillId="22" fontId="9" numFmtId="173" xfId="0">
      <alignment vertical="bottom"/>
    </xf>
    <xf borderId="0" fillId="6" fontId="11" numFmtId="0" xfId="0">
      <alignment horizontal="right" vertical="bottom"/>
    </xf>
    <xf borderId="14" fillId="22" fontId="11" numFmtId="167" xfId="0">
      <alignment vertical="bottom"/>
    </xf>
    <xf borderId="4" fillId="6" fontId="9" numFmtId="164" xfId="0">
      <alignment vertical="bottom"/>
    </xf>
    <xf borderId="14" fillId="22" fontId="11" numFmtId="173" xfId="0">
      <alignment vertical="bottom"/>
    </xf>
    <xf borderId="0" fillId="20" fontId="11" numFmtId="0" xfId="0">
      <alignment horizontal="right" vertical="bottom"/>
    </xf>
    <xf borderId="12" fillId="22" fontId="11" numFmtId="173" xfId="0">
      <alignment vertical="bottom"/>
    </xf>
    <xf borderId="15" fillId="22" fontId="11" numFmtId="167" xfId="0">
      <alignment vertical="bottom"/>
    </xf>
    <xf borderId="15" fillId="22" fontId="11" numFmtId="173" xfId="0">
      <alignment vertical="bottom"/>
    </xf>
    <xf borderId="14" fillId="6" fontId="11" numFmtId="167" xfId="0">
      <alignment vertical="bottom"/>
    </xf>
    <xf borderId="0" fillId="6" fontId="11" numFmtId="164" xfId="0">
      <alignment vertical="bottom"/>
    </xf>
    <xf borderId="2" fillId="20" fontId="11" numFmtId="176" xfId="0">
      <alignment vertical="bottom"/>
    </xf>
    <xf borderId="15" fillId="6" fontId="9" numFmtId="167" xfId="0">
      <alignment vertical="bottom"/>
    </xf>
    <xf borderId="0" fillId="6" fontId="9" numFmtId="164" xfId="0">
      <alignment vertical="bottom"/>
    </xf>
    <xf borderId="7" fillId="20" fontId="9" numFmtId="176" xfId="0">
      <alignment vertical="bottom"/>
    </xf>
    <xf borderId="42" fillId="0" fontId="9" numFmtId="167" xfId="0">
      <alignment vertical="bottom"/>
    </xf>
    <xf borderId="46" fillId="0" fontId="9" numFmtId="167" xfId="0">
      <alignment vertical="bottom"/>
    </xf>
    <xf borderId="46" fillId="0" fontId="9" numFmtId="173" xfId="0">
      <alignment vertical="bottom"/>
    </xf>
    <xf borderId="4" fillId="0" fontId="9" numFmtId="0" xfId="0">
      <alignment horizontal="right" vertical="bottom"/>
    </xf>
    <xf borderId="6" fillId="0" fontId="9" numFmtId="0" xfId="0">
      <alignment horizontal="right" vertical="bottom"/>
    </xf>
    <xf borderId="45" fillId="0" fontId="9" numFmtId="167" xfId="0">
      <alignment vertical="bottom"/>
    </xf>
    <xf borderId="13" fillId="22" fontId="11" numFmtId="173" xfId="0">
      <alignment vertical="bottom"/>
    </xf>
    <xf borderId="12" fillId="6" fontId="11" numFmtId="167" xfId="0">
      <alignment vertical="bottom"/>
    </xf>
    <xf borderId="12" fillId="6" fontId="11" numFmtId="164" xfId="0">
      <alignment vertical="bottom"/>
    </xf>
    <xf borderId="0" fillId="20" fontId="11" numFmtId="176" xfId="0">
      <alignment vertical="bottom"/>
    </xf>
    <xf borderId="13" fillId="22" fontId="11" numFmtId="167" xfId="0">
      <alignment vertical="bottom"/>
    </xf>
    <xf borderId="13" fillId="6" fontId="11" numFmtId="167" xfId="0">
      <alignment vertical="bottom"/>
    </xf>
    <xf borderId="19" fillId="20" fontId="11" numFmtId="176" xfId="0">
      <alignment vertical="bottom"/>
    </xf>
    <xf borderId="14" fillId="0" fontId="9" numFmtId="0" xfId="0">
      <alignment horizontal="right" vertical="bottom"/>
    </xf>
    <xf borderId="12" fillId="0" fontId="9" numFmtId="0" xfId="0">
      <alignment horizontal="right" vertical="bottom"/>
    </xf>
    <xf borderId="15" fillId="0" fontId="9" numFmtId="0" xfId="0">
      <alignment horizontal="right" vertical="bottom"/>
    </xf>
    <xf borderId="0" fillId="6" fontId="9" numFmtId="164" xfId="0">
      <alignment horizontal="right" vertical="bottom"/>
    </xf>
    <xf borderId="12" fillId="6" fontId="9" numFmtId="167" xfId="0">
      <alignment vertical="bottom"/>
    </xf>
    <xf borderId="0" fillId="20" fontId="9" numFmtId="164" xfId="0">
      <alignment horizontal="right" vertical="bottom"/>
    </xf>
    <xf borderId="0" fillId="20" fontId="9" numFmtId="176" xfId="0">
      <alignment vertical="bottom"/>
    </xf>
    <xf borderId="0" fillId="6" fontId="9" numFmtId="169" xfId="0">
      <alignment vertical="bottom"/>
    </xf>
    <xf borderId="0" fillId="6" fontId="19" numFmtId="164" xfId="0">
      <alignment vertical="bottom"/>
    </xf>
    <xf borderId="0" fillId="6" fontId="9" numFmtId="176" xfId="0">
      <alignment vertical="bottom"/>
    </xf>
    <xf borderId="5" fillId="6" fontId="19" numFmtId="164" xfId="0">
      <alignment vertical="bottom"/>
    </xf>
    <xf borderId="0" fillId="6" fontId="11" numFmtId="0" xfId="0">
      <alignment horizontal="right" vertical="center"/>
    </xf>
    <xf borderId="0" fillId="20" fontId="11" numFmtId="0" xfId="0">
      <alignment horizontal="right" vertical="center"/>
    </xf>
    <xf borderId="0" fillId="6" fontId="9" numFmtId="0" xfId="0">
      <alignment horizontal="right" vertical="center"/>
    </xf>
    <xf borderId="13" fillId="0" fontId="9" numFmtId="167" xfId="0">
      <alignment vertical="bottom"/>
    </xf>
    <xf borderId="0" fillId="20" fontId="9" numFmtId="0" xfId="0">
      <alignment horizontal="right" vertical="center"/>
    </xf>
    <xf borderId="13" fillId="0" fontId="9" numFmtId="173" xfId="0">
      <alignment vertical="bottom"/>
    </xf>
    <xf borderId="0" fillId="6" fontId="9" numFmtId="3" xfId="0">
      <alignment horizontal="right" vertical="center"/>
    </xf>
    <xf borderId="0" fillId="20" fontId="9" numFmtId="3" xfId="0">
      <alignment horizontal="right" vertical="center"/>
    </xf>
    <xf borderId="0" fillId="6" fontId="9" numFmtId="179" xfId="0">
      <alignment horizontal="right" vertical="bottom"/>
    </xf>
    <xf borderId="0" fillId="20" fontId="9" numFmtId="179" xfId="0">
      <alignment horizontal="right" vertical="bottom"/>
    </xf>
    <xf borderId="13" fillId="23" fontId="9" numFmtId="167" xfId="0">
      <alignment vertical="bottom"/>
    </xf>
    <xf borderId="13" fillId="23" fontId="9" numFmtId="173" xfId="0">
      <alignment vertical="bottom"/>
    </xf>
    <xf borderId="0" fillId="6" fontId="9" numFmtId="169" xfId="0">
      <alignment horizontal="right" vertical="center"/>
    </xf>
    <xf borderId="13" fillId="22" fontId="9" numFmtId="167" xfId="0">
      <alignment horizontal="right" vertical="center"/>
    </xf>
    <xf borderId="0" fillId="6" fontId="9" numFmtId="167" xfId="0">
      <alignment horizontal="right" vertical="center"/>
    </xf>
    <xf borderId="13" fillId="22" fontId="9" numFmtId="173" xfId="0">
      <alignment horizontal="right" vertical="center"/>
    </xf>
    <xf borderId="0" fillId="6" fontId="9" numFmtId="167" xfId="0">
      <alignment vertical="bottom"/>
    </xf>
    <xf borderId="13" fillId="24" fontId="7" numFmtId="167" xfId="0">
      <alignment vertical="bottom"/>
    </xf>
    <xf borderId="13" fillId="22" fontId="9" numFmtId="169" xfId="0">
      <alignment vertical="bottom"/>
    </xf>
    <xf borderId="7" fillId="6" fontId="9" numFmtId="0" xfId="0">
      <alignment horizontal="right" vertical="bottom"/>
    </xf>
    <xf borderId="7" fillId="6" fontId="9" numFmtId="169" xfId="0">
      <alignment vertical="bottom"/>
    </xf>
    <xf borderId="47" fillId="20" fontId="9" numFmtId="0" xfId="0">
      <alignment vertical="bottom"/>
    </xf>
    <xf borderId="48" fillId="20" fontId="9" numFmtId="0" xfId="0">
      <alignment vertical="bottom"/>
    </xf>
    <xf borderId="0" fillId="0" fontId="20" numFmtId="0" xfId="0">
      <alignment horizontal="right" vertical="bottom"/>
    </xf>
    <xf borderId="0" fillId="0" fontId="1" numFmtId="169" xfId="0">
      <alignment vertical="bottom"/>
    </xf>
    <xf borderId="2" fillId="3" fontId="4" numFmtId="0" xfId="0">
      <alignment horizontal="center" vertical="top"/>
    </xf>
    <xf borderId="3" fillId="3" fontId="4" numFmtId="0" xfId="0">
      <alignment horizontal="center" vertical="top"/>
    </xf>
    <xf borderId="15" fillId="6" fontId="11" numFmtId="0" xfId="0">
      <alignment horizontal="center" vertical="bottom"/>
    </xf>
    <xf borderId="15" fillId="6" fontId="11" numFmtId="0" xfId="0">
      <alignment vertical="bottom"/>
    </xf>
    <xf borderId="6" fillId="6" fontId="11" numFmtId="0" xfId="0">
      <alignment horizontal="center" vertical="bottom"/>
    </xf>
    <xf borderId="13" fillId="11" fontId="9" numFmtId="0" xfId="0">
      <alignment vertical="bottom"/>
    </xf>
    <xf borderId="13" fillId="11" fontId="9" numFmtId="173" xfId="0">
      <alignment vertical="bottom"/>
    </xf>
    <xf borderId="6" fillId="11" fontId="9" numFmtId="166" xfId="0">
      <alignment vertical="bottom"/>
    </xf>
    <xf borderId="16" fillId="11" fontId="9" numFmtId="0" xfId="0">
      <alignment vertical="bottom"/>
    </xf>
    <xf borderId="13" fillId="11" fontId="9" numFmtId="164" xfId="0">
      <alignment vertical="bottom"/>
    </xf>
    <xf borderId="15" fillId="11" fontId="9" numFmtId="182" xfId="0">
      <alignment vertical="bottom"/>
    </xf>
    <xf borderId="6" fillId="11" fontId="9" numFmtId="0" xfId="0">
      <alignment vertical="bottom"/>
    </xf>
    <xf borderId="15" fillId="25" fontId="9" numFmtId="0" xfId="0">
      <alignment vertical="bottom"/>
    </xf>
    <xf borderId="13" fillId="0" fontId="9" numFmtId="0" xfId="0">
      <alignment vertical="bottom"/>
    </xf>
    <xf borderId="16" fillId="0" fontId="9" numFmtId="166" xfId="0">
      <alignment vertical="bottom"/>
    </xf>
    <xf borderId="16" fillId="13" fontId="9" numFmtId="0" xfId="0">
      <alignment vertical="bottom"/>
    </xf>
    <xf borderId="13" fillId="0" fontId="9" numFmtId="164" xfId="0">
      <alignment vertical="bottom"/>
    </xf>
    <xf borderId="13" fillId="0" fontId="9" numFmtId="182" xfId="0">
      <alignment vertical="bottom"/>
    </xf>
    <xf borderId="16" fillId="0" fontId="9" numFmtId="0" xfId="0">
      <alignment vertical="bottom"/>
    </xf>
    <xf borderId="13" fillId="25" fontId="9" numFmtId="0" xfId="0">
      <alignment vertical="bottom"/>
    </xf>
    <xf borderId="16" fillId="11" fontId="9" numFmtId="166" xfId="0">
      <alignment vertical="bottom"/>
    </xf>
    <xf borderId="13" fillId="11" fontId="9" numFmtId="182" xfId="0">
      <alignment vertical="bottom"/>
    </xf>
    <xf borderId="14" fillId="0" fontId="9" numFmtId="0" xfId="0">
      <alignment vertical="bottom"/>
    </xf>
    <xf borderId="14" fillId="0" fontId="9" numFmtId="173" xfId="0">
      <alignment vertical="bottom"/>
    </xf>
    <xf borderId="1" fillId="0" fontId="9" numFmtId="166" xfId="0">
      <alignment vertical="bottom"/>
    </xf>
    <xf borderId="1" fillId="13" fontId="9" numFmtId="0" xfId="0">
      <alignment vertical="bottom"/>
    </xf>
    <xf borderId="14" fillId="0" fontId="9" numFmtId="164" xfId="0">
      <alignment vertical="bottom"/>
    </xf>
    <xf borderId="14" fillId="0" fontId="9" numFmtId="182" xfId="0">
      <alignment vertical="bottom"/>
    </xf>
    <xf borderId="1" fillId="0" fontId="9" numFmtId="0" xfId="0">
      <alignment vertical="bottom"/>
    </xf>
    <xf borderId="14" fillId="25" fontId="9" numFmtId="0" xfId="0">
      <alignment vertical="bottom"/>
    </xf>
    <xf borderId="13" fillId="6" fontId="9" numFmtId="0" xfId="0">
      <alignment vertical="bottom"/>
    </xf>
    <xf borderId="13" fillId="6" fontId="9" numFmtId="166" xfId="0">
      <alignment vertical="bottom"/>
    </xf>
    <xf borderId="16" fillId="6" fontId="9" numFmtId="0" xfId="0">
      <alignment vertical="bottom"/>
    </xf>
    <xf borderId="4" fillId="13" fontId="9" numFmtId="0" xfId="0">
      <alignment vertical="bottom"/>
    </xf>
    <xf borderId="5" fillId="13" fontId="9" numFmtId="0" xfId="0">
      <alignment vertical="bottom"/>
    </xf>
    <xf borderId="13" fillId="6" fontId="9" numFmtId="165" xfId="0">
      <alignment vertical="bottom"/>
    </xf>
    <xf borderId="13" fillId="6" fontId="9" numFmtId="176" xfId="0">
      <alignment vertical="bottom"/>
    </xf>
    <xf borderId="13" fillId="6" fontId="11" numFmtId="0" xfId="0">
      <alignment horizontal="left" vertical="bottom"/>
    </xf>
    <xf borderId="13" fillId="6" fontId="9" numFmtId="182" xfId="0">
      <alignment vertical="bottom"/>
    </xf>
    <xf borderId="16" fillId="6" fontId="11" numFmtId="0" xfId="0">
      <alignment vertical="bottom"/>
    </xf>
    <xf borderId="19" fillId="6" fontId="11" numFmtId="0" xfId="0">
      <alignment vertical="bottom"/>
    </xf>
    <xf borderId="17" fillId="6" fontId="11" numFmtId="0" xfId="0">
      <alignment vertical="bottom"/>
    </xf>
    <xf borderId="0" fillId="0" fontId="3" numFmtId="0" xfId="0">
      <alignment horizontal="center" vertical="bottom"/>
    </xf>
    <xf borderId="16" fillId="3" fontId="5" numFmtId="0" xfId="0">
      <alignment horizontal="center" vertical="top"/>
    </xf>
    <xf borderId="19" fillId="3" fontId="5" numFmtId="0" xfId="0">
      <alignment horizontal="center" vertical="top"/>
    </xf>
    <xf borderId="17" fillId="3" fontId="5" numFmtId="0" xfId="0">
      <alignment horizontal="center" vertical="top"/>
    </xf>
    <xf borderId="6" fillId="5" fontId="21" numFmtId="0" xfId="0">
      <alignment horizontal="center" vertical="top"/>
    </xf>
    <xf borderId="7" fillId="5" fontId="21" numFmtId="0" xfId="0">
      <alignment horizontal="center" vertical="top"/>
    </xf>
    <xf borderId="49" fillId="5" fontId="21" numFmtId="0" xfId="0">
      <alignment horizontal="center" vertical="top"/>
    </xf>
    <xf borderId="50" fillId="0" fontId="10" numFmtId="183" xfId="0">
      <alignment horizontal="center" vertical="top"/>
    </xf>
    <xf borderId="0" fillId="5" fontId="5" numFmtId="0" xfId="0">
      <alignment horizontal="center" vertical="top"/>
    </xf>
    <xf borderId="5" fillId="5" fontId="5" numFmtId="0" xfId="0">
      <alignment horizontal="center" vertical="top"/>
    </xf>
    <xf borderId="4" fillId="5" fontId="5" numFmtId="0" xfId="0">
      <alignment horizontal="center" vertical="top"/>
    </xf>
    <xf borderId="4" fillId="5" fontId="10" numFmtId="0" xfId="0">
      <alignment vertical="bottom"/>
    </xf>
    <xf borderId="0" fillId="5" fontId="10" numFmtId="0" xfId="0">
      <alignment vertical="bottom"/>
    </xf>
    <xf borderId="0" fillId="5" fontId="10" numFmtId="0" xfId="0">
      <alignment horizontal="center" vertical="bottom"/>
    </xf>
    <xf borderId="13" fillId="0" fontId="7" numFmtId="0" xfId="0">
      <alignment vertical="bottom"/>
    </xf>
    <xf borderId="16" fillId="21" fontId="7" numFmtId="0" xfId="0">
      <alignment horizontal="center" vertical="bottom"/>
    </xf>
    <xf borderId="17" fillId="21" fontId="7" numFmtId="0" xfId="0">
      <alignment horizontal="center" vertical="bottom"/>
    </xf>
    <xf borderId="13" fillId="0" fontId="7" numFmtId="0" xfId="0">
      <alignment horizontal="center" vertical="bottom"/>
    </xf>
    <xf borderId="13" fillId="21" fontId="7" numFmtId="0" xfId="0">
      <alignment horizontal="center" vertical="center"/>
    </xf>
    <xf borderId="16" fillId="21" fontId="7" numFmtId="0" xfId="0">
      <alignment vertical="bottom"/>
    </xf>
    <xf borderId="17" fillId="21" fontId="7" numFmtId="0" xfId="0">
      <alignment vertical="bottom"/>
    </xf>
    <xf borderId="16" fillId="0" fontId="7" numFmtId="0" xfId="0">
      <alignment horizontal="left" vertical="bottom"/>
    </xf>
    <xf borderId="17" fillId="0" fontId="7" numFmtId="0" xfId="0">
      <alignment horizontal="left" vertical="bottom"/>
    </xf>
    <xf borderId="4" fillId="5" fontId="22" numFmtId="0" xfId="0">
      <alignment vertical="top"/>
    </xf>
    <xf borderId="0" fillId="5" fontId="7" numFmtId="0" xfId="0">
      <alignment horizontal="center" vertical="bottom"/>
    </xf>
    <xf borderId="0" fillId="5" fontId="10" numFmtId="0" xfId="0">
      <alignment horizontal="center" vertical="bottom" wrapText="1"/>
    </xf>
    <xf borderId="0" fillId="5" fontId="10" numFmtId="182" xfId="0">
      <alignment horizontal="center" vertical="bottom" wrapText="1"/>
    </xf>
    <xf borderId="19" fillId="0" fontId="7" numFmtId="0" xfId="0">
      <alignment horizontal="left" vertical="bottom"/>
    </xf>
    <xf borderId="6" fillId="5" fontId="10" numFmtId="0" xfId="0">
      <alignment vertical="bottom"/>
    </xf>
    <xf borderId="7" fillId="5" fontId="7" numFmtId="0" xfId="0">
      <alignment horizontal="center" vertical="top"/>
    </xf>
    <xf borderId="7" fillId="5" fontId="7" numFmtId="0" xfId="0">
      <alignment horizontal="center" vertical="bottom"/>
    </xf>
    <xf borderId="16" fillId="26" fontId="23" numFmtId="0" xfId="0">
      <alignment horizontal="center" vertical="bottom"/>
    </xf>
    <xf borderId="19" fillId="26" fontId="23" numFmtId="0" xfId="0">
      <alignment horizontal="center" vertical="bottom"/>
    </xf>
    <xf borderId="17" fillId="26" fontId="23" numFmtId="0" xfId="0">
      <alignment horizontal="center" vertical="bottom"/>
    </xf>
    <xf borderId="4" fillId="6" fontId="9" numFmtId="0" xfId="0">
      <alignment horizontal="center" vertical="bottom"/>
    </xf>
    <xf borderId="4" fillId="6" fontId="9" numFmtId="0" xfId="0">
      <alignment horizontal="right" vertical="bottom" indent="1"/>
    </xf>
    <xf borderId="51" fillId="0" fontId="9" numFmtId="173" xfId="0">
      <alignment vertical="bottom"/>
    </xf>
    <xf borderId="15" fillId="22" fontId="9" numFmtId="173" xfId="0">
      <alignment vertical="bottom"/>
    </xf>
    <xf borderId="52" fillId="22" fontId="9" numFmtId="173" xfId="0">
      <alignment vertical="bottom"/>
    </xf>
    <xf borderId="13" fillId="22" fontId="9" numFmtId="164" xfId="0">
      <alignment vertical="bottom"/>
    </xf>
    <xf borderId="14" fillId="6" fontId="9" numFmtId="173" xfId="0">
      <alignment vertical="bottom"/>
    </xf>
    <xf borderId="53" fillId="0" fontId="9" numFmtId="173" xfId="0">
      <alignment vertical="bottom"/>
    </xf>
    <xf borderId="0" fillId="6" fontId="9" numFmtId="0" xfId="0">
      <alignment horizontal="center" vertical="bottom" wrapText="1"/>
    </xf>
    <xf borderId="4" fillId="6" fontId="11" numFmtId="0" xfId="0">
      <alignment horizontal="right" vertical="bottom" wrapText="1"/>
    </xf>
    <xf borderId="0" fillId="6" fontId="9" numFmtId="166" xfId="0">
      <alignment vertical="bottom"/>
    </xf>
    <xf borderId="4" fillId="6" fontId="9" numFmtId="0" xfId="0">
      <alignment horizontal="right" vertical="bottom" wrapText="1"/>
    </xf>
    <xf borderId="0" fillId="6" fontId="9" numFmtId="0" xfId="0">
      <alignment vertical="top" wrapText="1"/>
    </xf>
    <xf borderId="13" fillId="22" fontId="9" numFmtId="173" xfId="0">
      <alignment horizontal="center" vertical="bottom" wrapText="1"/>
    </xf>
    <xf borderId="4" fillId="6" fontId="24" numFmtId="0" xfId="0">
      <alignment horizontal="right" vertical="bottom"/>
    </xf>
    <xf borderId="54" fillId="23" fontId="9" numFmtId="166" xfId="0">
      <alignment vertical="bottom"/>
    </xf>
    <xf borderId="4" fillId="6" fontId="11" numFmtId="0" xfId="0">
      <alignment horizontal="right" vertical="top"/>
    </xf>
    <xf borderId="22" fillId="21" fontId="11" numFmtId="0" xfId="0">
      <alignment horizontal="center" vertical="bottom"/>
    </xf>
    <xf borderId="13" fillId="0" fontId="9" numFmtId="168" xfId="0">
      <alignment vertical="bottom"/>
    </xf>
    <xf borderId="13" fillId="0" fontId="9" numFmtId="184" xfId="0">
      <alignment vertical="bottom"/>
    </xf>
    <xf borderId="13" fillId="23" fontId="9" numFmtId="168" xfId="0">
      <alignment vertical="bottom"/>
    </xf>
    <xf borderId="4" fillId="6" fontId="11" numFmtId="0" xfId="0">
      <alignment horizontal="left" vertical="bottom"/>
    </xf>
    <xf borderId="0" fillId="6" fontId="9" numFmtId="168" xfId="0">
      <alignment vertical="bottom"/>
    </xf>
    <xf borderId="6" fillId="6" fontId="9" numFmtId="0" xfId="0">
      <alignment horizontal="right" vertical="bottom"/>
    </xf>
    <xf borderId="16" fillId="25" fontId="25" numFmtId="0" xfId="0">
      <alignment horizontal="center" vertical="bottom"/>
    </xf>
    <xf borderId="19" fillId="25" fontId="25" numFmtId="0" xfId="0">
      <alignment horizontal="center" vertical="bottom"/>
    </xf>
    <xf borderId="17" fillId="25" fontId="25" numFmtId="0" xfId="0">
      <alignment horizontal="center" vertical="bottom"/>
    </xf>
    <xf borderId="15" fillId="6" fontId="26" numFmtId="0" xfId="0">
      <alignment horizontal="center" vertical="bottom" wrapText="1"/>
    </xf>
    <xf borderId="7" fillId="6" fontId="26" numFmtId="0" xfId="0">
      <alignment horizontal="center" vertical="bottom" wrapText="1"/>
    </xf>
    <xf borderId="6" fillId="6" fontId="26" numFmtId="0" xfId="0">
      <alignment horizontal="center" vertical="bottom" wrapText="1"/>
    </xf>
    <xf borderId="8" fillId="6" fontId="26" numFmtId="0" xfId="0">
      <alignment horizontal="center" vertical="bottom" wrapText="1"/>
    </xf>
    <xf borderId="15" fillId="6" fontId="17" numFmtId="0" xfId="0">
      <alignment horizontal="left" vertical="bottom"/>
    </xf>
    <xf borderId="13" fillId="27" fontId="17" numFmtId="0" xfId="0">
      <alignment vertical="bottom"/>
    </xf>
    <xf borderId="16" fillId="0" fontId="17" numFmtId="0" xfId="0">
      <alignment horizontal="left" vertical="bottom"/>
    </xf>
    <xf borderId="17" fillId="0" fontId="17" numFmtId="0" xfId="0">
      <alignment horizontal="left" vertical="bottom"/>
    </xf>
    <xf borderId="13" fillId="0" fontId="17" numFmtId="173" xfId="0">
      <alignment vertical="bottom"/>
    </xf>
    <xf borderId="13" fillId="0" fontId="17" numFmtId="164" xfId="0">
      <alignment horizontal="center" vertical="bottom"/>
    </xf>
    <xf borderId="13" fillId="6" fontId="17" numFmtId="173" xfId="0">
      <alignment vertical="bottom"/>
    </xf>
    <xf borderId="15" fillId="11" fontId="17" numFmtId="0" xfId="0">
      <alignment vertical="bottom"/>
    </xf>
    <xf borderId="13" fillId="6" fontId="17" numFmtId="0" xfId="0">
      <alignment horizontal="left" vertical="bottom"/>
    </xf>
    <xf borderId="1" fillId="6" fontId="26" numFmtId="0" xfId="0">
      <alignment horizontal="center" vertical="bottom"/>
    </xf>
    <xf borderId="2" fillId="6" fontId="17" numFmtId="0" xfId="0">
      <alignment vertical="bottom"/>
    </xf>
    <xf borderId="2" fillId="6" fontId="26" numFmtId="0" xfId="0">
      <alignment horizontal="right" vertical="bottom"/>
    </xf>
    <xf borderId="3" fillId="6" fontId="26" numFmtId="0" xfId="0">
      <alignment horizontal="right" vertical="bottom"/>
    </xf>
    <xf borderId="13" fillId="6" fontId="4" numFmtId="173" xfId="0">
      <alignment horizontal="right" vertical="bottom" wrapText="1"/>
    </xf>
    <xf borderId="14" fillId="6" fontId="27" numFmtId="0" xfId="0">
      <alignment horizontal="right" vertical="bottom" wrapText="1"/>
    </xf>
    <xf borderId="13" fillId="0" fontId="4" numFmtId="173" xfId="0">
      <alignment horizontal="right" vertical="bottom" wrapText="1"/>
    </xf>
    <xf borderId="4" fillId="6" fontId="17" numFmtId="0" xfId="0">
      <alignment vertical="bottom"/>
    </xf>
    <xf borderId="0" fillId="6" fontId="17" numFmtId="0" xfId="0">
      <alignment vertical="bottom"/>
    </xf>
    <xf borderId="0" fillId="6" fontId="17" numFmtId="0" xfId="0">
      <alignment horizontal="right" vertical="bottom" wrapText="1"/>
    </xf>
    <xf borderId="0" fillId="6" fontId="17" numFmtId="0" xfId="0">
      <alignment horizontal="left" vertical="bottom" wrapText="1"/>
    </xf>
    <xf borderId="0" fillId="6" fontId="27" numFmtId="0" xfId="0">
      <alignment horizontal="right" vertical="bottom" wrapText="1"/>
    </xf>
    <xf borderId="5" fillId="6" fontId="27" numFmtId="0" xfId="0">
      <alignment vertical="bottom" wrapText="1"/>
    </xf>
    <xf borderId="4" fillId="6" fontId="17" numFmtId="0" xfId="0">
      <alignment horizontal="right" vertical="bottom"/>
    </xf>
    <xf borderId="13" fillId="0" fontId="17" numFmtId="173" xfId="0">
      <alignment horizontal="left" vertical="center" wrapText="1"/>
    </xf>
    <xf borderId="0" fillId="6" fontId="17" numFmtId="0" xfId="0">
      <alignment horizontal="right" vertical="bottom"/>
    </xf>
    <xf borderId="5" fillId="6" fontId="17" numFmtId="0" xfId="0">
      <alignment horizontal="right" vertical="bottom"/>
    </xf>
    <xf borderId="13" fillId="0" fontId="17" numFmtId="164" xfId="0">
      <alignment horizontal="center" vertical="bottom" wrapText="1"/>
    </xf>
    <xf borderId="4" fillId="6" fontId="17" numFmtId="0" xfId="0">
      <alignment horizontal="right" vertical="bottom" wrapText="1"/>
    </xf>
    <xf borderId="5" fillId="6" fontId="17" numFmtId="0" xfId="0">
      <alignment horizontal="right" vertical="bottom" wrapText="1"/>
    </xf>
    <xf borderId="13" fillId="0" fontId="17" numFmtId="173" xfId="0">
      <alignment horizontal="left" vertical="center"/>
    </xf>
    <xf borderId="13" fillId="0" fontId="9" numFmtId="164" xfId="0">
      <alignment horizontal="center" vertical="center"/>
    </xf>
    <xf borderId="13" fillId="0" fontId="17" numFmtId="173" xfId="0">
      <alignment horizontal="left" vertical="bottom" wrapText="1"/>
    </xf>
    <xf borderId="4" fillId="6" fontId="27" numFmtId="0" xfId="0">
      <alignment horizontal="right" vertical="bottom" wrapText="1"/>
    </xf>
    <xf borderId="0" fillId="6" fontId="17" numFmtId="173" xfId="0">
      <alignment horizontal="right" vertical="bottom" wrapText="1"/>
    </xf>
    <xf borderId="0" fillId="6" fontId="27" numFmtId="0" xfId="0">
      <alignment vertical="bottom" wrapText="1"/>
    </xf>
    <xf borderId="0" fillId="6" fontId="17" numFmtId="164" xfId="0">
      <alignment horizontal="right" vertical="bottom" wrapText="1"/>
    </xf>
    <xf borderId="6" fillId="6" fontId="17" numFmtId="0" xfId="0">
      <alignment vertical="bottom"/>
    </xf>
    <xf borderId="7" fillId="6" fontId="17" numFmtId="0" xfId="0">
      <alignment vertical="bottom"/>
    </xf>
    <xf borderId="7" fillId="6" fontId="17" numFmtId="0" xfId="0">
      <alignment horizontal="left" vertical="bottom" wrapText="1"/>
    </xf>
    <xf borderId="7" fillId="6" fontId="27" numFmtId="0" xfId="0">
      <alignment vertical="bottom" wrapText="1"/>
    </xf>
    <xf borderId="8" fillId="6" fontId="27" numFmtId="0" xfId="0">
      <alignment vertical="bottom" wrapText="1"/>
    </xf>
    <xf borderId="0" fillId="13" fontId="1" numFmtId="0" xfId="0">
      <alignment vertical="bottom"/>
    </xf>
    <xf borderId="31" fillId="25" fontId="28" numFmtId="0" xfId="0">
      <alignment horizontal="center" vertical="top"/>
    </xf>
    <xf borderId="29" fillId="25" fontId="28" numFmtId="0" xfId="0">
      <alignment horizontal="center" vertical="top"/>
    </xf>
    <xf borderId="32" fillId="25" fontId="28" numFmtId="0" xfId="0">
      <alignment horizontal="center" vertical="top"/>
    </xf>
    <xf borderId="33" fillId="25" fontId="29" numFmtId="0" xfId="0">
      <alignment horizontal="center" vertical="top"/>
    </xf>
    <xf borderId="0" fillId="25" fontId="29" numFmtId="0" xfId="0">
      <alignment horizontal="center" vertical="top"/>
    </xf>
    <xf borderId="34" fillId="25" fontId="29" numFmtId="0" xfId="0">
      <alignment horizontal="center" vertical="top"/>
    </xf>
    <xf borderId="35" fillId="25" fontId="29" numFmtId="0" xfId="0">
      <alignment horizontal="center" vertical="top"/>
    </xf>
    <xf borderId="36" fillId="25" fontId="29" numFmtId="0" xfId="0">
      <alignment horizontal="center" vertical="top"/>
    </xf>
    <xf borderId="37" fillId="25" fontId="29" numFmtId="0" xfId="0">
      <alignment horizontal="center" vertical="top"/>
    </xf>
    <xf borderId="55" fillId="6" fontId="30" numFmtId="0" xfId="0">
      <alignment vertical="top"/>
    </xf>
    <xf borderId="56" fillId="6" fontId="31" numFmtId="0" xfId="0">
      <alignment horizontal="center" vertical="top" wrapText="1"/>
    </xf>
    <xf borderId="56" fillId="6" fontId="31" numFmtId="0" xfId="0">
      <alignment horizontal="center" vertical="top"/>
    </xf>
    <xf borderId="57" fillId="6" fontId="31" numFmtId="0" xfId="0">
      <alignment horizontal="center" vertical="top"/>
    </xf>
    <xf borderId="58" fillId="0" fontId="30" numFmtId="0" xfId="0">
      <alignment vertical="top"/>
    </xf>
    <xf borderId="58" fillId="0" fontId="30" numFmtId="167" xfId="0">
      <alignment vertical="top"/>
    </xf>
    <xf borderId="13" fillId="0" fontId="30" numFmtId="173" xfId="0">
      <alignment vertical="top"/>
    </xf>
    <xf borderId="18" fillId="0" fontId="30" numFmtId="173" xfId="0">
      <alignment vertical="top"/>
    </xf>
    <xf borderId="58" fillId="6" fontId="31" numFmtId="0" xfId="0">
      <alignment horizontal="right" vertical="top"/>
    </xf>
    <xf borderId="13" fillId="6" fontId="31" numFmtId="167" xfId="0">
      <alignment vertical="top"/>
    </xf>
    <xf borderId="13" fillId="6" fontId="31" numFmtId="166" xfId="0">
      <alignment vertical="top"/>
    </xf>
    <xf borderId="18" fillId="6" fontId="31" numFmtId="166" xfId="0">
      <alignment vertical="bottom"/>
    </xf>
    <xf borderId="59" fillId="6" fontId="31" numFmtId="0" xfId="0">
      <alignment vertical="top"/>
    </xf>
    <xf borderId="13" fillId="6" fontId="31" numFmtId="165" xfId="0">
      <alignment vertical="top"/>
    </xf>
    <xf borderId="60" fillId="6" fontId="31" numFmtId="182" xfId="0">
      <alignment vertical="top"/>
    </xf>
    <xf borderId="21" fillId="6" fontId="31" numFmtId="182" xfId="0">
      <alignment vertical="top"/>
    </xf>
    <xf borderId="55" fillId="0" fontId="30" numFmtId="0" xfId="0">
      <alignment vertical="top"/>
    </xf>
    <xf borderId="55" fillId="0" fontId="30" numFmtId="167" xfId="0">
      <alignment vertical="top"/>
    </xf>
    <xf borderId="59" fillId="6" fontId="31" numFmtId="0" xfId="0">
      <alignment horizontal="left" vertical="top"/>
    </xf>
    <xf borderId="10" fillId="6" fontId="31" numFmtId="0" xfId="0">
      <alignment horizontal="left" vertical="top"/>
    </xf>
    <xf borderId="61" fillId="6" fontId="31" numFmtId="173" xfId="0">
      <alignment vertical="top"/>
    </xf>
    <xf borderId="62" fillId="6" fontId="32" numFmtId="0" xfId="0">
      <alignment vertical="bottom"/>
    </xf>
    <xf borderId="56" fillId="6" fontId="32" numFmtId="0" xfId="0">
      <alignment horizontal="center" vertical="bottom"/>
    </xf>
    <xf borderId="63" fillId="0" fontId="30" numFmtId="167" xfId="0">
      <alignment vertical="top"/>
    </xf>
    <xf borderId="58" fillId="0" fontId="30" numFmtId="165" xfId="0">
      <alignment vertical="top"/>
    </xf>
    <xf borderId="63" fillId="0" fontId="30" numFmtId="0" xfId="0">
      <alignment vertical="top"/>
    </xf>
    <xf borderId="63" fillId="0" fontId="30" numFmtId="165" xfId="0">
      <alignment vertical="top"/>
    </xf>
    <xf borderId="13" fillId="0" fontId="30" numFmtId="173" xfId="0">
      <alignment horizontal="right" vertical="top"/>
    </xf>
    <xf borderId="13" fillId="0" fontId="30" numFmtId="0" xfId="0">
      <alignment horizontal="right" vertical="top"/>
    </xf>
    <xf borderId="14" fillId="0" fontId="30" numFmtId="173" xfId="0">
      <alignment horizontal="right" vertical="top"/>
    </xf>
    <xf borderId="64" fillId="0" fontId="30" numFmtId="0" xfId="0">
      <alignment vertical="top"/>
    </xf>
    <xf borderId="59" fillId="0" fontId="30" numFmtId="0" xfId="0">
      <alignment vertical="top"/>
    </xf>
    <xf borderId="35" fillId="0" fontId="30" numFmtId="0" xfId="0">
      <alignment vertical="top"/>
    </xf>
    <xf borderId="65" fillId="0" fontId="30" numFmtId="0" xfId="0">
      <alignment vertical="top"/>
    </xf>
    <xf borderId="0" fillId="13" fontId="1" numFmtId="170" xfId="0">
      <alignment vertical="bottom"/>
    </xf>
    <xf borderId="31" fillId="25" fontId="28" numFmtId="0" xfId="0">
      <alignment vertical="top"/>
    </xf>
    <xf borderId="29" fillId="25" fontId="28" numFmtId="0" xfId="0">
      <alignment vertical="top"/>
    </xf>
    <xf borderId="32" fillId="25" fontId="28" numFmtId="0" xfId="0">
      <alignment vertical="top"/>
    </xf>
    <xf borderId="33" fillId="25" fontId="29" numFmtId="0" xfId="0">
      <alignment vertical="top"/>
    </xf>
    <xf borderId="0" fillId="25" fontId="29" numFmtId="0" xfId="0">
      <alignment vertical="top"/>
    </xf>
    <xf borderId="34" fillId="25" fontId="29" numFmtId="0" xfId="0">
      <alignment vertical="top"/>
    </xf>
    <xf borderId="57" fillId="6" fontId="32" numFmtId="0" xfId="0">
      <alignment horizontal="center" vertical="bottom"/>
    </xf>
    <xf borderId="50" fillId="13" fontId="32" numFmtId="9" xfId="0">
      <alignment vertical="bottom"/>
    </xf>
    <xf borderId="18" fillId="0" fontId="30" numFmtId="171" xfId="0">
      <alignment vertical="top"/>
    </xf>
    <xf borderId="18" fillId="0" fontId="30" numFmtId="165" xfId="0">
      <alignment vertical="top"/>
    </xf>
    <xf borderId="63" fillId="13" fontId="32" numFmtId="0" xfId="0">
      <alignment vertical="bottom"/>
    </xf>
    <xf borderId="66" fillId="6" fontId="32" numFmtId="0" xfId="0">
      <alignment vertical="bottom"/>
    </xf>
    <xf borderId="60" fillId="6" fontId="30" numFmtId="173" xfId="0">
      <alignment vertical="bottom"/>
    </xf>
    <xf borderId="21" fillId="6" fontId="30" numFmtId="171" xfId="0">
      <alignment vertical="top"/>
    </xf>
    <xf borderId="21" fillId="6" fontId="30" numFmtId="165" xfId="0">
      <alignment vertical="top"/>
    </xf>
    <xf borderId="55" fillId="6" fontId="33" numFmtId="0" xfId="0">
      <alignment horizontal="center" vertical="bottom" wrapText="1"/>
    </xf>
    <xf borderId="67" fillId="6" fontId="33" numFmtId="0" xfId="0">
      <alignment horizontal="center" vertical="bottom" wrapText="1"/>
    </xf>
    <xf borderId="56" fillId="6" fontId="33" numFmtId="0" xfId="0">
      <alignment horizontal="center" vertical="bottom" wrapText="1"/>
    </xf>
    <xf borderId="57" fillId="6" fontId="33" numFmtId="0" xfId="0">
      <alignment horizontal="center" vertical="bottom" wrapText="1"/>
    </xf>
    <xf borderId="58" fillId="0" fontId="32" numFmtId="0" xfId="0">
      <alignment horizontal="left" vertical="bottom"/>
    </xf>
    <xf borderId="17" fillId="0" fontId="32" numFmtId="0" xfId="0">
      <alignment horizontal="left" vertical="bottom"/>
    </xf>
    <xf borderId="13" fillId="0" fontId="32" numFmtId="173" xfId="0">
      <alignment vertical="bottom"/>
    </xf>
    <xf borderId="13" fillId="6" fontId="32" numFmtId="173" xfId="0">
      <alignment vertical="bottom"/>
    </xf>
    <xf borderId="18" fillId="6" fontId="32" numFmtId="173" xfId="0">
      <alignment vertical="bottom"/>
    </xf>
    <xf borderId="68" fillId="6" fontId="33" numFmtId="0" xfId="0">
      <alignment horizontal="right" vertical="bottom"/>
    </xf>
    <xf borderId="3" fillId="6" fontId="33" numFmtId="0" xfId="0">
      <alignment horizontal="right" vertical="bottom"/>
    </xf>
    <xf borderId="13" fillId="6" fontId="8" numFmtId="173" xfId="0">
      <alignment horizontal="right" vertical="bottom" wrapText="1"/>
    </xf>
    <xf borderId="14" fillId="6" fontId="34" numFmtId="0" xfId="0">
      <alignment horizontal="right" vertical="bottom" wrapText="1"/>
    </xf>
    <xf borderId="13" fillId="0" fontId="8" numFmtId="173" xfId="0">
      <alignment horizontal="right" vertical="bottom" wrapText="1"/>
    </xf>
    <xf borderId="18" fillId="6" fontId="8" numFmtId="173" xfId="0">
      <alignment horizontal="right" vertical="bottom" wrapText="1"/>
    </xf>
    <xf borderId="33" fillId="6" fontId="32" numFmtId="0" xfId="0">
      <alignment horizontal="right" vertical="bottom" wrapText="1"/>
    </xf>
    <xf borderId="0" fillId="6" fontId="32" numFmtId="0" xfId="0">
      <alignment horizontal="right" vertical="bottom" wrapText="1"/>
    </xf>
    <xf borderId="0" fillId="6" fontId="32" numFmtId="0" xfId="0">
      <alignment horizontal="left" vertical="bottom" wrapText="1"/>
    </xf>
    <xf borderId="0" fillId="6" fontId="34" numFmtId="0" xfId="0">
      <alignment horizontal="right" vertical="bottom" wrapText="1"/>
    </xf>
    <xf borderId="34" fillId="6" fontId="34" numFmtId="0" xfId="0">
      <alignment vertical="bottom" wrapText="1"/>
    </xf>
    <xf borderId="33" fillId="6" fontId="32" numFmtId="0" xfId="0">
      <alignment horizontal="right" vertical="bottom"/>
    </xf>
    <xf borderId="5" fillId="6" fontId="32" numFmtId="0" xfId="0">
      <alignment horizontal="right" vertical="bottom"/>
    </xf>
    <xf borderId="13" fillId="0" fontId="32" numFmtId="164" xfId="0">
      <alignment horizontal="center" vertical="bottom" wrapText="1"/>
    </xf>
    <xf borderId="4" fillId="6" fontId="32" numFmtId="0" xfId="0">
      <alignment horizontal="right" vertical="bottom" wrapText="1"/>
    </xf>
    <xf borderId="5" fillId="6" fontId="32" numFmtId="0" xfId="0">
      <alignment horizontal="right" vertical="bottom" wrapText="1"/>
    </xf>
    <xf borderId="18" fillId="0" fontId="32" numFmtId="164" xfId="0">
      <alignment horizontal="center" vertical="bottom" wrapText="1"/>
    </xf>
    <xf borderId="35" fillId="6" fontId="32" numFmtId="0" xfId="0">
      <alignment horizontal="right" vertical="bottom"/>
    </xf>
    <xf borderId="69" fillId="6" fontId="32" numFmtId="0" xfId="0">
      <alignment horizontal="right" vertical="bottom"/>
    </xf>
    <xf borderId="60" fillId="0" fontId="32" numFmtId="164" xfId="0">
      <alignment horizontal="center" vertical="bottom" wrapText="1"/>
    </xf>
    <xf borderId="70" fillId="6" fontId="32" numFmtId="0" xfId="0">
      <alignment horizontal="right" vertical="bottom" wrapText="1"/>
    </xf>
    <xf borderId="36" fillId="6" fontId="32" numFmtId="0" xfId="0">
      <alignment horizontal="right" vertical="bottom" wrapText="1"/>
    </xf>
    <xf borderId="69" fillId="6" fontId="32" numFmtId="0" xfId="0">
      <alignment horizontal="right" vertical="bottom" wrapText="1"/>
    </xf>
    <xf borderId="12" fillId="13" fontId="32" numFmtId="0" xfId="0">
      <alignment vertical="bottom"/>
    </xf>
    <xf borderId="5" fillId="13" fontId="32" numFmtId="167" xfId="0">
      <alignment vertical="bottom"/>
    </xf>
    <xf borderId="71" fillId="13" fontId="32" numFmtId="167" xfId="0">
      <alignment vertical="bottom"/>
    </xf>
    <xf borderId="72" fillId="13" fontId="32" numFmtId="167" xfId="0">
      <alignment vertical="bottom"/>
    </xf>
    <xf borderId="64" fillId="28" fontId="32" numFmtId="0" xfId="0">
      <alignment vertical="bottom"/>
    </xf>
    <xf borderId="73" fillId="28" fontId="32" numFmtId="167" xfId="0">
      <alignment vertical="bottom"/>
    </xf>
    <xf borderId="66" fillId="13" fontId="32" numFmtId="0" xfId="0">
      <alignment vertical="bottom"/>
    </xf>
    <xf borderId="61" fillId="13" fontId="32" numFmtId="167" xfId="0">
      <alignment vertical="bottom"/>
    </xf>
    <xf borderId="74" fillId="25" fontId="29" numFmtId="0" xfId="0">
      <alignment horizontal="center" vertical="top"/>
    </xf>
    <xf borderId="7" fillId="25" fontId="29" numFmtId="0" xfId="0">
      <alignment horizontal="center" vertical="top"/>
    </xf>
    <xf borderId="55" fillId="0" fontId="32" numFmtId="0" xfId="0">
      <alignment horizontal="center" vertical="bottom"/>
    </xf>
    <xf borderId="75" fillId="0" fontId="32" numFmtId="0" xfId="0">
      <alignment horizontal="center" vertical="bottom"/>
    </xf>
    <xf borderId="76" fillId="0" fontId="32" numFmtId="0" xfId="0">
      <alignment horizontal="center" vertical="bottom"/>
    </xf>
    <xf borderId="74" fillId="13" fontId="30" numFmtId="0" xfId="0">
      <alignment horizontal="center" vertical="bottom"/>
    </xf>
    <xf borderId="49" fillId="13" fontId="30" numFmtId="0" xfId="0">
      <alignment horizontal="center" vertical="bottom"/>
    </xf>
    <xf borderId="33" fillId="6" fontId="32" numFmtId="0" xfId="0">
      <alignment vertical="bottom"/>
    </xf>
    <xf borderId="0" fillId="6" fontId="32" numFmtId="0" xfId="0">
      <alignment vertical="bottom"/>
    </xf>
    <xf borderId="34" fillId="6" fontId="32" numFmtId="0" xfId="0">
      <alignment vertical="bottom"/>
    </xf>
    <xf borderId="68" fillId="29" fontId="32" numFmtId="0" xfId="0">
      <alignment vertical="bottom"/>
    </xf>
    <xf borderId="77" fillId="29" fontId="32" numFmtId="0" xfId="0">
      <alignment vertical="bottom"/>
    </xf>
    <xf borderId="13" fillId="0" fontId="32" numFmtId="180" xfId="0">
      <alignment horizontal="center" vertical="bottom"/>
    </xf>
    <xf borderId="18" fillId="0" fontId="32" numFmtId="180" xfId="0">
      <alignment horizontal="center" vertical="bottom"/>
    </xf>
    <xf borderId="63" fillId="0" fontId="32" numFmtId="180" xfId="0">
      <alignment horizontal="center" vertical="bottom"/>
    </xf>
    <xf borderId="33" fillId="6" fontId="8" numFmtId="0" xfId="0">
      <alignment vertical="bottom"/>
    </xf>
    <xf borderId="0" fillId="6" fontId="35" numFmtId="0" xfId="0">
      <alignment vertical="bottom"/>
    </xf>
    <xf borderId="34" fillId="6" fontId="35" numFmtId="173" xfId="0">
      <alignment vertical="bottom"/>
    </xf>
    <xf borderId="68" fillId="29" fontId="35" numFmtId="173" xfId="0">
      <alignment vertical="bottom"/>
    </xf>
    <xf borderId="77" fillId="29" fontId="35" numFmtId="173" xfId="0">
      <alignment vertical="bottom"/>
    </xf>
    <xf borderId="42" fillId="0" fontId="32" numFmtId="173" xfId="0">
      <alignment vertical="bottom"/>
    </xf>
    <xf borderId="78" fillId="0" fontId="32" numFmtId="173" xfId="0">
      <alignment vertical="bottom"/>
    </xf>
    <xf borderId="79" fillId="0" fontId="32" numFmtId="173" xfId="0">
      <alignment vertical="bottom"/>
    </xf>
    <xf borderId="45" fillId="0" fontId="32" numFmtId="173" xfId="0">
      <alignment vertical="bottom"/>
    </xf>
    <xf borderId="80" fillId="0" fontId="32" numFmtId="173" xfId="0">
      <alignment vertical="bottom"/>
    </xf>
    <xf borderId="81" fillId="0" fontId="32" numFmtId="173" xfId="0">
      <alignment vertical="bottom"/>
    </xf>
    <xf borderId="13" fillId="22" fontId="32" numFmtId="173" xfId="0">
      <alignment vertical="bottom"/>
    </xf>
    <xf borderId="18" fillId="22" fontId="32" numFmtId="173" xfId="0">
      <alignment vertical="bottom"/>
    </xf>
    <xf borderId="63" fillId="22" fontId="32" numFmtId="173" xfId="0">
      <alignment vertical="bottom"/>
    </xf>
    <xf borderId="13" fillId="13" fontId="32" numFmtId="173" xfId="0">
      <alignment vertical="bottom"/>
    </xf>
    <xf borderId="18" fillId="13" fontId="32" numFmtId="173" xfId="0">
      <alignment vertical="bottom"/>
    </xf>
    <xf borderId="63" fillId="13" fontId="32" numFmtId="173" xfId="0">
      <alignment vertical="bottom"/>
    </xf>
    <xf borderId="33" fillId="6" fontId="8" numFmtId="0" xfId="0">
      <alignment horizontal="right" vertical="bottom"/>
    </xf>
    <xf borderId="13" fillId="22" fontId="8" numFmtId="173" xfId="0">
      <alignment vertical="bottom"/>
    </xf>
    <xf borderId="18" fillId="22" fontId="8" numFmtId="173" xfId="0">
      <alignment vertical="bottom"/>
    </xf>
    <xf borderId="63" fillId="22" fontId="8" numFmtId="173" xfId="0">
      <alignment vertical="bottom"/>
    </xf>
    <xf borderId="0" fillId="6" fontId="32" numFmtId="176" xfId="0">
      <alignment vertical="bottom"/>
    </xf>
    <xf borderId="34" fillId="6" fontId="32" numFmtId="176" xfId="0">
      <alignment vertical="bottom"/>
    </xf>
    <xf borderId="68" fillId="29" fontId="32" numFmtId="176" xfId="0">
      <alignment vertical="bottom"/>
    </xf>
    <xf borderId="77" fillId="29" fontId="32" numFmtId="176" xfId="0">
      <alignment vertical="bottom"/>
    </xf>
    <xf borderId="33" fillId="6" fontId="8" numFmtId="0" xfId="0">
      <alignment horizontal="right" vertical="center"/>
    </xf>
    <xf borderId="33" fillId="29" fontId="32" numFmtId="0" xfId="0">
      <alignment vertical="bottom"/>
    </xf>
    <xf borderId="34" fillId="29" fontId="32" numFmtId="0" xfId="0">
      <alignment vertical="bottom"/>
    </xf>
    <xf borderId="33" fillId="6" fontId="32" numFmtId="0" xfId="0">
      <alignment horizontal="right" vertical="center"/>
    </xf>
    <xf borderId="33" fillId="6" fontId="32" numFmtId="3" xfId="0">
      <alignment horizontal="right" vertical="center"/>
    </xf>
    <xf borderId="46" fillId="0" fontId="32" numFmtId="173" xfId="0">
      <alignment vertical="bottom"/>
    </xf>
    <xf borderId="82" fillId="0" fontId="32" numFmtId="173" xfId="0">
      <alignment vertical="bottom"/>
    </xf>
    <xf borderId="83" fillId="0" fontId="32" numFmtId="173" xfId="0">
      <alignment vertical="bottom"/>
    </xf>
    <xf borderId="33" fillId="6" fontId="32" numFmtId="179" xfId="0">
      <alignment horizontal="right" vertical="center"/>
    </xf>
    <xf borderId="13" fillId="23" fontId="32" numFmtId="173" xfId="0">
      <alignment vertical="bottom"/>
    </xf>
    <xf borderId="18" fillId="23" fontId="32" numFmtId="173" xfId="0">
      <alignment vertical="bottom"/>
    </xf>
    <xf borderId="63" fillId="23" fontId="32" numFmtId="173" xfId="0">
      <alignment vertical="bottom"/>
    </xf>
    <xf borderId="0" fillId="6" fontId="32" numFmtId="3" xfId="0">
      <alignment horizontal="right" vertical="center"/>
    </xf>
    <xf borderId="34" fillId="6" fontId="32" numFmtId="3" xfId="0">
      <alignment horizontal="right" vertical="center"/>
    </xf>
    <xf borderId="68" fillId="29" fontId="32" numFmtId="3" xfId="0">
      <alignment horizontal="right" vertical="center"/>
    </xf>
    <xf borderId="77" fillId="29" fontId="32" numFmtId="3" xfId="0">
      <alignment horizontal="right" vertical="center"/>
    </xf>
    <xf borderId="13" fillId="22" fontId="32" numFmtId="173" xfId="0">
      <alignment horizontal="right" vertical="center"/>
    </xf>
    <xf borderId="18" fillId="22" fontId="32" numFmtId="173" xfId="0">
      <alignment horizontal="right" vertical="center"/>
    </xf>
    <xf borderId="63" fillId="22" fontId="32" numFmtId="173" xfId="0">
      <alignment horizontal="right" vertical="center"/>
    </xf>
    <xf borderId="13" fillId="22" fontId="32" numFmtId="169" xfId="0">
      <alignment vertical="bottom"/>
    </xf>
    <xf borderId="18" fillId="22" fontId="32" numFmtId="169" xfId="0">
      <alignment vertical="bottom"/>
    </xf>
    <xf borderId="63" fillId="22" fontId="32" numFmtId="169" xfId="0">
      <alignment vertical="bottom"/>
    </xf>
    <xf borderId="35" fillId="6" fontId="30" numFmtId="0" xfId="0">
      <alignment vertical="bottom"/>
    </xf>
    <xf borderId="36" fillId="6" fontId="30" numFmtId="0" xfId="0">
      <alignment vertical="bottom"/>
    </xf>
    <xf borderId="37" fillId="6" fontId="30" numFmtId="0" xfId="0">
      <alignment vertical="bottom"/>
    </xf>
    <xf borderId="59" fillId="29" fontId="30" numFmtId="0" xfId="0">
      <alignment vertical="bottom"/>
    </xf>
    <xf borderId="61" fillId="29" fontId="30" numFmtId="0" xfId="0">
      <alignment vertical="bottom"/>
    </xf>
    <xf borderId="18" fillId="0" fontId="32" numFmtId="173" xfId="0">
      <alignment vertical="bottom"/>
    </xf>
    <xf borderId="0" fillId="13" fontId="30" numFmtId="0" xfId="0">
      <alignment vertical="bottom"/>
    </xf>
    <xf borderId="42" fillId="0" fontId="32" numFmtId="167" xfId="0">
      <alignment vertical="bottom"/>
    </xf>
    <xf borderId="42" fillId="0" fontId="36" numFmtId="167" xfId="0">
      <alignment horizontal="right" vertical="bottom"/>
    </xf>
    <xf borderId="78" fillId="0" fontId="32" numFmtId="167" xfId="0">
      <alignment vertical="bottom"/>
    </xf>
    <xf borderId="14" fillId="0" fontId="32" numFmtId="167" xfId="0">
      <alignment vertical="bottom"/>
    </xf>
    <xf borderId="14" fillId="0" fontId="36" numFmtId="167" xfId="0">
      <alignment horizontal="right" vertical="bottom"/>
    </xf>
    <xf borderId="84" fillId="0" fontId="32" numFmtId="167" xfId="0">
      <alignment vertical="bottom"/>
    </xf>
    <xf borderId="4" fillId="0" fontId="17" numFmtId="0" xfId="0">
      <alignment horizontal="center" vertical="bottom"/>
    </xf>
    <xf borderId="5" fillId="0" fontId="17" numFmtId="0" xfId="0">
      <alignment horizontal="center" vertical="bottom"/>
    </xf>
    <xf borderId="1" fillId="6" fontId="11" numFmtId="0" xfId="0">
      <alignment horizontal="right" vertical="bottom"/>
    </xf>
    <xf borderId="85" fillId="21" fontId="9" numFmtId="0" xfId="0">
      <alignment horizontal="center" vertical="center"/>
    </xf>
    <xf borderId="2" fillId="6" fontId="11" numFmtId="0" xfId="0">
      <alignment horizontal="center" vertical="bottom"/>
    </xf>
    <xf borderId="3" fillId="6" fontId="11" numFmtId="0" xfId="0">
      <alignment horizontal="center" vertical="bottom"/>
    </xf>
    <xf borderId="0" fillId="6" fontId="18" numFmtId="183" xfId="0">
      <alignment vertical="bottom"/>
    </xf>
    <xf borderId="0" fillId="6" fontId="18" numFmtId="164" xfId="0">
      <alignment vertical="bottom"/>
    </xf>
    <xf borderId="12" fillId="6" fontId="9" numFmtId="164" xfId="0">
      <alignment horizontal="left" vertical="bottom"/>
    </xf>
    <xf borderId="14" fillId="6" fontId="11" numFmtId="176" xfId="0">
      <alignment vertical="bottom"/>
    </xf>
    <xf borderId="12" fillId="6" fontId="11" numFmtId="164" xfId="0">
      <alignment horizontal="left" vertical="bottom"/>
    </xf>
    <xf borderId="15" fillId="6" fontId="9" numFmtId="176" xfId="0">
      <alignment vertical="bottom"/>
    </xf>
    <xf borderId="12" fillId="6" fontId="11" numFmtId="176" xfId="0">
      <alignment vertical="bottom"/>
    </xf>
    <xf borderId="13" fillId="6" fontId="11" numFmtId="176" xfId="0">
      <alignment vertical="bottom"/>
    </xf>
    <xf borderId="5" fillId="6" fontId="11" numFmtId="164" xfId="0">
      <alignment horizontal="left" vertical="bottom"/>
    </xf>
    <xf borderId="12" fillId="6" fontId="9" numFmtId="176" xfId="0">
      <alignment vertical="bottom"/>
    </xf>
    <xf borderId="5" fillId="6" fontId="9" numFmtId="164" xfId="0">
      <alignment horizontal="left" vertical="bottom"/>
    </xf>
    <xf borderId="7" fillId="6" fontId="9" numFmtId="176" xfId="0">
      <alignment vertical="bottom"/>
    </xf>
    <xf borderId="7" fillId="6" fontId="9" numFmtId="164" xfId="0">
      <alignment vertical="bottom"/>
    </xf>
    <xf borderId="8" fillId="6" fontId="9" numFmtId="164" xfId="0">
      <alignment vertical="bottom"/>
    </xf>
    <xf borderId="6" fillId="6" fontId="9" numFmtId="0" xfId="0">
      <alignment horizontal="left" vertical="bottom"/>
    </xf>
    <xf borderId="7" fillId="6" fontId="9" numFmtId="0" xfId="0">
      <alignment horizontal="center" vertical="bottom"/>
    </xf>
    <xf borderId="16" fillId="0" fontId="17" numFmtId="0" xfId="0">
      <alignment horizontal="center" vertical="bottom"/>
    </xf>
    <xf borderId="19" fillId="0" fontId="17" numFmtId="0" xfId="0">
      <alignment horizontal="center" vertical="bottom"/>
    </xf>
    <xf borderId="17" fillId="0" fontId="17" numFmtId="0" xfId="0">
      <alignment horizontal="center" vertical="bottom"/>
    </xf>
    <xf borderId="86" fillId="21" fontId="9" numFmtId="0" xfId="0">
      <alignment horizontal="center" vertical="center"/>
    </xf>
    <xf borderId="5" fillId="6" fontId="9" numFmtId="164" xfId="0">
      <alignment vertical="bottom"/>
    </xf>
    <xf borderId="1" fillId="6" fontId="9" numFmtId="0" xfId="0">
      <alignment vertical="bottom"/>
    </xf>
    <xf borderId="2" fillId="6" fontId="11" numFmtId="0" xfId="0">
      <alignment horizontal="right" vertical="center"/>
    </xf>
    <xf borderId="2" fillId="6" fontId="9" numFmtId="0" xfId="0">
      <alignment vertical="bottom"/>
    </xf>
    <xf borderId="3" fillId="6" fontId="9" numFmtId="0" xfId="0">
      <alignment vertical="bottom"/>
    </xf>
    <xf borderId="6" fillId="6" fontId="9" numFmtId="0" xfId="0">
      <alignment horizontal="center" vertical="bottom"/>
    </xf>
    <xf borderId="33" fillId="0" fontId="17" numFmtId="0" xfId="0">
      <alignment horizontal="center" vertical="bottom"/>
    </xf>
    <xf borderId="34" fillId="0" fontId="17" numFmtId="0" xfId="0">
      <alignment horizontal="center" vertical="bottom"/>
    </xf>
    <xf borderId="33" fillId="6" fontId="9" numFmtId="0" xfId="0">
      <alignment vertical="bottom"/>
    </xf>
    <xf borderId="34" fillId="6" fontId="9" numFmtId="0" xfId="0">
      <alignment vertical="bottom"/>
    </xf>
    <xf borderId="35" fillId="6" fontId="9" numFmtId="0" xfId="0">
      <alignment horizontal="center" vertical="bottom"/>
    </xf>
    <xf borderId="36" fillId="6" fontId="9" numFmtId="0" xfId="0">
      <alignment horizontal="center" vertical="bottom"/>
    </xf>
    <xf borderId="36" fillId="6" fontId="9" numFmtId="0" xfId="0">
      <alignment vertical="bottom"/>
    </xf>
    <xf borderId="37" fillId="6" fontId="9" numFmtId="0" xfId="0">
      <alignment vertical="bottom"/>
    </xf>
    <xf borderId="29" fillId="0" fontId="1" numFmtId="0" xfId="0">
      <alignment horizontal="center" vertical="bottom"/>
    </xf>
    <xf borderId="29" fillId="0" fontId="1" numFmtId="0" xfId="0">
      <alignment vertical="bottom"/>
    </xf>
    <xf borderId="74" fillId="0" fontId="17" numFmtId="0" xfId="0">
      <alignment horizontal="center" vertical="bottom"/>
    </xf>
    <xf borderId="49" fillId="0" fontId="17" numFmtId="0" xfId="0">
      <alignment horizontal="center" vertical="bottom"/>
    </xf>
    <xf borderId="0" fillId="0" fontId="2" numFmtId="0" xfId="0">
      <alignment vertical="bottom"/>
    </xf>
    <xf borderId="0" fillId="0" fontId="37" numFmtId="0" xfId="0">
      <alignment vertical="bottom"/>
    </xf>
    <xf borderId="0" fillId="0" fontId="38" numFmtId="0" xfId="0">
      <alignment horizontal="left" vertical="bottom"/>
    </xf>
    <xf borderId="0" fillId="0" fontId="1" numFmtId="0" xfId="0">
      <alignment horizontal="left" vertical="bottom"/>
    </xf>
    <xf borderId="0" fillId="0" fontId="1" numFmtId="179" xfId="0">
      <alignment horizontal="left" vertical="bottom"/>
    </xf>
    <xf borderId="0" fillId="0" fontId="39" numFmtId="0" xfId="0">
      <alignment vertical="bottom"/>
    </xf>
    <xf borderId="0" fillId="0" fontId="38" numFmtId="0" xfId="0">
      <alignment vertical="bottom"/>
    </xf>
    <xf borderId="0" fillId="0" fontId="1" numFmtId="179" xfId="0">
      <alignment vertical="bottom"/>
    </xf>
    <xf borderId="0" fillId="0" fontId="1" numFmtId="183" xfId="0">
      <alignment horizontal="center" vertical="bottom"/>
    </xf>
    <xf borderId="0" fillId="0" fontId="1" numFmtId="164" xfId="0">
      <alignment vertical="bottom"/>
    </xf>
    <xf borderId="0" fillId="0" fontId="1" numFmtId="0" xfId="0">
      <alignment horizontal="left" vertical="center" indent="2"/>
    </xf>
    <xf borderId="0" fillId="0" fontId="2" numFmtId="179" xfId="0">
      <alignment vertical="bottom"/>
    </xf>
    <xf borderId="0" fillId="0" fontId="2" numFmtId="0" xfId="0">
      <alignment horizontal="left" vertical="bottom"/>
    </xf>
    <xf borderId="0" fillId="0" fontId="40" numFmtId="0" xfId="0">
      <alignment vertical="bottom"/>
    </xf>
    <xf borderId="31" fillId="25" fontId="41" numFmtId="0" xfId="0">
      <alignment horizontal="center" vertical="bottom"/>
    </xf>
    <xf borderId="75" fillId="25" fontId="41" numFmtId="0" xfId="0">
      <alignment horizontal="center" vertical="bottom"/>
    </xf>
    <xf borderId="76" fillId="25" fontId="41" numFmtId="0" xfId="0">
      <alignment horizontal="center" vertical="bottom"/>
    </xf>
    <xf borderId="54" fillId="6" fontId="42" numFmtId="0" xfId="0">
      <alignment horizontal="center" vertical="top" wrapText="1"/>
    </xf>
    <xf borderId="3" fillId="6" fontId="16" numFmtId="0" xfId="0">
      <alignment horizontal="center" vertical="top" wrapText="1"/>
    </xf>
    <xf borderId="77" fillId="6" fontId="16" numFmtId="0" xfId="0">
      <alignment horizontal="center" vertical="top" wrapText="1"/>
    </xf>
    <xf borderId="22" fillId="29" fontId="43" numFmtId="0" xfId="0">
      <alignment horizontal="center" vertical="center"/>
    </xf>
    <xf borderId="87" fillId="0" fontId="44" numFmtId="0" xfId="0">
      <alignment horizontal="center" vertical="center" wrapText="1"/>
    </xf>
    <xf borderId="22" fillId="0" fontId="44" numFmtId="0" xfId="0">
      <alignment horizontal="center" vertical="center" wrapText="1"/>
    </xf>
    <xf borderId="88" fillId="22" fontId="45" numFmtId="0" xfId="0">
      <alignment horizontal="center" vertical="center" wrapText="1"/>
    </xf>
    <xf borderId="8" fillId="22" fontId="30" numFmtId="0" xfId="0">
      <alignment vertical="top" wrapText="1"/>
    </xf>
    <xf borderId="15" fillId="22" fontId="30" numFmtId="0" xfId="0">
      <alignment vertical="top" wrapText="1"/>
    </xf>
    <xf borderId="89" fillId="22" fontId="30" numFmtId="0" xfId="0">
      <alignment vertical="top" wrapText="1"/>
    </xf>
    <xf borderId="0" fillId="13" fontId="40" numFmtId="0" xfId="0">
      <alignment horizontal="right" vertical="bottom"/>
    </xf>
    <xf borderId="90" fillId="22" fontId="45" numFmtId="0" xfId="0">
      <alignment horizontal="center" vertical="center" wrapText="1"/>
    </xf>
    <xf borderId="17" fillId="22" fontId="30" numFmtId="0" xfId="0">
      <alignment vertical="top" wrapText="1"/>
    </xf>
    <xf borderId="13" fillId="22" fontId="30" numFmtId="0" xfId="0">
      <alignment vertical="top" wrapText="1"/>
    </xf>
    <xf borderId="18" fillId="22" fontId="30" numFmtId="0" xfId="0">
      <alignment vertical="top" wrapText="1"/>
    </xf>
    <xf borderId="0" fillId="13" fontId="40" numFmtId="185" xfId="0">
      <alignment vertical="top"/>
    </xf>
    <xf borderId="0" fillId="13" fontId="40" numFmtId="176" xfId="0">
      <alignment vertical="top"/>
    </xf>
    <xf borderId="0" fillId="0" fontId="30" numFmtId="0" xfId="0">
      <alignment vertical="top" wrapText="1"/>
    </xf>
    <xf borderId="85" fillId="22" fontId="45" numFmtId="0" xfId="0">
      <alignment horizontal="center" vertical="center" wrapText="1"/>
    </xf>
    <xf borderId="11" fillId="22" fontId="30" numFmtId="0" xfId="0">
      <alignment vertical="top" wrapText="1"/>
    </xf>
    <xf borderId="60" fillId="22" fontId="30" numFmtId="0" xfId="0">
      <alignment vertical="top" wrapText="1"/>
    </xf>
    <xf borderId="21" fillId="22" fontId="30" numFmtId="0" xfId="0">
      <alignment vertical="top" wrapText="1"/>
    </xf>
    <xf borderId="55" fillId="13" fontId="46" numFmtId="0" xfId="0">
      <alignment horizontal="center" vertical="center"/>
    </xf>
    <xf borderId="76" fillId="13" fontId="46" numFmtId="0" xfId="0">
      <alignment horizontal="center" vertical="center"/>
    </xf>
    <xf borderId="73" fillId="13" fontId="32" numFmtId="0" xfId="0">
      <alignment vertical="bottom"/>
    </xf>
    <xf borderId="91" fillId="13" fontId="32" numFmtId="168" xfId="0">
      <alignment vertical="bottom"/>
    </xf>
    <xf borderId="92" fillId="13" fontId="32" numFmtId="168" xfId="0">
      <alignment vertical="bottom"/>
    </xf>
    <xf borderId="92" fillId="20" fontId="32" numFmtId="168" xfId="0">
      <alignment vertical="bottom"/>
    </xf>
    <xf borderId="65" fillId="13" fontId="32" numFmtId="0" xfId="0">
      <alignment vertical="bottom"/>
    </xf>
    <xf borderId="93" fillId="20" fontId="32" numFmtId="168" xfId="0">
      <alignment vertical="bottom"/>
    </xf>
    <xf borderId="0" fillId="0" fontId="47" numFmtId="0" xfId="0">
      <alignment vertical="bottom"/>
    </xf>
    <xf borderId="0" fillId="0" fontId="48" numFmtId="0" xfId="0">
      <alignment vertical="bottom"/>
    </xf>
    <xf borderId="0" fillId="0" fontId="49" numFmtId="0" xfId="0">
      <alignment horizontal="left" vertical="bottom"/>
    </xf>
    <xf borderId="0" fillId="0" fontId="15" numFmtId="0" xfId="0">
      <alignment vertical="bottom"/>
    </xf>
    <xf borderId="0" fillId="0" fontId="49" numFmtId="0" xfId="0">
      <alignment vertical="bottom"/>
    </xf>
  </cellXfs>
  <cellStyles count="1">
    <cellStyle name="Normal" xfId="0" builtinId="0" customBuiltin="1"/>
  </cellStyles>
  <dxfs count="11">
    <dxf>
      <fill>
        <patternFill patternType="darkTrellis">
          <bgColor rgb="FFAFABAB"/>
        </patternFill>
      </fill>
    </dxf>
    <dxf>
      <fill>
        <patternFill patternType="lightHorizontal">
          <fgColor rgb="FFF4B183"/>
          <bgColor rgb="FFF4B183"/>
        </patternFill>
      </fill>
    </dxf>
    <dxf>
      <fill>
        <patternFill patternType="solid">
          <fgColor rgb="FFFFFF00"/>
          <bgColor rgb="FFFFFF00"/>
        </patternFill>
      </fill>
    </dxf>
    <dxf>
      <fill>
        <patternFill patternType="solid">
          <fgColor rgb="FFFFC000"/>
          <bgColor rgb="FFFFC000"/>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border>
        <left style="thin">
          <color rgb="FF9DC3E6"/>
        </left>
        <right style="thin">
          <color rgb="FF9DC3E6"/>
        </right>
        <top style="thin">
          <color rgb="FF9DC3E6"/>
        </top>
        <bottom style="thin">
          <color rgb="FF9DC3E6"/>
        </bottom>
        <diagonal/>
        <vertical/>
        <horizontal style="thin">
          <color rgb="FF9DC3E6"/>
        </horizontal>
      </border>
    </dxf>
    <dxf>
      <font>
        <b/>
        <color rgb="FFFFFFFF"/>
      </font>
      <fill>
        <patternFill patternType="solid">
          <fgColor rgb="FF5B9BD5"/>
          <bgColor rgb="FF5B9BD5"/>
        </patternFill>
      </fill>
    </dxf>
    <dxf>
      <font>
        <b/>
      </font>
      <border>
        <left/>
        <right/>
        <top style="double">
          <color rgb="FF5B9BD5"/>
        </top>
        <bottom/>
        <diagonal/>
        <vertical/>
        <horizontal/>
      </border>
    </dxf>
    <dxf>
      <fill>
        <patternFill patternType="solid">
          <fgColor rgb="FFDEEBF7"/>
          <bgColor rgb="FFDEEBF7"/>
        </patternFill>
      </fill>
    </dxf>
    <dxf>
      <font>
        <b/>
      </font>
    </dxf>
  </dxfs>
  <tableStyles count="1" defaultPivotStyle="PivotStyleLight16" defaultTableStyle="TableStyleMedium2">
    <tableStyle name="TableStyleMedium2" pivot="0" count="7">
      <tableStyleElement type="wholeTable" dxfId="6"/>
      <tableStyleElement type="headerRow" dxfId="7"/>
      <tableStyleElement type="totalRow" dxfId="8"/>
      <tableStyleElement type="firstColumnStripe" dxfId="9"/>
      <tableStyleElement type="firstRowStripe" dxfId="9"/>
      <tableStyleElement type="firstColumn" dxfId="10"/>
      <tableStyleElement type="lastColumn"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worksheets/sheet3.xml" Id="rId3" Type="http://schemas.openxmlformats.org/officeDocument/2006/relationships/worksheet"/><Relationship Target="worksheets/sheet4.xml" Id="rId4" Type="http://schemas.openxmlformats.org/officeDocument/2006/relationships/worksheet"/><Relationship Target="worksheets/sheet5.xml" Id="rId5" Type="http://schemas.openxmlformats.org/officeDocument/2006/relationships/worksheet"/><Relationship Target="worksheets/sheet6.xml" Id="rId6" Type="http://schemas.openxmlformats.org/officeDocument/2006/relationships/worksheet"/><Relationship Target="worksheets/sheet7.xml" Id="rId7" Type="http://schemas.openxmlformats.org/officeDocument/2006/relationships/worksheet"/><Relationship Target="worksheets/sheet8.xml" Id="rId8" Type="http://schemas.openxmlformats.org/officeDocument/2006/relationships/worksheet"/><Relationship Target="worksheets/sheet9.xml" Id="rId9" Type="http://schemas.openxmlformats.org/officeDocument/2006/relationships/worksheet"/><Relationship Target="worksheets/sheet10.xml" Id="rId10" Type="http://schemas.openxmlformats.org/officeDocument/2006/relationships/worksheet"/><Relationship Target="worksheets/sheet11.xml" Id="rId11" Type="http://schemas.openxmlformats.org/officeDocument/2006/relationships/worksheet"/><Relationship Target="worksheets/sheet12.xml" Id="rId12" Type="http://schemas.openxmlformats.org/officeDocument/2006/relationships/worksheet"/><Relationship Target="sharedStrings.xml" Id="rId13" Type="http://schemas.openxmlformats.org/officeDocument/2006/relationships/sharedStrings"/><Relationship Target="styles.xml" Id="rId14" Type="http://schemas.openxmlformats.org/officeDocument/2006/relationships/styles"/></Relationships>
</file>

<file path=xl/drawings/vmlDrawing1.xml><?xml version="1.0" encoding="utf-8"?>
<xml xmlns:v="urn:schemas-microsoft-com:vml" xmlns:o="urn:schemas-microsoft-com:office:office" xmlns:x="urn:schemas-microsoft-com:office:excel" xmlns:w10="urn:schemas-microsoft-com:office:word">
  <v:shapetype id="_x005F_x0000_t202" coordsize="21600,21600" o:spt="202" path="m,l,21600l21600,21600l21600,xe">
    <v:stroke joinstyle="miter"/>
    <v:path gradientshapeok="t" o:connecttype="rect"/>
  </v:shapetype>
  <v:shape id="shape_1" fillcolor="#ffffc0" stroked="t" type="_x005F_x0000_t202" style="position:absolute;margin-left:97pt;margin-top:0pt;width:82.15pt;height:17.3pt;visibility:hidden">
    <v:shadow on="t" obscured="t" color="black"/>
    <w10:wrap type="none"/>
    <v:fill o:detectmouseclick="t" type="solid" color2="#00003f"/>
    <v:stroke color="#3465a4" startarrow="block" startarrowwidth="medium" startarrowlength="medium" joinstyle="round" endcap="flat"/>
    <x:ClientData ObjectType="Note">
      <x:MoveWithCells/>
      <x:SizeWithCells/>
      <x:Anchor>0, 0, 0, 0, 3, 0, 10, 0</x:Anchor>
      <x:AutoFill>False</x:AutoFill>
      <x:Row>19</x:Row>
      <x:Column>2</x:Column>
    </x:ClientData>
  </v:shape>
</xml>
</file>

<file path=xl/tables/table1.xml><?xml version="1.0" encoding="utf-8"?>
<table xmlns="http://schemas.openxmlformats.org/spreadsheetml/2006/main" id="1" name="Table211" displayName="Table211" ref="B67:K78" totalsRowCount="1">
  <tableColumns count="10">
    <tableColumn id="1" name="Lender" totalsRowLabel="Total"/>
    <tableColumn id="2" name="Current Balance" totalsRowFunction="custom">
      <totalsRowFormula>SUBTOTAL(109,Table211[Current Balance])</totalsRowFormula>
    </tableColumn>
    <tableColumn id="3" name="Mthly Pmt"/>
    <tableColumn id="4" name="Collateral"/>
    <tableColumn id="5" name="Refinance?"/>
    <tableColumn id="6" name="% of Loan">
      <calculatedColumnFormula>IFERROR(@Table211[[#This Row],[Current Balance]]/'2. Sources and Uses'!$C$22,0)</calculatedColumnFormula>
    </tableColumn>
    <tableColumn id="7" name="Refi Pmt" totalsRowFunction="custom">
      <calculatedColumnFormula>IFERROR(IF(@Table211[[#This Row],[Refinance?]]="Yes",PMT('1. Project Structure'!$C$16/12,'1. Project Structure'!$C$19,-(@Table211[[#This Row],[Current Balance]])),0),0)</calculatedColumnFormula>
      <totalsRowFormula>SUBTOTAL(109,Table211[Refi Pmt])</totalsRowFormula>
    </tableColumn>
    <tableColumn id="8" name="% Chg">
      <calculatedColumnFormula>IFERROR((@Table211[[#This Row],[Mthly Pmt]]-@Table211[[#This Row],[Refi Pmt]])/@Table211[[#This Row],[Mthly Pmt]],0)</calculatedColumnFormula>
    </tableColumn>
    <tableColumn id="9" name="CF Debt Svc" totalsRowFunction="custom">
      <calculatedColumnFormula>IF(@Table211[[#This Row],[Refinance?]]="Yes",0,@Table211[[#This Row],[Mthly Pmt]])</calculatedColumnFormula>
      <totalsRowFormula>SUBTOTAL(109,Table211[CF Debt Svc])</totalsRowFormula>
    </tableColumn>
    <tableColumn id="10" name="Reserved"/>
  </tableColumns>
  <tableStyleInfo name="TableStyleMedium2" showFirstColumn="0" showLastColumn="0" showRowStripes="1" showColumnStripes="0"/>
</table>
</file>

<file path=xl/worksheets/_rels/sheet2.xml.rels><?xml version="1.0" encoding="UTF-8" standalone="yes"?><Relationships xmlns="http://schemas.openxmlformats.org/package/2006/relationships"><Relationship Target="../comments1.xml" Id="rId1" Type="http://schemas.openxmlformats.org/officeDocument/2006/relationships/comments"/><Relationship Target="../drawings/vmlDrawing1.xml" Id="rId2" Type="http://schemas.openxmlformats.org/officeDocument/2006/relationships/vmlDrawing"/></Relationships>
</file>

<file path=xl/worksheets/_rels/sheet4.xml.rels><?xml version="1.0" encoding="UTF-8" standalone="yes"?><Relationships xmlns="http://schemas.openxmlformats.org/package/2006/relationships"><Relationship Target="../tables/table1.xml" Id="rId1"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I22"/>
  <sheetViews>
    <sheetView workbookViewId="0"/>
  </sheetViews>
  <sheetFormatPr defaultRowHeight="17.0" customHeight="1"/>
  <cols>
    <col min="1" max="1" width="10.59"/>
    <col min="2" max="2" style="1" width="28.22"/>
    <col min="3" max="9" width="29.67"/>
    <col min="10" max="2048" width="10.59"/>
  </cols>
  <sheetData>
    <row r="1" customHeight="1" ht="17.0">
      <c r="B1" s="2" t="s">
        <v>0</v>
      </c>
      <c r="C1" s="2" t="s">
        <v>1</v>
      </c>
      <c r="D1" s="2" t="s">
        <v>2</v>
      </c>
      <c r="E1" s="2" t="s">
        <v>3</v>
      </c>
      <c r="F1" s="2" t="s">
        <v>4</v>
      </c>
      <c r="G1" s="2" t="s">
        <v>5</v>
      </c>
      <c r="H1" s="2" t="s">
        <v>6</v>
      </c>
      <c r="I1" s="2" t="s">
        <v>7</v>
      </c>
    </row>
    <row r="2" customHeight="1" ht="17.0">
      <c r="B2" s="3" t="s">
        <v>8</v>
      </c>
      <c r="C2" s="4" t="s">
        <v>9</v>
      </c>
      <c r="D2" s="4" t="s">
        <v>10</v>
      </c>
      <c r="E2" t="s">
        <v>11</v>
      </c>
      <c r="F2" s="4" t="s">
        <v>12</v>
      </c>
      <c r="G2" s="4" t="s">
        <v>13</v>
      </c>
      <c r="H2" s="4" t="s">
        <v>14</v>
      </c>
      <c r="I2" s="4"/>
    </row>
    <row r="3" customHeight="1" ht="17.0">
      <c r="D3" s="5"/>
      <c r="F3" s="5"/>
      <c r="G3" s="6"/>
    </row>
    <row r="4" customHeight="1" ht="17.0">
      <c r="B4" s="7" t="s">
        <v>15</v>
      </c>
      <c r="C4" s="8"/>
      <c r="D4" s="8"/>
      <c r="E4" s="8"/>
      <c r="F4" s="8"/>
      <c r="G4" s="8"/>
      <c r="H4" s="8"/>
      <c r="I4" s="8"/>
    </row>
    <row r="5" customHeight="1" ht="17.0">
      <c r="A5" s="6"/>
      <c r="B5" s="1" t="s">
        <v>16</v>
      </c>
      <c r="C5" s="4" t="s">
        <v>9</v>
      </c>
      <c r="D5" s="5" t="s">
        <v>17</v>
      </c>
      <c r="E5" s="1" t="s">
        <v>18</v>
      </c>
      <c r="F5" s="1" t="s">
        <v>19</v>
      </c>
      <c r="G5" s="1" t="s">
        <v>20</v>
      </c>
      <c r="H5" s="5" t="s">
        <v>14</v>
      </c>
      <c r="I5" s="5" t="s">
        <v>21</v>
      </c>
      <c r="J5" s="5"/>
    </row>
    <row r="6" customHeight="1" ht="17.0">
      <c r="B6" s="1" t="s">
        <v>22</v>
      </c>
      <c r="C6" s="5" t="s">
        <v>23</v>
      </c>
      <c r="D6" s="5" t="s">
        <v>24</v>
      </c>
      <c r="F6" s="1" t="s">
        <v>25</v>
      </c>
      <c r="G6" s="6"/>
      <c r="H6" s="5"/>
      <c r="J6" s="5"/>
    </row>
    <row r="7" customHeight="1" ht="17.0">
      <c r="B7" s="1" t="s">
        <v>9</v>
      </c>
      <c r="C7" t="s">
        <v>26</v>
      </c>
      <c r="D7" s="5"/>
      <c r="E7" s="5"/>
      <c r="F7" s="1" t="s">
        <v>27</v>
      </c>
      <c r="G7" s="6"/>
      <c r="I7" s="5"/>
    </row>
    <row r="8" customHeight="1" ht="17.0">
      <c r="A8" s="6"/>
      <c r="C8" s="6" t="s">
        <v>28</v>
      </c>
      <c r="D8" s="5"/>
      <c r="E8" s="5"/>
    </row>
    <row r="9" customHeight="1" ht="17.0">
      <c r="D9" s="5"/>
      <c r="E9" s="5"/>
    </row>
    <row r="10" customHeight="1" ht="17.0">
      <c r="B10" s="1" t="s">
        <v>29</v>
      </c>
      <c r="D10" s="5"/>
      <c r="E10" s="5"/>
    </row>
    <row r="11" customHeight="1" ht="17.0">
      <c r="B11" s="1" t="s">
        <v>30</v>
      </c>
      <c r="C11" s="5"/>
      <c r="D11" s="5"/>
      <c r="F11" s="5"/>
    </row>
    <row r="12" customHeight="1" ht="17.0">
      <c r="B12" s="1" t="s">
        <v>22</v>
      </c>
      <c r="D12" s="5"/>
      <c r="E12" s="5"/>
    </row>
    <row r="13" customHeight="1" ht="17.0">
      <c r="B13" s="1" t="s">
        <v>31</v>
      </c>
      <c r="C13" s="5"/>
    </row>
    <row r="14" customHeight="1" ht="17.0">
      <c r="A14" s="6"/>
      <c r="B14" s="1" t="s">
        <v>32</v>
      </c>
      <c r="C14" s="6"/>
    </row>
    <row r="15" customHeight="1" ht="17.0">
      <c r="B15" s="1" t="s">
        <v>33</v>
      </c>
    </row>
    <row r="16" customHeight="1" ht="17.0">
      <c r="A16" s="6"/>
      <c r="B16" s="1" t="s">
        <v>34</v>
      </c>
      <c r="C16" s="6"/>
    </row>
    <row r="17" customHeight="1" ht="17.0">
      <c r="A17" s="6"/>
      <c r="B17" s="1" t="s">
        <v>35</v>
      </c>
      <c r="C17" s="6"/>
    </row>
    <row r="18" customHeight="1" ht="17.0">
      <c r="B18" s="1" t="s">
        <v>36</v>
      </c>
    </row>
    <row r="19" customHeight="1" ht="17.0">
      <c r="A19" s="6"/>
      <c r="B19" s="1" t="s">
        <v>20</v>
      </c>
      <c r="C19" s="6"/>
    </row>
    <row r="21" customHeight="1" ht="17.0">
      <c r="B21" s="1" t="s">
        <v>18</v>
      </c>
    </row>
    <row r="22" customHeight="1" ht="17.0">
      <c r="B22" s="1" t="s">
        <v>37</v>
      </c>
    </row>
  </sheetData>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S46"/>
  <sheetViews>
    <sheetView workbookViewId="0"/>
  </sheetViews>
  <sheetFormatPr defaultRowHeight="17.0" customHeight="1"/>
  <cols>
    <col min="1" max="1" width="10.59"/>
    <col min="2" max="2" width="58.69"/>
    <col min="3" max="3" width="17.22"/>
    <col min="4" max="4" width="10.59"/>
    <col min="5" max="5" width="10.46"/>
    <col min="6" max="6" width="11.39"/>
    <col min="7" max="7" width="11.52"/>
    <col min="8" max="8" width="10.99"/>
    <col min="9" max="9" width="17.62"/>
    <col min="10" max="10" width="7.41"/>
    <col min="11" max="12" width="10.59"/>
    <col min="13" max="13" width="36.96" outlineLevel="1"/>
    <col min="14" max="14" width="21.46" outlineLevel="1"/>
    <col min="15" max="15" width="9.93" outlineLevel="1"/>
    <col min="16" max="16" width="16.16" outlineLevel="1"/>
    <col min="17" max="17" width="11.52" outlineLevel="1"/>
    <col min="18" max="18" width="9.14" outlineLevel="1"/>
    <col min="19" max="19" width="10.59" outlineLevel="1"/>
    <col min="20" max="2048" width="10.59"/>
  </cols>
  <sheetData>
    <row r="1" ht="18.0" customFormat="1" s="6"/>
    <row r="2" customFormat="1" s="6"/>
    <row r="3" customFormat="1" s="6">
      <c r="B3" s="5"/>
      <c r="C3" s="5"/>
      <c r="D3" s="5"/>
      <c r="E3" s="5"/>
      <c r="F3" s="5"/>
      <c r="G3" s="5"/>
      <c r="H3" s="5"/>
      <c r="I3" s="5"/>
      <c r="J3" s="5"/>
      <c r="K3" s="5"/>
    </row>
    <row r="4" customHeight="1" ht="17.0" customFormat="1" s="6">
      <c r="B4" s="9" t="s">
        <v>16</v>
      </c>
      <c r="C4" s="10"/>
      <c r="D4" s="10"/>
      <c r="E4" s="10"/>
      <c r="F4" s="10"/>
      <c r="G4" s="10"/>
      <c r="H4" s="10"/>
      <c r="I4" s="10"/>
      <c r="J4" s="10"/>
      <c r="K4" s="11"/>
    </row>
    <row r="5" customHeight="1" ht="17.0" customFormat="1" s="5">
      <c r="A5" s="6"/>
      <c r="B5" s="12"/>
      <c r="C5" s="13"/>
      <c r="D5" s="13"/>
      <c r="E5" s="13"/>
      <c r="F5" s="13"/>
      <c r="G5" s="13"/>
      <c r="H5" s="13"/>
      <c r="I5" s="13"/>
      <c r="J5" s="13"/>
      <c r="K5" s="14"/>
      <c r="L5" s="6"/>
    </row>
    <row r="6" customHeight="1" ht="17.0" customFormat="1" s="6">
      <c r="A6" s="5"/>
      <c r="B6" s="15"/>
      <c r="C6" s="16"/>
      <c r="D6" s="16"/>
      <c r="E6" s="16"/>
      <c r="F6" s="16"/>
      <c r="G6" s="16"/>
      <c r="H6" s="16"/>
      <c r="I6" s="16"/>
      <c r="J6" s="16"/>
      <c r="K6" s="17"/>
      <c r="L6" s="5"/>
      <c r="M6" s="5"/>
      <c r="N6" s="5"/>
      <c r="O6" s="5"/>
      <c r="P6" s="5"/>
      <c r="Q6" s="5"/>
      <c r="R6" s="5"/>
      <c r="S6" s="5"/>
    </row>
    <row r="7" customHeight="1" ht="17.0" customFormat="1" s="6">
      <c r="B7" s="5"/>
      <c r="C7" s="5"/>
      <c r="D7" s="5"/>
      <c r="E7" s="5"/>
      <c r="F7" s="5"/>
      <c r="G7" s="5"/>
      <c r="H7" s="5"/>
      <c r="I7" s="5"/>
      <c r="J7" s="5"/>
      <c r="K7" s="5"/>
    </row>
    <row r="8" customHeight="1" ht="17.0">
      <c r="B8" s="5"/>
      <c r="C8" s="5"/>
      <c r="D8" s="5"/>
      <c r="E8" s="5"/>
      <c r="F8" s="5"/>
      <c r="G8" s="5"/>
      <c r="H8" s="5"/>
      <c r="I8" s="5"/>
      <c r="J8" s="5"/>
      <c r="K8" s="5"/>
      <c r="L8" s="6"/>
      <c r="M8" s="5"/>
      <c r="N8" s="5"/>
      <c r="O8" s="5"/>
      <c r="P8" s="5"/>
      <c r="Q8" s="5"/>
      <c r="R8" s="5"/>
      <c r="S8" s="5"/>
    </row>
    <row r="9" customHeight="1" ht="17.0">
      <c r="A9" s="5"/>
      <c r="B9" s="18" t="s">
        <v>22</v>
      </c>
      <c r="C9" s="19"/>
      <c r="D9" s="19"/>
      <c r="E9" s="19"/>
      <c r="F9" s="19"/>
      <c r="G9" s="19"/>
      <c r="H9" s="19"/>
      <c r="I9" s="19"/>
      <c r="J9" s="19"/>
      <c r="K9" s="20"/>
      <c r="L9" s="6"/>
      <c r="M9" s="21" t="s">
        <v>22</v>
      </c>
      <c r="N9" s="22"/>
      <c r="O9" s="22"/>
      <c r="P9" s="22"/>
      <c r="Q9" s="22"/>
      <c r="R9" s="22"/>
      <c r="S9" s="23"/>
      <c r="T9" s="5"/>
    </row>
    <row r="10" customHeight="1" ht="17.0">
      <c r="A10" s="5"/>
      <c r="B10" s="24"/>
      <c r="C10" s="25"/>
      <c r="D10" s="25"/>
      <c r="E10" s="25"/>
      <c r="F10" s="25"/>
      <c r="G10" s="26"/>
      <c r="H10" s="25"/>
      <c r="I10" s="25"/>
      <c r="J10" s="25"/>
      <c r="K10" s="27"/>
      <c r="L10" s="6"/>
      <c r="M10" s="28"/>
      <c r="N10" s="29"/>
      <c r="O10" s="29"/>
      <c r="P10" s="29"/>
      <c r="Q10" s="29"/>
      <c r="R10" s="30"/>
      <c r="S10" s="31"/>
      <c r="T10" s="5"/>
    </row>
    <row r="11" customHeight="1" ht="17.0">
      <c r="A11" s="5"/>
      <c r="B11" s="32"/>
      <c r="C11" s="33" t="s">
        <v>38</v>
      </c>
      <c r="D11" s="34" t="s">
        <v>39</v>
      </c>
      <c r="E11" s="33" t="s">
        <v>40</v>
      </c>
      <c r="F11" s="34" t="s">
        <v>41</v>
      </c>
      <c r="G11" s="25"/>
      <c r="H11" s="26"/>
      <c r="I11" s="26"/>
      <c r="J11" s="26"/>
      <c r="K11" s="27"/>
      <c r="L11" s="6"/>
      <c r="M11" s="35"/>
      <c r="N11" s="36" t="s">
        <v>42</v>
      </c>
      <c r="O11" s="37" t="s">
        <v>39</v>
      </c>
      <c r="P11" s="36" t="s">
        <v>40</v>
      </c>
      <c r="Q11" s="36" t="s">
        <v>43</v>
      </c>
      <c r="R11" s="37" t="s">
        <v>44</v>
      </c>
      <c r="S11" s="38"/>
      <c r="T11" s="5"/>
    </row>
    <row r="12" customHeight="1" ht="17.0">
      <c r="A12" s="5"/>
      <c r="B12" s="39" t="s">
        <v>45</v>
      </c>
      <c r="C12" s="40"/>
      <c r="D12" s="41"/>
      <c r="E12" s="41"/>
      <c r="F12" s="42"/>
      <c r="G12" s="26"/>
      <c r="H12" s="26"/>
      <c r="I12" s="43" t="s">
        <v>46</v>
      </c>
      <c r="J12" s="44">
        <v>0.75</v>
      </c>
      <c r="K12" s="44"/>
      <c r="L12" s="6"/>
      <c r="M12" s="45" t="s">
        <v>47</v>
      </c>
      <c r="N12" s="46">
        <v>0.075</v>
      </c>
      <c r="O12" s="47"/>
      <c r="P12" s="46">
        <v>0.08</v>
      </c>
      <c r="Q12" s="46">
        <v>0.075</v>
      </c>
      <c r="R12" s="46">
        <v>0.0624</v>
      </c>
      <c r="S12" s="38"/>
      <c r="T12" s="5"/>
    </row>
    <row r="13" customHeight="1" ht="17.0">
      <c r="A13" s="5"/>
      <c r="B13" s="39" t="s">
        <v>48</v>
      </c>
      <c r="C13" s="48">
        <f>C45</f>
        <v>0.0</v>
      </c>
      <c r="D13" s="48">
        <f>D45</f>
        <v>0.0</v>
      </c>
      <c r="E13" s="48">
        <f>E45</f>
        <v>0.0</v>
      </c>
      <c r="F13" s="49">
        <v>0.0</v>
      </c>
      <c r="G13" s="26"/>
      <c r="H13" s="26"/>
      <c r="I13" s="43" t="s">
        <v>49</v>
      </c>
      <c r="J13" s="50">
        <f>SUM('2. Sources and Uses'!E43,'2. Sources and Uses'!E44,'2. Sources and Uses'!E45,'2. Sources and Uses'!E49)</f>
        <v>0.0</v>
      </c>
      <c r="K13" s="50"/>
      <c r="L13" s="6"/>
      <c r="M13" s="45" t="s">
        <v>50</v>
      </c>
      <c r="N13" s="46">
        <v>0.015</v>
      </c>
      <c r="O13" s="51"/>
      <c r="P13" s="46">
        <v>0.0</v>
      </c>
      <c r="Q13" s="46">
        <v>0.015</v>
      </c>
      <c r="R13" s="46">
        <v>0.0</v>
      </c>
      <c r="S13" s="38"/>
      <c r="T13" s="5"/>
    </row>
    <row r="14" customHeight="1" ht="17.0">
      <c r="A14" s="5"/>
      <c r="B14" s="39" t="s">
        <v>47</v>
      </c>
      <c r="C14" s="52">
        <v>0.075</v>
      </c>
      <c r="D14" s="53"/>
      <c r="E14" s="52">
        <v>0.08</v>
      </c>
      <c r="F14" s="52">
        <v>0.0624</v>
      </c>
      <c r="G14" s="54"/>
      <c r="H14" s="26"/>
      <c r="I14" s="43" t="s">
        <v>51</v>
      </c>
      <c r="J14" s="50">
        <f>SUM('2. Sources and Uses'!E46,'2. Sources and Uses'!E47)</f>
        <v>0.0</v>
      </c>
      <c r="K14" s="50"/>
      <c r="L14" s="6"/>
      <c r="M14" s="45" t="s">
        <v>52</v>
      </c>
      <c r="N14" s="55">
        <f>N12+N13</f>
        <v>0.09</v>
      </c>
      <c r="O14" s="51"/>
      <c r="P14" s="55">
        <f>P12+P13</f>
        <v>0.08</v>
      </c>
      <c r="Q14" s="55">
        <f>Q12+Q13</f>
        <v>0.09</v>
      </c>
      <c r="R14" s="55">
        <f>R12+R13</f>
        <v>0.0624</v>
      </c>
      <c r="S14" s="38"/>
      <c r="T14" s="5"/>
    </row>
    <row r="15" customHeight="1" ht="17.0">
      <c r="A15" s="5"/>
      <c r="B15" s="39" t="s">
        <v>50</v>
      </c>
      <c r="C15" s="52">
        <v>0.015</v>
      </c>
      <c r="D15" s="56"/>
      <c r="E15" s="52">
        <v>0.0</v>
      </c>
      <c r="F15" s="52">
        <v>0.0</v>
      </c>
      <c r="G15" s="54"/>
      <c r="H15" s="26"/>
      <c r="I15" s="43" t="s">
        <v>53</v>
      </c>
      <c r="J15" s="50">
        <f>SUM('2. Sources and Uses'!E39)</f>
        <v>2500.0</v>
      </c>
      <c r="K15" s="50"/>
      <c r="L15" s="6"/>
      <c r="M15" s="45" t="s">
        <v>54</v>
      </c>
      <c r="N15" s="57" t="s">
        <v>55</v>
      </c>
      <c r="O15" s="51"/>
      <c r="P15" s="58"/>
      <c r="Q15" s="57" t="s">
        <v>55</v>
      </c>
      <c r="R15" s="59"/>
      <c r="S15" s="38"/>
      <c r="T15" s="5"/>
    </row>
    <row r="16" customHeight="1" ht="17.0">
      <c r="A16" s="5"/>
      <c r="B16" s="39" t="s">
        <v>52</v>
      </c>
      <c r="C16" s="60">
        <f>C14+C15</f>
        <v>0.09</v>
      </c>
      <c r="D16" s="56"/>
      <c r="E16" s="60">
        <f>E14+E15</f>
        <v>0.08</v>
      </c>
      <c r="F16" s="60">
        <f>F14+F15</f>
        <v>0.0624</v>
      </c>
      <c r="G16" s="26"/>
      <c r="H16" s="26"/>
      <c r="I16" s="43" t="s">
        <v>56</v>
      </c>
      <c r="J16" s="50">
        <f>SUM('2. Sources and Uses'!E42)</f>
        <v>0.0</v>
      </c>
      <c r="K16" s="50"/>
      <c r="L16" s="6"/>
      <c r="M16" s="45" t="s">
        <v>57</v>
      </c>
      <c r="N16" s="61">
        <v>10.0</v>
      </c>
      <c r="O16" s="62"/>
      <c r="P16" s="61">
        <v>10.0</v>
      </c>
      <c r="Q16" s="61">
        <v>10.0</v>
      </c>
      <c r="R16" s="61">
        <v>25.0</v>
      </c>
      <c r="S16" s="38"/>
      <c r="T16" s="5"/>
    </row>
    <row r="17" customHeight="1" ht="17.0">
      <c r="A17" s="5"/>
      <c r="B17" s="39" t="s">
        <v>54</v>
      </c>
      <c r="C17" s="63" t="s">
        <v>55</v>
      </c>
      <c r="D17" s="56"/>
      <c r="E17" s="64"/>
      <c r="F17" s="41"/>
      <c r="G17" s="26"/>
      <c r="H17" s="26"/>
      <c r="I17" s="43" t="s">
        <v>58</v>
      </c>
      <c r="J17" s="50">
        <f>SUM('2. Sources and Uses'!E48)</f>
        <v>0.0</v>
      </c>
      <c r="K17" s="50"/>
      <c r="L17" s="6"/>
      <c r="M17" s="45" t="s">
        <v>59</v>
      </c>
      <c r="N17" s="61">
        <f>N16*12</f>
        <v>120.0</v>
      </c>
      <c r="O17" s="62"/>
      <c r="P17" s="61">
        <f>P16*12</f>
        <v>120.0</v>
      </c>
      <c r="Q17" s="61">
        <f>Q16*12</f>
        <v>120.0</v>
      </c>
      <c r="R17" s="61">
        <f>R16*12</f>
        <v>300.0</v>
      </c>
      <c r="S17" s="38"/>
      <c r="T17" s="5"/>
    </row>
    <row r="18" customHeight="1" ht="17.0">
      <c r="A18" s="5"/>
      <c r="B18" s="39" t="s">
        <v>57</v>
      </c>
      <c r="C18" s="65">
        <v>10.0</v>
      </c>
      <c r="D18" s="66"/>
      <c r="E18" s="65">
        <v>10.0</v>
      </c>
      <c r="F18" s="65">
        <v>25.0</v>
      </c>
      <c r="G18" s="26"/>
      <c r="H18" s="26"/>
      <c r="I18" s="43" t="s">
        <v>60</v>
      </c>
      <c r="J18" s="50">
        <f>SUM('2. Sources and Uses'!E40,'2. Sources and Uses'!E41)</f>
        <v>0.0</v>
      </c>
      <c r="K18" s="50"/>
      <c r="L18" s="6"/>
      <c r="M18" s="45" t="s">
        <v>61</v>
      </c>
      <c r="N18" s="67">
        <v>0.0</v>
      </c>
      <c r="O18" s="68"/>
      <c r="P18" s="69"/>
      <c r="Q18" s="70"/>
      <c r="R18" s="30"/>
      <c r="S18" s="38"/>
      <c r="T18" s="5"/>
    </row>
    <row r="19" customHeight="1" ht="17.0">
      <c r="A19" s="5"/>
      <c r="B19" s="39" t="s">
        <v>59</v>
      </c>
      <c r="C19" s="65">
        <f>C18*12</f>
        <v>120.0</v>
      </c>
      <c r="D19" s="66"/>
      <c r="E19" s="65">
        <f>E18*12</f>
        <v>120.0</v>
      </c>
      <c r="F19" s="65">
        <f>F18*12</f>
        <v>300.0</v>
      </c>
      <c r="G19" s="26"/>
      <c r="H19" s="26"/>
      <c r="I19" s="43" t="s">
        <v>62</v>
      </c>
      <c r="J19" s="71">
        <f>'2. Sources and Uses'!D80</f>
        <v>0.0</v>
      </c>
      <c r="K19" s="71"/>
      <c r="L19" s="6"/>
      <c r="M19" s="72"/>
      <c r="N19" s="73"/>
      <c r="O19" s="73"/>
      <c r="P19" s="73"/>
      <c r="Q19" s="73"/>
      <c r="R19" s="73"/>
      <c r="S19" s="74"/>
      <c r="T19" s="5"/>
    </row>
    <row r="20" customHeight="1" ht="17.0">
      <c r="A20" s="5"/>
      <c r="B20" s="75" t="s">
        <v>63</v>
      </c>
      <c r="C20" s="76">
        <f>IFERROR(INDEX('2. Sources and Uses'!K92:K94,MATCH($C$17,#REF!,0)),0)</f>
        <v>0.0</v>
      </c>
      <c r="D20" s="77"/>
      <c r="E20" s="76">
        <f>IFERROR(PMT(E16/12,E19,-E13),0)</f>
        <v>0.0</v>
      </c>
      <c r="F20" s="76">
        <f>IFERROR(PMT(F16/12,F19,-F13),0)</f>
        <v>0.0</v>
      </c>
      <c r="G20" s="26"/>
      <c r="H20" s="26"/>
      <c r="I20" s="43" t="s">
        <v>64</v>
      </c>
      <c r="J20" s="78">
        <f>E55-SUM(J13:K18)</f>
        <v>-2500.0</v>
      </c>
      <c r="K20" s="79"/>
      <c r="L20" s="1"/>
      <c r="M20" s="1"/>
      <c r="N20" s="1"/>
      <c r="O20" s="1"/>
      <c r="P20" s="1"/>
      <c r="Q20" s="1"/>
      <c r="R20" s="1"/>
      <c r="S20" s="1"/>
    </row>
    <row r="21" customHeight="1" ht="17.0">
      <c r="A21" s="5"/>
      <c r="B21" s="39" t="s">
        <v>61</v>
      </c>
      <c r="C21" s="80">
        <v>0.0</v>
      </c>
      <c r="D21" s="81"/>
      <c r="E21" s="82"/>
      <c r="F21" s="83"/>
      <c r="G21" s="26"/>
      <c r="H21" s="26"/>
      <c r="I21" s="43" t="s">
        <v>65</v>
      </c>
      <c r="J21" s="50">
        <f>SUM(J13:K20)</f>
        <v>0.0</v>
      </c>
      <c r="K21" s="50"/>
      <c r="L21" s="6"/>
      <c r="T21" s="5"/>
    </row>
    <row r="22" customHeight="1" ht="17.0">
      <c r="A22" s="5"/>
      <c r="B22" s="39" t="s">
        <v>66</v>
      </c>
      <c r="C22" s="84"/>
      <c r="D22" s="81" t="s">
        <v>67</v>
      </c>
      <c r="E22" s="85">
        <v>0.0</v>
      </c>
      <c r="F22" s="86" t="s">
        <v>68</v>
      </c>
      <c r="G22" s="52">
        <v>0.0</v>
      </c>
      <c r="H22" s="26"/>
      <c r="I22" s="43"/>
      <c r="J22" s="87"/>
      <c r="K22" s="88"/>
      <c r="L22" s="6"/>
      <c r="T22" s="5"/>
    </row>
    <row r="23" customHeight="1" ht="17.0">
      <c r="A23" s="5"/>
      <c r="B23" s="89"/>
      <c r="C23" s="90"/>
      <c r="D23" s="90"/>
      <c r="E23" s="90"/>
      <c r="F23" s="90"/>
      <c r="G23" s="90"/>
      <c r="H23" s="90"/>
      <c r="I23" s="91"/>
      <c r="J23" s="91"/>
      <c r="K23" s="92"/>
      <c r="L23" s="6"/>
      <c r="T23" s="5"/>
    </row>
    <row r="24" customHeight="1" ht="17.0">
      <c r="A24" s="5"/>
      <c r="B24" s="5"/>
      <c r="C24" s="5"/>
      <c r="D24" s="5"/>
      <c r="E24" s="5"/>
      <c r="F24" s="5"/>
      <c r="G24" s="5"/>
      <c r="H24" s="5"/>
      <c r="I24" s="5"/>
      <c r="J24" s="5"/>
      <c r="K24" s="5"/>
      <c r="L24" s="6"/>
      <c r="M24" s="5"/>
      <c r="N24" s="5"/>
      <c r="O24" s="5"/>
      <c r="P24" s="5"/>
      <c r="Q24" s="5"/>
      <c r="R24" s="5"/>
      <c r="S24" s="5"/>
      <c r="T24" s="5"/>
    </row>
    <row r="25" customHeight="1" ht="17.0">
      <c r="A25" s="5"/>
      <c r="B25" s="18" t="s">
        <v>69</v>
      </c>
      <c r="C25" s="19"/>
      <c r="D25" s="19"/>
      <c r="E25" s="19"/>
      <c r="F25" s="19"/>
      <c r="G25" s="19"/>
      <c r="H25" s="19"/>
      <c r="I25" s="19"/>
      <c r="J25" s="19"/>
      <c r="K25" s="20"/>
      <c r="L25" s="6"/>
      <c r="M25" s="93" t="s">
        <v>70</v>
      </c>
      <c r="N25" s="94"/>
      <c r="O25" s="94"/>
      <c r="P25" s="94"/>
      <c r="Q25" s="94"/>
      <c r="R25" s="94"/>
      <c r="S25" s="95"/>
      <c r="T25" s="5"/>
    </row>
    <row r="26" customHeight="1" ht="17.0">
      <c r="A26" s="5"/>
      <c r="B26" s="96"/>
      <c r="C26" s="26"/>
      <c r="D26" s="26"/>
      <c r="E26" s="26"/>
      <c r="F26" s="97"/>
      <c r="G26" s="26"/>
      <c r="H26" s="26"/>
      <c r="I26" s="26"/>
      <c r="J26" s="26"/>
      <c r="K26" s="27"/>
      <c r="L26" s="6"/>
      <c r="M26" s="98"/>
      <c r="N26" s="30"/>
      <c r="O26" s="30"/>
      <c r="P26" s="30"/>
      <c r="Q26" s="99"/>
      <c r="R26" s="30"/>
      <c r="S26" s="38"/>
      <c r="T26" s="5"/>
    </row>
    <row r="27" customHeight="1" ht="17.0">
      <c r="A27" s="5"/>
      <c r="B27" s="100"/>
      <c r="C27" s="33" t="s">
        <v>38</v>
      </c>
      <c r="D27" s="33" t="s">
        <v>39</v>
      </c>
      <c r="E27" s="33" t="s">
        <v>40</v>
      </c>
      <c r="F27" s="33" t="s">
        <v>41</v>
      </c>
      <c r="G27" s="33" t="s">
        <v>71</v>
      </c>
      <c r="H27" s="33" t="s">
        <v>72</v>
      </c>
      <c r="I27" s="33" t="s">
        <v>73</v>
      </c>
      <c r="J27" s="101" t="s">
        <v>74</v>
      </c>
      <c r="K27" s="102"/>
      <c r="L27" s="6"/>
      <c r="M27" s="103"/>
      <c r="N27" s="36" t="s">
        <v>43</v>
      </c>
      <c r="O27" s="36" t="s">
        <v>39</v>
      </c>
      <c r="P27" s="36" t="s">
        <v>40</v>
      </c>
      <c r="Q27" s="36" t="s">
        <v>44</v>
      </c>
      <c r="R27" s="36" t="s">
        <v>71</v>
      </c>
      <c r="S27" s="104"/>
      <c r="T27" s="5"/>
    </row>
    <row r="28" customHeight="1" ht="17.0">
      <c r="A28" s="5"/>
      <c r="B28" s="105" t="s">
        <v>75</v>
      </c>
      <c r="C28" s="106"/>
      <c r="D28" s="106"/>
      <c r="E28" s="106"/>
      <c r="F28" s="106"/>
      <c r="G28" s="106"/>
      <c r="H28" s="107"/>
      <c r="I28" s="107"/>
      <c r="J28" s="108"/>
      <c r="K28" s="27"/>
      <c r="L28" s="6"/>
      <c r="M28" s="109" t="s">
        <v>75</v>
      </c>
      <c r="N28" s="110"/>
      <c r="O28" s="110"/>
      <c r="P28" s="110"/>
      <c r="Q28" s="110"/>
      <c r="R28" s="110"/>
      <c r="S28" s="38"/>
      <c r="T28" s="5"/>
    </row>
    <row r="29" customHeight="1" ht="17.0">
      <c r="A29" s="5"/>
      <c r="B29" s="111" t="s">
        <v>76</v>
      </c>
      <c r="C29" s="112">
        <f>'2. Sources and Uses'!C6</f>
        <v>0.0</v>
      </c>
      <c r="D29" s="113">
        <f>'2. Sources and Uses'!D6</f>
        <v>0.0</v>
      </c>
      <c r="E29" s="113">
        <f>'2. Sources and Uses'!E6</f>
        <v>0.0</v>
      </c>
      <c r="F29" s="113">
        <f>'2. Sources and Uses'!F6</f>
        <v>0.0</v>
      </c>
      <c r="G29" s="113">
        <f>'2. Sources and Uses'!G6</f>
        <v>0.0</v>
      </c>
      <c r="H29" s="114">
        <f>'2. Sources and Uses'!H6</f>
        <v>25.0</v>
      </c>
      <c r="I29" s="115">
        <f>'2. Sources and Uses'!I6</f>
        <v>0.0</v>
      </c>
      <c r="J29" s="116">
        <f>'2. Sources and Uses'!J6</f>
        <v>0.0</v>
      </c>
      <c r="K29" s="27"/>
      <c r="L29" s="6"/>
      <c r="M29" s="117" t="s">
        <v>76</v>
      </c>
      <c r="N29" s="118">
        <f>'2. Sources and Uses'!N6</f>
        <v>0.0</v>
      </c>
      <c r="O29" s="119">
        <f>'2. Sources and Uses'!O6</f>
        <v>0.0</v>
      </c>
      <c r="P29" s="119">
        <f>'2. Sources and Uses'!P6</f>
        <v>0.0</v>
      </c>
      <c r="Q29" s="119">
        <f>'2. Sources and Uses'!Q6</f>
        <v>0.0</v>
      </c>
      <c r="R29" s="119">
        <f>'2. Sources and Uses'!R6</f>
        <v>0.0</v>
      </c>
      <c r="S29" s="38"/>
      <c r="T29" s="5"/>
    </row>
    <row r="30" customHeight="1" ht="17.0">
      <c r="A30" s="5"/>
      <c r="B30" s="111" t="s">
        <v>77</v>
      </c>
      <c r="C30" s="112">
        <f>'2. Sources and Uses'!C7</f>
        <v>0.0</v>
      </c>
      <c r="D30" s="113">
        <f>'2. Sources and Uses'!D7</f>
        <v>0.0</v>
      </c>
      <c r="E30" s="113">
        <f>'2. Sources and Uses'!E7</f>
        <v>0.0</v>
      </c>
      <c r="F30" s="113">
        <f>'2. Sources and Uses'!F7</f>
        <v>0.0</v>
      </c>
      <c r="G30" s="113">
        <f>'2. Sources and Uses'!G7</f>
        <v>0.0</v>
      </c>
      <c r="H30" s="114">
        <f>'2. Sources and Uses'!H7</f>
        <v>25.0</v>
      </c>
      <c r="I30" s="115">
        <f>'2. Sources and Uses'!I7</f>
        <v>0.0</v>
      </c>
      <c r="J30" s="116">
        <f>'2. Sources and Uses'!J7</f>
        <v>0.0</v>
      </c>
      <c r="K30" s="27"/>
      <c r="L30" s="5"/>
      <c r="M30" s="117" t="s">
        <v>77</v>
      </c>
      <c r="N30" s="118">
        <f>'2. Sources and Uses'!N7</f>
        <v>0.0</v>
      </c>
      <c r="O30" s="119">
        <f>'2. Sources and Uses'!O7</f>
        <v>0.0</v>
      </c>
      <c r="P30" s="119">
        <f>'2. Sources and Uses'!P7</f>
        <v>0.0</v>
      </c>
      <c r="Q30" s="119">
        <f>'2. Sources and Uses'!Q7</f>
        <v>0.0</v>
      </c>
      <c r="R30" s="119">
        <f>'2. Sources and Uses'!R7</f>
        <v>0.0</v>
      </c>
      <c r="S30" s="38"/>
      <c r="T30" s="5"/>
    </row>
    <row r="31" customHeight="1" ht="17.0">
      <c r="A31" s="5"/>
      <c r="B31" s="111" t="s">
        <v>78</v>
      </c>
      <c r="C31" s="112">
        <f>'2. Sources and Uses'!C8</f>
        <v>0.0</v>
      </c>
      <c r="D31" s="113">
        <f>'2. Sources and Uses'!D8</f>
        <v>0.0</v>
      </c>
      <c r="E31" s="113">
        <f>'2. Sources and Uses'!E8</f>
        <v>0.0</v>
      </c>
      <c r="F31" s="113">
        <f>'2. Sources and Uses'!F8</f>
        <v>0.0</v>
      </c>
      <c r="G31" s="113">
        <f>'2. Sources and Uses'!G8</f>
        <v>0.0</v>
      </c>
      <c r="H31" s="114">
        <f>'2. Sources and Uses'!H8</f>
        <v>10.0</v>
      </c>
      <c r="I31" s="115">
        <f>'2. Sources and Uses'!I8</f>
        <v>0.0</v>
      </c>
      <c r="J31" s="116">
        <f>'2. Sources and Uses'!J8</f>
        <v>0.0</v>
      </c>
      <c r="K31" s="27"/>
      <c r="L31" s="5"/>
      <c r="M31" s="117" t="s">
        <v>78</v>
      </c>
      <c r="N31" s="118">
        <f>'2. Sources and Uses'!N8</f>
        <v>0.0</v>
      </c>
      <c r="O31" s="119">
        <f>'2. Sources and Uses'!O8</f>
        <v>0.0</v>
      </c>
      <c r="P31" s="119">
        <f>'2. Sources and Uses'!P8</f>
        <v>0.0</v>
      </c>
      <c r="Q31" s="119">
        <f>'2. Sources and Uses'!Q8</f>
        <v>0.0</v>
      </c>
      <c r="R31" s="119">
        <f>'2. Sources and Uses'!R8</f>
        <v>0.0</v>
      </c>
      <c r="S31" s="38"/>
      <c r="T31" s="5"/>
    </row>
    <row r="32" customHeight="1" ht="17.0">
      <c r="A32" s="5"/>
      <c r="B32" s="111" t="s">
        <v>79</v>
      </c>
      <c r="C32" s="112">
        <f>'2. Sources and Uses'!C9</f>
        <v>0.0</v>
      </c>
      <c r="D32" s="113">
        <f>'2. Sources and Uses'!D9</f>
        <v>0.0</v>
      </c>
      <c r="E32" s="113">
        <f>'2. Sources and Uses'!E9</f>
        <v>0.0</v>
      </c>
      <c r="F32" s="113">
        <f>'2. Sources and Uses'!F9</f>
        <v>0.0</v>
      </c>
      <c r="G32" s="113">
        <f>'2. Sources and Uses'!G9</f>
        <v>0.0</v>
      </c>
      <c r="H32" s="114">
        <f>'2. Sources and Uses'!H9</f>
        <v>10.0</v>
      </c>
      <c r="I32" s="115">
        <f>'2. Sources and Uses'!I9</f>
        <v>0.0</v>
      </c>
      <c r="J32" s="116">
        <f>'2. Sources and Uses'!J9</f>
        <v>0.0</v>
      </c>
      <c r="K32" s="27"/>
      <c r="L32" s="5"/>
      <c r="M32" s="117" t="s">
        <v>79</v>
      </c>
      <c r="N32" s="118">
        <f>'2. Sources and Uses'!N9</f>
        <v>0.0</v>
      </c>
      <c r="O32" s="119">
        <f>'2. Sources and Uses'!O9</f>
        <v>0.0</v>
      </c>
      <c r="P32" s="119">
        <f>'2. Sources and Uses'!P9</f>
        <v>0.0</v>
      </c>
      <c r="Q32" s="119">
        <f>'2. Sources and Uses'!Q9</f>
        <v>0.0</v>
      </c>
      <c r="R32" s="119">
        <f>'2. Sources and Uses'!R9</f>
        <v>0.0</v>
      </c>
      <c r="S32" s="38"/>
      <c r="T32" s="5"/>
    </row>
    <row r="33" customHeight="1" ht="17.0">
      <c r="A33" s="5"/>
      <c r="B33" s="111" t="s">
        <v>80</v>
      </c>
      <c r="C33" s="112">
        <f>'2. Sources and Uses'!C10</f>
        <v>0.0</v>
      </c>
      <c r="D33" s="113">
        <f>'2. Sources and Uses'!D10</f>
        <v>0.0</v>
      </c>
      <c r="E33" s="113">
        <f>'2. Sources and Uses'!E10</f>
        <v>0.0</v>
      </c>
      <c r="F33" s="113">
        <f>'2. Sources and Uses'!F10</f>
        <v>0.0</v>
      </c>
      <c r="G33" s="113">
        <f>'2. Sources and Uses'!G10</f>
        <v>0.0</v>
      </c>
      <c r="H33" s="114">
        <f>'2. Sources and Uses'!H10</f>
        <v>10.0</v>
      </c>
      <c r="I33" s="115">
        <f>'2. Sources and Uses'!I10</f>
        <v>0.0</v>
      </c>
      <c r="J33" s="116">
        <f>'2. Sources and Uses'!J10</f>
        <v>0.0</v>
      </c>
      <c r="K33" s="27"/>
      <c r="L33" s="5"/>
      <c r="M33" s="117" t="s">
        <v>80</v>
      </c>
      <c r="N33" s="118">
        <f>'2. Sources and Uses'!N10</f>
        <v>0.0</v>
      </c>
      <c r="O33" s="119">
        <f>'2. Sources and Uses'!O10</f>
        <v>0.0</v>
      </c>
      <c r="P33" s="119">
        <f>'2. Sources and Uses'!P10</f>
        <v>0.0</v>
      </c>
      <c r="Q33" s="119">
        <f>'2. Sources and Uses'!Q10</f>
        <v>0.0</v>
      </c>
      <c r="R33" s="119">
        <f>'2. Sources and Uses'!R10</f>
        <v>0.0</v>
      </c>
      <c r="S33" s="38"/>
      <c r="T33" s="5"/>
    </row>
    <row r="34" customHeight="1" ht="17.0">
      <c r="A34" s="5"/>
      <c r="B34" s="111" t="s">
        <v>81</v>
      </c>
      <c r="C34" s="112">
        <f>'2. Sources and Uses'!C11</f>
        <v>0.0</v>
      </c>
      <c r="D34" s="113">
        <f>'2. Sources and Uses'!D11</f>
        <v>0.0</v>
      </c>
      <c r="E34" s="113">
        <f>'2. Sources and Uses'!E11</f>
        <v>0.0</v>
      </c>
      <c r="F34" s="113">
        <f>'2. Sources and Uses'!F11</f>
        <v>0.0</v>
      </c>
      <c r="G34" s="113">
        <f>'2. Sources and Uses'!G11</f>
        <v>0.0</v>
      </c>
      <c r="H34" s="114">
        <f>'2. Sources and Uses'!H11</f>
        <v>10.0</v>
      </c>
      <c r="I34" s="115">
        <f>'2. Sources and Uses'!I11</f>
        <v>0.0</v>
      </c>
      <c r="J34" s="116">
        <f>'2. Sources and Uses'!J11</f>
        <v>0.0</v>
      </c>
      <c r="K34" s="27"/>
      <c r="L34" s="5"/>
      <c r="M34" s="117" t="s">
        <v>81</v>
      </c>
      <c r="N34" s="118">
        <f>'2. Sources and Uses'!N11</f>
        <v>0.0</v>
      </c>
      <c r="O34" s="119">
        <f>'2. Sources and Uses'!O11</f>
        <v>0.0</v>
      </c>
      <c r="P34" s="119">
        <f>'2. Sources and Uses'!P11</f>
        <v>0.0</v>
      </c>
      <c r="Q34" s="119">
        <f>'2. Sources and Uses'!Q11</f>
        <v>0.0</v>
      </c>
      <c r="R34" s="119">
        <f>'2. Sources and Uses'!R11</f>
        <v>0.0</v>
      </c>
      <c r="S34" s="38"/>
      <c r="T34" s="5"/>
    </row>
    <row r="35" customHeight="1" ht="27.0" customFormat="1" s="120">
      <c r="B35" s="111" t="s">
        <v>82</v>
      </c>
      <c r="C35" s="112">
        <f>'2. Sources and Uses'!C12</f>
        <v>0.0</v>
      </c>
      <c r="D35" s="113">
        <f>'2. Sources and Uses'!D12</f>
        <v>0.0</v>
      </c>
      <c r="E35" s="113">
        <f>'2. Sources and Uses'!E12</f>
        <v>0.0</v>
      </c>
      <c r="F35" s="113">
        <f>'2. Sources and Uses'!F12</f>
        <v>0.0</v>
      </c>
      <c r="G35" s="113">
        <f>'2. Sources and Uses'!G12</f>
        <v>0.0</v>
      </c>
      <c r="H35" s="114">
        <f>'2. Sources and Uses'!H12</f>
        <v>10.0</v>
      </c>
      <c r="I35" s="115">
        <f>'2. Sources and Uses'!I12</f>
        <v>0.0</v>
      </c>
      <c r="J35" s="116">
        <f>'2. Sources and Uses'!J12</f>
        <v>0.0</v>
      </c>
      <c r="K35" s="27"/>
      <c r="M35" s="117" t="s">
        <v>82</v>
      </c>
      <c r="N35" s="118">
        <f>'2. Sources and Uses'!N12</f>
        <v>0.0</v>
      </c>
      <c r="O35" s="119">
        <f>'2. Sources and Uses'!O12</f>
        <v>0.0</v>
      </c>
      <c r="P35" s="119">
        <f>'2. Sources and Uses'!P12</f>
        <v>0.0</v>
      </c>
      <c r="Q35" s="119">
        <f>'2. Sources and Uses'!Q12</f>
        <v>0.0</v>
      </c>
      <c r="R35" s="119">
        <f>'2. Sources and Uses'!R12</f>
        <v>0.0</v>
      </c>
      <c r="S35" s="38"/>
    </row>
    <row r="36" customHeight="1" ht="17.0">
      <c r="A36" s="5"/>
      <c r="B36" s="111" t="s">
        <v>83</v>
      </c>
      <c r="C36" s="112">
        <f>'2. Sources and Uses'!C13</f>
        <v>0.0</v>
      </c>
      <c r="D36" s="113">
        <f>'2. Sources and Uses'!D13</f>
        <v>0.0</v>
      </c>
      <c r="E36" s="113">
        <f>'2. Sources and Uses'!E13</f>
        <v>0.0</v>
      </c>
      <c r="F36" s="113">
        <f>'2. Sources and Uses'!F13</f>
        <v>0.0</v>
      </c>
      <c r="G36" s="113">
        <f>'2. Sources and Uses'!G13</f>
        <v>0.0</v>
      </c>
      <c r="H36" s="114">
        <f>'2. Sources and Uses'!H13</f>
        <v>10.0</v>
      </c>
      <c r="I36" s="115">
        <f>'2. Sources and Uses'!I13</f>
        <v>0.0</v>
      </c>
      <c r="J36" s="116">
        <f>'2. Sources and Uses'!J13</f>
        <v>0.0</v>
      </c>
      <c r="K36" s="27"/>
      <c r="L36" s="5"/>
      <c r="M36" s="117" t="s">
        <v>83</v>
      </c>
      <c r="N36" s="118">
        <f>'2. Sources and Uses'!N13</f>
        <v>0.0</v>
      </c>
      <c r="O36" s="119">
        <f>'2. Sources and Uses'!O13</f>
        <v>0.0</v>
      </c>
      <c r="P36" s="119">
        <f>'2. Sources and Uses'!P13</f>
        <v>0.0</v>
      </c>
      <c r="Q36" s="119">
        <f>'2. Sources and Uses'!Q13</f>
        <v>0.0</v>
      </c>
      <c r="R36" s="119">
        <f>'2. Sources and Uses'!R13</f>
        <v>0.0</v>
      </c>
      <c r="S36" s="38"/>
      <c r="T36" s="5"/>
    </row>
    <row r="37" customHeight="1" ht="17.0">
      <c r="A37" s="5"/>
      <c r="B37" s="111" t="s">
        <v>84</v>
      </c>
      <c r="C37" s="112">
        <f>'2. Sources and Uses'!C14</f>
        <v>0.0</v>
      </c>
      <c r="D37" s="113">
        <f>'2. Sources and Uses'!D14</f>
        <v>0.0</v>
      </c>
      <c r="E37" s="113">
        <f>'2. Sources and Uses'!E14</f>
        <v>0.0</v>
      </c>
      <c r="F37" s="113">
        <f>'2. Sources and Uses'!F14</f>
        <v>0.0</v>
      </c>
      <c r="G37" s="113">
        <f>'2. Sources and Uses'!G14</f>
        <v>0.0</v>
      </c>
      <c r="H37" s="114">
        <f>'2. Sources and Uses'!H14</f>
        <v>10.0</v>
      </c>
      <c r="I37" s="115">
        <f>'2. Sources and Uses'!I14</f>
        <v>0.0</v>
      </c>
      <c r="J37" s="116">
        <f>'2. Sources and Uses'!J14</f>
        <v>0.0</v>
      </c>
      <c r="K37" s="27"/>
      <c r="L37" s="5"/>
      <c r="M37" s="117" t="s">
        <v>84</v>
      </c>
      <c r="N37" s="118">
        <f>'2. Sources and Uses'!N14</f>
        <v>0.0</v>
      </c>
      <c r="O37" s="119">
        <f>'2. Sources and Uses'!O14</f>
        <v>0.0</v>
      </c>
      <c r="P37" s="119">
        <f>'2. Sources and Uses'!P14</f>
        <v>0.0</v>
      </c>
      <c r="Q37" s="119">
        <f>'2. Sources and Uses'!Q14</f>
        <v>0.0</v>
      </c>
      <c r="R37" s="119">
        <f>'2. Sources and Uses'!R14</f>
        <v>0.0</v>
      </c>
      <c r="S37" s="38"/>
      <c r="T37" s="5"/>
    </row>
    <row r="38" customHeight="1" ht="17.0">
      <c r="A38" s="5"/>
      <c r="B38" s="111" t="s">
        <v>85</v>
      </c>
      <c r="C38" s="112">
        <f>'2. Sources and Uses'!C15</f>
        <v>0.0</v>
      </c>
      <c r="D38" s="113">
        <f>'2. Sources and Uses'!D15</f>
        <v>0.0</v>
      </c>
      <c r="E38" s="113">
        <f>'2. Sources and Uses'!E15</f>
        <v>0.0</v>
      </c>
      <c r="F38" s="113">
        <f>'2. Sources and Uses'!F15</f>
        <v>0.0</v>
      </c>
      <c r="G38" s="113">
        <f>'2. Sources and Uses'!G15</f>
        <v>0.0</v>
      </c>
      <c r="H38" s="114">
        <f>'2. Sources and Uses'!H15</f>
        <v>10.0</v>
      </c>
      <c r="I38" s="115">
        <f>'2. Sources and Uses'!I15</f>
        <v>0.0</v>
      </c>
      <c r="J38" s="116">
        <f>'2. Sources and Uses'!J15</f>
        <v>0.0</v>
      </c>
      <c r="K38" s="27"/>
      <c r="L38" s="5"/>
      <c r="M38" s="117" t="s">
        <v>85</v>
      </c>
      <c r="N38" s="118">
        <f>'2. Sources and Uses'!N15</f>
        <v>0.0</v>
      </c>
      <c r="O38" s="119">
        <f>'2. Sources and Uses'!O15</f>
        <v>0.0</v>
      </c>
      <c r="P38" s="119">
        <f>'2. Sources and Uses'!P15</f>
        <v>0.0</v>
      </c>
      <c r="Q38" s="119">
        <f>'2. Sources and Uses'!Q15</f>
        <v>0.0</v>
      </c>
      <c r="R38" s="119">
        <f>'2. Sources and Uses'!R15</f>
        <v>0.0</v>
      </c>
      <c r="S38" s="38"/>
      <c r="T38" s="5"/>
    </row>
    <row r="39" customHeight="1" ht="17.0">
      <c r="A39" s="5"/>
      <c r="B39" s="121" t="s">
        <v>86</v>
      </c>
      <c r="C39" s="112">
        <f>'2. Sources and Uses'!C16</f>
        <v>0.0</v>
      </c>
      <c r="D39" s="113">
        <f>'2. Sources and Uses'!D16</f>
        <v>0.0</v>
      </c>
      <c r="E39" s="113">
        <f>'2. Sources and Uses'!E16</f>
        <v>0.0</v>
      </c>
      <c r="F39" s="113">
        <f>'2. Sources and Uses'!F16</f>
        <v>0.0</v>
      </c>
      <c r="G39" s="113">
        <f>'2. Sources and Uses'!G16</f>
        <v>0.0</v>
      </c>
      <c r="H39" s="114">
        <f>'2. Sources and Uses'!H16</f>
        <v>25.0</v>
      </c>
      <c r="I39" s="115">
        <f>'2. Sources and Uses'!I16</f>
        <v>0.0</v>
      </c>
      <c r="J39" s="116">
        <f>'2. Sources and Uses'!J16</f>
        <v>0.0</v>
      </c>
      <c r="K39" s="27"/>
      <c r="L39" s="5"/>
      <c r="M39" s="122" t="s">
        <v>86</v>
      </c>
      <c r="N39" s="118">
        <f>'2. Sources and Uses'!N16</f>
        <v>0.0</v>
      </c>
      <c r="O39" s="119">
        <f>'2. Sources and Uses'!O16</f>
        <v>0.0</v>
      </c>
      <c r="P39" s="119">
        <f>'2. Sources and Uses'!P16</f>
        <v>0.0</v>
      </c>
      <c r="Q39" s="119">
        <f>'2. Sources and Uses'!Q16</f>
        <v>0.0</v>
      </c>
      <c r="R39" s="119">
        <f>'2. Sources and Uses'!R16</f>
        <v>0.0</v>
      </c>
      <c r="S39" s="38"/>
      <c r="T39" s="5"/>
    </row>
    <row r="40" customHeight="1" ht="17.0">
      <c r="A40" s="5"/>
      <c r="B40" s="111" t="s">
        <v>87</v>
      </c>
      <c r="C40" s="112">
        <f>'2. Sources and Uses'!C17</f>
        <v>0.0</v>
      </c>
      <c r="D40" s="112">
        <f>'2. Sources and Uses'!D17</f>
        <v>0.0</v>
      </c>
      <c r="E40" s="113">
        <f>'2. Sources and Uses'!E17</f>
        <v>0.0</v>
      </c>
      <c r="F40" s="113">
        <f>'2. Sources and Uses'!F17</f>
        <v>0.0</v>
      </c>
      <c r="G40" s="112">
        <f>'2. Sources and Uses'!G17</f>
        <v>0.0</v>
      </c>
      <c r="H40" s="114">
        <f>'2. Sources and Uses'!H17</f>
        <v>25.0</v>
      </c>
      <c r="I40" s="115">
        <f>'2. Sources and Uses'!I17</f>
        <v>0.0</v>
      </c>
      <c r="J40" s="116">
        <f>'2. Sources and Uses'!J17</f>
        <v>0.0</v>
      </c>
      <c r="K40" s="123" t="s">
        <v>88</v>
      </c>
      <c r="L40" s="5"/>
      <c r="M40" s="117" t="s">
        <v>87</v>
      </c>
      <c r="N40" s="119">
        <f>'2. Sources and Uses'!N17</f>
        <v>0.0</v>
      </c>
      <c r="O40" s="118">
        <f>'2. Sources and Uses'!O17</f>
        <v>0.0</v>
      </c>
      <c r="P40" s="119">
        <f>'2. Sources and Uses'!P17</f>
        <v>0.0</v>
      </c>
      <c r="Q40" s="119">
        <f>'2. Sources and Uses'!Q17</f>
        <v>0.0</v>
      </c>
      <c r="R40" s="118">
        <f>'2. Sources and Uses'!R17</f>
        <v>0.0</v>
      </c>
      <c r="S40" s="124" t="s">
        <v>88</v>
      </c>
      <c r="T40" s="5"/>
    </row>
    <row r="41" customHeight="1" ht="17.0">
      <c r="A41" s="5"/>
      <c r="B41" s="111" t="s">
        <v>89</v>
      </c>
      <c r="C41" s="112">
        <f>'2. Sources and Uses'!C18</f>
        <v>0.0</v>
      </c>
      <c r="D41" s="113">
        <f>'2. Sources and Uses'!D18</f>
        <v>0.0</v>
      </c>
      <c r="E41" s="113">
        <f>'2. Sources and Uses'!E18</f>
        <v>0.0</v>
      </c>
      <c r="F41" s="113">
        <f>'2. Sources and Uses'!F18</f>
        <v>0.0</v>
      </c>
      <c r="G41" s="112">
        <f>'2. Sources and Uses'!G18</f>
        <v>0.0</v>
      </c>
      <c r="H41" s="114">
        <f>'2. Sources and Uses'!H18</f>
        <v>25.0</v>
      </c>
      <c r="I41" s="115">
        <f>'2. Sources and Uses'!I18</f>
        <v>0.0</v>
      </c>
      <c r="J41" s="116">
        <f>'2. Sources and Uses'!J18</f>
        <v>0.0</v>
      </c>
      <c r="K41" s="125">
        <v>0.1</v>
      </c>
      <c r="L41" s="5"/>
      <c r="M41" s="117" t="s">
        <v>89</v>
      </c>
      <c r="N41" s="118">
        <f>'2. Sources and Uses'!N18</f>
        <v>0.0</v>
      </c>
      <c r="O41" s="119">
        <f>'2. Sources and Uses'!O18</f>
        <v>0.0</v>
      </c>
      <c r="P41" s="119">
        <f>'2. Sources and Uses'!P18</f>
        <v>0.0</v>
      </c>
      <c r="Q41" s="119">
        <f>'2. Sources and Uses'!Q18</f>
        <v>0.0</v>
      </c>
      <c r="R41" s="118">
        <f>'2. Sources and Uses'!R18</f>
        <v>0.0</v>
      </c>
      <c r="S41" s="126">
        <f>'2. Sources and Uses'!S18</f>
        <v>0.1</v>
      </c>
      <c r="T41" s="5"/>
    </row>
    <row r="42" customHeight="1" ht="17.0">
      <c r="A42" s="5"/>
      <c r="B42" s="121" t="s">
        <v>90</v>
      </c>
      <c r="C42" s="112">
        <f>'2. Sources and Uses'!C19</f>
        <v>0.0</v>
      </c>
      <c r="D42" s="113">
        <f>'2. Sources and Uses'!D19</f>
        <v>0.0</v>
      </c>
      <c r="E42" s="113">
        <f>'2. Sources and Uses'!E19</f>
        <v>0.0</v>
      </c>
      <c r="F42" s="113">
        <f>'2. Sources and Uses'!F19</f>
        <v>0.0</v>
      </c>
      <c r="G42" s="113">
        <f>'2. Sources and Uses'!G19</f>
        <v>0.0</v>
      </c>
      <c r="H42" s="114">
        <f>'2. Sources and Uses'!H19</f>
        <v>25.0</v>
      </c>
      <c r="I42" s="115">
        <f>'2. Sources and Uses'!I19</f>
        <v>0.0</v>
      </c>
      <c r="J42" s="116">
        <f>'2. Sources and Uses'!J19</f>
        <v>0.0</v>
      </c>
      <c r="K42" s="27"/>
      <c r="L42" s="5"/>
      <c r="M42" s="122" t="s">
        <v>90</v>
      </c>
      <c r="N42" s="118">
        <f>'2. Sources and Uses'!N19</f>
        <v>0.0</v>
      </c>
      <c r="O42" s="119">
        <f>'2. Sources and Uses'!O19</f>
        <v>0.0</v>
      </c>
      <c r="P42" s="119">
        <f>'2. Sources and Uses'!P19</f>
        <v>0.0</v>
      </c>
      <c r="Q42" s="119">
        <f>'2. Sources and Uses'!Q19</f>
        <v>0.0</v>
      </c>
      <c r="R42" s="119">
        <f>'2. Sources and Uses'!R19</f>
        <v>0.0</v>
      </c>
      <c r="S42" s="38"/>
      <c r="T42" s="5"/>
    </row>
    <row r="43" customHeight="1" ht="17.0">
      <c r="A43" s="5"/>
      <c r="B43" s="127" t="s">
        <v>91</v>
      </c>
      <c r="C43" s="112">
        <f>'2. Sources and Uses'!C20</f>
        <v>0.0</v>
      </c>
      <c r="D43" s="113">
        <f>'2. Sources and Uses'!D20</f>
        <v>0.0</v>
      </c>
      <c r="E43" s="113">
        <f>'2. Sources and Uses'!E20</f>
        <v>0.0</v>
      </c>
      <c r="F43" s="113">
        <f>'2. Sources and Uses'!F20</f>
        <v>0.0</v>
      </c>
      <c r="G43" s="113">
        <f>'2. Sources and Uses'!G20</f>
        <v>0.0</v>
      </c>
      <c r="H43" s="114">
        <f>'2. Sources and Uses'!H20</f>
        <v>10.0</v>
      </c>
      <c r="I43" s="115">
        <f>'2. Sources and Uses'!I20</f>
        <v>0.0</v>
      </c>
      <c r="J43" s="116">
        <f>'2. Sources and Uses'!J20</f>
        <v>0.0</v>
      </c>
      <c r="K43" s="27"/>
      <c r="L43" s="5"/>
      <c r="M43" s="128" t="s">
        <v>91</v>
      </c>
      <c r="N43" s="118">
        <f>'2. Sources and Uses'!N20</f>
        <v>0.0</v>
      </c>
      <c r="O43" s="119">
        <f>'2. Sources and Uses'!O20</f>
        <v>0.0</v>
      </c>
      <c r="P43" s="119">
        <f>'2. Sources and Uses'!P20</f>
        <v>0.0</v>
      </c>
      <c r="Q43" s="119">
        <f>'2. Sources and Uses'!Q20</f>
        <v>0.0</v>
      </c>
      <c r="R43" s="119">
        <f>'2. Sources and Uses'!R20</f>
        <v>0.0</v>
      </c>
      <c r="S43" s="38"/>
      <c r="T43" s="5"/>
    </row>
    <row r="44" customHeight="1" ht="17.0">
      <c r="A44" s="5"/>
      <c r="B44" s="127" t="s">
        <v>92</v>
      </c>
      <c r="C44" s="112">
        <f>'2. Sources and Uses'!C21</f>
        <v>0.0</v>
      </c>
      <c r="D44" s="112">
        <f>'2. Sources and Uses'!D21</f>
        <v>0.0</v>
      </c>
      <c r="E44" s="41">
        <f>'2. Sources and Uses'!E21</f>
      </c>
      <c r="F44" s="41">
        <f>'2. Sources and Uses'!F21</f>
      </c>
      <c r="G44" s="112">
        <f>'2. Sources and Uses'!G21</f>
        <v>0.0</v>
      </c>
      <c r="H44" s="114">
        <f>'2. Sources and Uses'!H21</f>
        <v>10.0</v>
      </c>
      <c r="I44" s="115">
        <f>'2. Sources and Uses'!I21</f>
        <v>0.0</v>
      </c>
      <c r="J44" s="129">
        <f>'2. Sources and Uses'!J21</f>
        <v>0.0</v>
      </c>
      <c r="K44" s="27"/>
      <c r="L44" s="5"/>
      <c r="M44" s="128" t="s">
        <v>92</v>
      </c>
      <c r="N44" s="119">
        <f>'2. Sources and Uses'!N21</f>
        <v>0.0</v>
      </c>
      <c r="O44" s="118">
        <f>'2. Sources and Uses'!O21</f>
        <v>0.0</v>
      </c>
      <c r="P44" s="59">
        <f>'2. Sources and Uses'!P21</f>
      </c>
      <c r="Q44" s="59">
        <f>'2. Sources and Uses'!Q21</f>
      </c>
      <c r="R44" s="130">
        <f>'2. Sources and Uses'!R21</f>
      </c>
      <c r="S44" s="38"/>
      <c r="T44" s="5"/>
    </row>
    <row r="45" customHeight="1" ht="17.0">
      <c r="A45" s="5"/>
      <c r="B45" s="131"/>
      <c r="C45" s="132">
        <f>'2. Sources and Uses'!C22</f>
        <v>0.0</v>
      </c>
      <c r="D45" s="132">
        <f>'2. Sources and Uses'!D22</f>
        <v>0.0</v>
      </c>
      <c r="E45" s="132">
        <f>'2. Sources and Uses'!E22</f>
        <v>0.0</v>
      </c>
      <c r="F45" s="132">
        <f>'2. Sources and Uses'!F22</f>
        <v>0.0</v>
      </c>
      <c r="G45" s="132">
        <f>'2. Sources and Uses'!G22</f>
        <v>0.0</v>
      </c>
      <c r="H45" s="133">
        <f>'2. Sources and Uses'!H22</f>
      </c>
      <c r="I45" s="134" t="s">
        <f>'2. Sources and Uses'!I22</f>
        <v>93</v>
      </c>
      <c r="J45" s="135">
        <f>'2. Sources and Uses'!J22</f>
        <v>0.0</v>
      </c>
      <c r="K45" s="27"/>
      <c r="L45" s="5"/>
      <c r="M45" s="136"/>
      <c r="N45" s="137">
        <f>'2. Sources and Uses'!N22</f>
        <v>0.0</v>
      </c>
      <c r="O45" s="137">
        <f>'2. Sources and Uses'!O22</f>
        <v>0.0</v>
      </c>
      <c r="P45" s="137">
        <f>'2. Sources and Uses'!P22</f>
        <v>0.0</v>
      </c>
      <c r="Q45" s="137">
        <f>'2. Sources and Uses'!Q22</f>
        <v>0.0</v>
      </c>
      <c r="R45" s="137">
        <f>'2. Sources and Uses'!R22</f>
        <v>0.0</v>
      </c>
      <c r="S45" s="38"/>
      <c r="T45" s="5"/>
    </row>
    <row r="46" customHeight="1" ht="17.0">
      <c r="A46" s="5"/>
      <c r="B46" s="96"/>
      <c r="C46" s="115">
        <f>'2. Sources and Uses'!C23</f>
        <v>0.0</v>
      </c>
      <c r="D46" s="115">
        <f>'2. Sources and Uses'!D23</f>
        <v>0.0</v>
      </c>
      <c r="E46" s="115">
        <f>'2. Sources and Uses'!E23</f>
        <v>0.0</v>
      </c>
      <c r="F46" s="115">
        <f>'2. Sources and Uses'!F23</f>
        <v>0.0</v>
      </c>
      <c r="G46" s="115">
        <f>'2. Sources and Uses'!G23</f>
        <v>0.0</v>
      </c>
      <c r="H46" s="26"/>
      <c r="I46" s="26"/>
      <c r="J46" s="26"/>
      <c r="K46" s="27"/>
      <c r="L46" s="5"/>
      <c r="M46" s="98"/>
      <c r="N46" s="138">
        <f>'2. Sources and Uses'!N23</f>
        <v>0.0</v>
      </c>
      <c r="O46" s="138">
        <f>'2. Sources and Uses'!O23</f>
        <v>0.0</v>
      </c>
      <c r="P46" s="138">
        <f>'2. Sources and Uses'!P23</f>
        <v>0.0</v>
      </c>
      <c r="Q46" s="138">
        <f>'2. Sources and Uses'!Q23</f>
        <v>0.0</v>
      </c>
      <c r="R46" s="138">
        <f>'2. Sources and Uses'!R23</f>
        <v>0.0</v>
      </c>
      <c r="S46" s="38"/>
      <c r="T46" s="5"/>
    </row>
    <row r="47" customHeight="1" ht="17.0">
      <c r="A47" s="5"/>
      <c r="B47" s="89"/>
      <c r="C47" s="90"/>
      <c r="D47" s="90"/>
      <c r="E47" s="90"/>
      <c r="F47" s="90"/>
      <c r="G47" s="90"/>
      <c r="H47" s="90"/>
      <c r="I47" s="90"/>
      <c r="J47" s="90"/>
      <c r="K47" s="92"/>
      <c r="L47" s="5"/>
      <c r="M47" s="72"/>
      <c r="N47" s="73"/>
      <c r="O47" s="73"/>
      <c r="P47" s="73"/>
      <c r="Q47" s="73"/>
      <c r="R47" s="73"/>
      <c r="S47" s="74"/>
      <c r="T47" s="5"/>
    </row>
    <row r="48" customHeight="1" ht="17.0">
      <c r="A48" s="5"/>
      <c r="B48" s="5"/>
      <c r="C48" s="5"/>
      <c r="D48" s="5"/>
      <c r="E48" s="5"/>
      <c r="F48" s="5"/>
      <c r="G48" s="5"/>
      <c r="H48" s="5"/>
      <c r="I48" s="5"/>
      <c r="J48" s="5"/>
      <c r="K48" s="5"/>
      <c r="L48" s="5"/>
      <c r="M48" s="5"/>
      <c r="N48" s="5"/>
      <c r="O48" s="5"/>
      <c r="P48" s="5"/>
      <c r="Q48" s="5"/>
      <c r="R48" s="5"/>
      <c r="S48" s="5"/>
    </row>
    <row r="49" customHeight="1" ht="17.0">
      <c r="A49" s="5"/>
      <c r="B49" s="5"/>
      <c r="C49" s="5"/>
      <c r="D49" s="5"/>
      <c r="E49" s="5"/>
      <c r="F49" s="5"/>
      <c r="G49" s="5"/>
      <c r="H49" s="5"/>
      <c r="I49" s="5"/>
      <c r="J49" s="5"/>
      <c r="K49" s="5"/>
      <c r="L49" s="5"/>
      <c r="M49" s="5"/>
      <c r="N49" s="5"/>
      <c r="O49" s="5"/>
      <c r="P49" s="5"/>
      <c r="Q49" s="5"/>
      <c r="R49" s="5"/>
      <c r="T49" s="5"/>
    </row>
    <row r="50" customHeight="1" ht="17.0">
      <c r="A50" s="5"/>
      <c r="B50" s="6"/>
      <c r="C50" s="6"/>
      <c r="D50" s="6"/>
      <c r="E50" s="6"/>
      <c r="F50" s="6"/>
      <c r="G50" s="6"/>
      <c r="H50" s="6"/>
      <c r="I50" s="6"/>
      <c r="J50" s="6"/>
      <c r="K50" s="6"/>
      <c r="L50" s="5"/>
      <c r="T50" s="5"/>
    </row>
    <row r="51" customHeight="1" ht="17.0">
      <c r="A51" s="5"/>
      <c r="B51" s="6"/>
      <c r="C51" s="6"/>
      <c r="D51" s="6"/>
      <c r="E51" s="6"/>
      <c r="F51" s="6"/>
      <c r="G51" s="6"/>
      <c r="H51" s="6"/>
      <c r="I51" s="6"/>
      <c r="J51" s="6"/>
      <c r="K51" s="6"/>
      <c r="L51" s="5"/>
      <c r="T51" s="5"/>
    </row>
    <row r="52" customHeight="1" ht="17.0">
      <c r="A52" s="5"/>
      <c r="B52" s="6"/>
      <c r="C52" s="6"/>
      <c r="D52" s="6"/>
      <c r="E52" s="6"/>
      <c r="F52" s="6"/>
      <c r="G52" s="6"/>
      <c r="H52" s="6"/>
      <c r="I52" s="6"/>
      <c r="J52" s="6"/>
      <c r="K52" s="6"/>
      <c r="L52" s="5"/>
      <c r="T52" s="5"/>
    </row>
    <row r="53" customHeight="1" ht="17.0">
      <c r="A53" s="5"/>
      <c r="B53" s="6"/>
      <c r="C53" s="6"/>
      <c r="D53" s="6"/>
      <c r="E53" s="6"/>
      <c r="F53" s="6"/>
      <c r="G53" s="6"/>
      <c r="H53" s="6"/>
      <c r="I53" s="6"/>
      <c r="J53" s="6"/>
      <c r="K53" s="6"/>
      <c r="L53" s="5"/>
      <c r="T53" s="5"/>
    </row>
    <row r="54" customHeight="1" ht="17.0">
      <c r="A54" s="5"/>
      <c r="B54" s="6"/>
      <c r="C54" s="6"/>
      <c r="D54" s="6"/>
      <c r="E54" s="6"/>
      <c r="F54" s="6"/>
      <c r="G54" s="6"/>
      <c r="H54" s="6"/>
      <c r="I54" s="6"/>
      <c r="J54" s="6"/>
      <c r="K54" s="6"/>
      <c r="L54" s="5"/>
      <c r="T54" s="5"/>
    </row>
    <row r="55" customHeight="1" ht="17.0">
      <c r="A55" s="5"/>
      <c r="B55" s="6"/>
      <c r="C55" s="6"/>
      <c r="D55" s="6"/>
      <c r="E55" s="6"/>
      <c r="F55" s="6"/>
      <c r="G55" s="6"/>
      <c r="H55" s="6"/>
      <c r="I55" s="6"/>
      <c r="J55" s="6"/>
      <c r="K55" s="6"/>
      <c r="L55" s="5"/>
      <c r="T55" s="5"/>
    </row>
    <row r="56" customHeight="1" ht="17.0">
      <c r="A56" s="5"/>
      <c r="B56" s="6"/>
      <c r="C56" s="6"/>
      <c r="D56" s="6"/>
      <c r="E56" s="6"/>
      <c r="F56" s="6"/>
      <c r="G56" s="6"/>
      <c r="H56" s="6"/>
      <c r="I56" s="6"/>
      <c r="J56" s="6"/>
      <c r="K56" s="6"/>
      <c r="L56" s="5"/>
      <c r="T56" s="5"/>
    </row>
    <row r="57" customHeight="1" ht="17.0">
      <c r="A57" s="5"/>
      <c r="B57" s="6"/>
      <c r="C57" s="6"/>
      <c r="D57" s="6"/>
      <c r="E57" s="6"/>
      <c r="F57" s="6"/>
      <c r="G57" s="6"/>
      <c r="H57" s="6"/>
      <c r="I57" s="6"/>
      <c r="J57" s="6"/>
      <c r="K57" s="6"/>
      <c r="L57" s="5"/>
      <c r="M57" s="5"/>
      <c r="N57" s="5"/>
      <c r="O57" s="5"/>
      <c r="P57" s="5"/>
      <c r="Q57" s="5"/>
      <c r="R57" s="5"/>
      <c r="S57" s="5"/>
    </row>
    <row r="58" customHeight="1" ht="17.0">
      <c r="A58" s="5"/>
      <c r="B58" s="6"/>
      <c r="C58" s="6"/>
      <c r="D58" s="6"/>
      <c r="E58" s="6"/>
      <c r="F58" s="6"/>
      <c r="G58" s="6"/>
      <c r="H58" s="6"/>
      <c r="I58" s="6"/>
      <c r="J58" s="6"/>
      <c r="K58" s="6"/>
      <c r="L58" s="5"/>
    </row>
    <row r="59" customHeight="1" ht="17.0">
      <c r="A59" s="5"/>
      <c r="B59" s="6"/>
      <c r="C59" s="6"/>
      <c r="D59" s="6"/>
      <c r="E59" s="6"/>
      <c r="F59" s="6"/>
      <c r="G59" s="6"/>
      <c r="H59" s="6"/>
      <c r="I59" s="6"/>
      <c r="J59" s="6"/>
      <c r="K59" s="6"/>
      <c r="L59" s="5"/>
    </row>
    <row r="60" customHeight="1" ht="17.0">
      <c r="A60" s="5"/>
      <c r="B60" s="6"/>
      <c r="C60" s="6"/>
      <c r="D60" s="6"/>
      <c r="E60" s="6"/>
      <c r="F60" s="6"/>
      <c r="G60" s="6"/>
      <c r="H60" s="6"/>
      <c r="I60" s="6"/>
      <c r="J60" s="6"/>
      <c r="K60" s="6"/>
      <c r="L60" s="5"/>
    </row>
    <row r="61" customHeight="1" ht="17.0">
      <c r="A61" s="5"/>
      <c r="B61" s="6"/>
      <c r="C61" s="6"/>
      <c r="D61" s="6"/>
      <c r="E61" s="6"/>
      <c r="F61" s="6"/>
      <c r="G61" s="6"/>
      <c r="H61" s="6"/>
      <c r="I61" s="6"/>
      <c r="J61" s="6"/>
      <c r="K61" s="6"/>
      <c r="L61" s="5"/>
    </row>
    <row r="62" customHeight="1" ht="17.0">
      <c r="A62" s="5"/>
      <c r="B62" s="6"/>
      <c r="C62" s="6"/>
      <c r="D62" s="6"/>
      <c r="E62" s="6"/>
      <c r="F62" s="6"/>
      <c r="G62" s="6"/>
      <c r="H62" s="6"/>
      <c r="I62" s="6"/>
      <c r="J62" s="6"/>
      <c r="K62" s="6"/>
      <c r="L62" s="5"/>
    </row>
    <row r="63" customHeight="1" ht="17.0">
      <c r="A63" s="5"/>
      <c r="B63" s="6"/>
      <c r="C63" s="6"/>
      <c r="D63" s="6"/>
      <c r="E63" s="6"/>
      <c r="F63" s="6"/>
      <c r="G63" s="6"/>
      <c r="H63" s="6"/>
      <c r="I63" s="6"/>
      <c r="J63" s="6"/>
      <c r="K63" s="6"/>
      <c r="L63" s="5"/>
    </row>
    <row r="64" customHeight="1" ht="17.0">
      <c r="A64" s="5"/>
      <c r="B64" s="6"/>
      <c r="C64" s="6"/>
      <c r="D64" s="6"/>
      <c r="E64" s="6"/>
      <c r="F64" s="6"/>
      <c r="G64" s="6"/>
      <c r="H64" s="6"/>
      <c r="I64" s="6"/>
      <c r="J64" s="6"/>
      <c r="K64" s="6"/>
      <c r="L64" s="5"/>
    </row>
    <row r="65" customHeight="1" ht="17.0">
      <c r="A65" s="5"/>
      <c r="B65" s="6"/>
      <c r="C65" s="6"/>
      <c r="D65" s="6"/>
      <c r="E65" s="6"/>
      <c r="F65" s="6"/>
      <c r="G65" s="6"/>
      <c r="H65" s="6"/>
      <c r="I65" s="6"/>
      <c r="J65" s="6"/>
      <c r="K65" s="6"/>
      <c r="L65" s="5"/>
    </row>
    <row r="66" customHeight="1" ht="17.0">
      <c r="A66" s="5"/>
      <c r="B66" s="6"/>
      <c r="C66" s="6"/>
      <c r="D66" s="6"/>
      <c r="E66" s="6"/>
      <c r="F66" s="6"/>
      <c r="G66" s="6"/>
      <c r="H66" s="6"/>
      <c r="I66" s="6"/>
      <c r="J66" s="6"/>
      <c r="K66" s="6"/>
      <c r="L66" s="5"/>
    </row>
    <row r="67" customHeight="1" ht="17.0">
      <c r="A67" s="5"/>
      <c r="B67" s="6"/>
      <c r="C67" s="6"/>
      <c r="D67" s="6"/>
      <c r="E67" s="6"/>
      <c r="F67" s="6"/>
      <c r="G67" s="6"/>
      <c r="H67" s="6"/>
      <c r="I67" s="6"/>
      <c r="J67" s="6"/>
      <c r="K67" s="6"/>
      <c r="L67" s="5"/>
    </row>
    <row r="68" customHeight="1" ht="17.0">
      <c r="A68" s="5"/>
      <c r="B68" s="6"/>
      <c r="C68" s="6"/>
      <c r="D68" s="6"/>
      <c r="E68" s="6"/>
      <c r="F68" s="6"/>
      <c r="G68" s="6"/>
      <c r="H68" s="6"/>
      <c r="I68" s="6"/>
      <c r="J68" s="6"/>
      <c r="K68" s="6"/>
      <c r="L68" s="5"/>
    </row>
    <row r="69" customHeight="1" ht="17.0">
      <c r="A69" s="5"/>
      <c r="B69" s="6"/>
      <c r="C69" s="6"/>
      <c r="D69" s="6"/>
      <c r="E69" s="6"/>
      <c r="F69" s="6"/>
      <c r="G69" s="6"/>
      <c r="H69" s="6"/>
      <c r="I69" s="6"/>
      <c r="J69" s="6"/>
      <c r="K69" s="6"/>
      <c r="L69" s="5"/>
    </row>
    <row r="70" customHeight="1" ht="17.0">
      <c r="A70" s="5"/>
      <c r="B70" s="6"/>
      <c r="C70" s="6"/>
      <c r="D70" s="6"/>
      <c r="E70" s="6"/>
      <c r="F70" s="6"/>
      <c r="G70" s="6"/>
      <c r="H70" s="6"/>
      <c r="I70" s="6"/>
      <c r="J70" s="6"/>
      <c r="K70" s="6"/>
      <c r="L70" s="5"/>
    </row>
    <row r="71" customHeight="1" ht="17.0">
      <c r="A71" s="5"/>
      <c r="B71" s="6"/>
      <c r="C71" s="6"/>
      <c r="D71" s="6"/>
      <c r="E71" s="6"/>
      <c r="F71" s="6"/>
      <c r="G71" s="6"/>
      <c r="H71" s="6"/>
      <c r="I71" s="6"/>
      <c r="J71" s="6"/>
      <c r="K71" s="6"/>
      <c r="L71" s="5"/>
    </row>
    <row r="72" customHeight="1" ht="17.0">
      <c r="A72" s="5"/>
      <c r="B72" s="6"/>
      <c r="C72" s="6"/>
      <c r="D72" s="6"/>
      <c r="E72" s="6"/>
      <c r="F72" s="6"/>
      <c r="G72" s="6"/>
      <c r="H72" s="6"/>
      <c r="I72" s="6"/>
      <c r="J72" s="6"/>
      <c r="K72" s="6"/>
      <c r="L72" s="5"/>
    </row>
    <row r="73" customHeight="1" ht="17.0">
      <c r="A73" s="5"/>
      <c r="B73" s="6"/>
      <c r="C73" s="6"/>
      <c r="D73" s="6"/>
      <c r="E73" s="6"/>
      <c r="F73" s="6"/>
      <c r="G73" s="6"/>
      <c r="H73" s="6"/>
      <c r="I73" s="6"/>
      <c r="J73" s="6"/>
      <c r="K73" s="6"/>
      <c r="L73" s="5"/>
    </row>
    <row r="74" customHeight="1" ht="17.0">
      <c r="A74" s="5"/>
      <c r="B74" s="6"/>
      <c r="C74" s="6"/>
      <c r="D74" s="6"/>
      <c r="E74" s="6"/>
      <c r="F74" s="6"/>
      <c r="G74" s="6"/>
      <c r="H74" s="6"/>
      <c r="I74" s="6"/>
      <c r="J74" s="6"/>
      <c r="K74" s="6"/>
      <c r="L74" s="5"/>
    </row>
    <row r="75" customHeight="1" ht="17.0">
      <c r="A75" s="5"/>
      <c r="B75" s="6"/>
      <c r="C75" s="6"/>
      <c r="D75" s="6"/>
      <c r="E75" s="6"/>
      <c r="F75" s="6"/>
      <c r="G75" s="6"/>
      <c r="H75" s="6"/>
      <c r="I75" s="6"/>
      <c r="J75" s="6"/>
      <c r="K75" s="6"/>
      <c r="L75" s="5"/>
    </row>
    <row r="76" customHeight="1" ht="17.0">
      <c r="A76" s="5"/>
      <c r="B76" s="6"/>
      <c r="C76" s="6"/>
      <c r="D76" s="6"/>
      <c r="E76" s="6"/>
      <c r="F76" s="6"/>
      <c r="G76" s="6"/>
      <c r="H76" s="6"/>
      <c r="I76" s="6"/>
      <c r="J76" s="6"/>
      <c r="K76" s="6"/>
      <c r="L76" s="5"/>
    </row>
    <row r="77" customHeight="1" ht="17.0">
      <c r="A77" s="5"/>
      <c r="B77" s="6"/>
      <c r="C77" s="6"/>
      <c r="D77" s="6"/>
      <c r="E77" s="6"/>
      <c r="F77" s="6"/>
      <c r="G77" s="6"/>
      <c r="H77" s="6"/>
      <c r="I77" s="6"/>
      <c r="J77" s="6"/>
      <c r="K77" s="6"/>
      <c r="L77" s="5"/>
    </row>
    <row r="78" customHeight="1" ht="17.0">
      <c r="A78" s="5"/>
      <c r="B78" s="6"/>
      <c r="C78" s="6"/>
      <c r="D78" s="6"/>
      <c r="E78" s="6"/>
      <c r="F78" s="6"/>
      <c r="G78" s="6"/>
      <c r="H78" s="6"/>
      <c r="I78" s="6"/>
      <c r="J78" s="6"/>
      <c r="K78" s="6"/>
      <c r="L78" s="5"/>
    </row>
    <row r="79" customHeight="1" ht="17.0">
      <c r="A79" s="5"/>
      <c r="B79" s="6"/>
      <c r="C79" s="6"/>
      <c r="D79" s="6"/>
      <c r="E79" s="6"/>
      <c r="F79" s="6"/>
      <c r="G79" s="6"/>
      <c r="H79" s="6"/>
      <c r="I79" s="6"/>
      <c r="J79" s="6"/>
      <c r="K79" s="6"/>
      <c r="L79" s="5"/>
    </row>
    <row r="80" customHeight="1" ht="17.0">
      <c r="A80" s="5"/>
      <c r="B80" s="6"/>
      <c r="C80" s="6"/>
      <c r="D80" s="6"/>
      <c r="E80" s="6"/>
      <c r="F80" s="6"/>
      <c r="G80" s="6"/>
      <c r="H80" s="6"/>
      <c r="I80" s="6"/>
      <c r="J80" s="6"/>
      <c r="K80" s="6"/>
      <c r="L80" s="5"/>
    </row>
    <row r="81" customHeight="1" ht="17.0">
      <c r="A81" s="5"/>
      <c r="B81" s="6"/>
      <c r="C81" s="6"/>
      <c r="D81" s="6"/>
      <c r="E81" s="6"/>
      <c r="F81" s="6"/>
      <c r="G81" s="6"/>
      <c r="H81" s="6"/>
      <c r="I81" s="6"/>
      <c r="J81" s="6"/>
      <c r="K81" s="6"/>
      <c r="L81" s="5"/>
    </row>
    <row r="82" customHeight="1" ht="17.0">
      <c r="A82" s="5"/>
      <c r="B82" s="6"/>
      <c r="C82" s="6"/>
      <c r="D82" s="6"/>
      <c r="E82" s="6"/>
      <c r="F82" s="6"/>
      <c r="G82" s="6"/>
      <c r="H82" s="6"/>
      <c r="I82" s="6"/>
      <c r="J82" s="6"/>
      <c r="K82" s="6"/>
      <c r="L82" s="5"/>
    </row>
    <row r="83" customHeight="1" ht="17.0">
      <c r="A83" s="5"/>
      <c r="B83" s="6"/>
      <c r="C83" s="6"/>
      <c r="D83" s="6"/>
      <c r="E83" s="6"/>
      <c r="F83" s="6"/>
      <c r="G83" s="6"/>
      <c r="H83" s="6"/>
      <c r="I83" s="6"/>
      <c r="J83" s="6"/>
      <c r="K83" s="6"/>
      <c r="L83" s="5"/>
    </row>
    <row r="84" customHeight="1" ht="17.0">
      <c r="A84" s="5"/>
      <c r="B84" s="6"/>
      <c r="C84" s="6"/>
      <c r="D84" s="6"/>
      <c r="E84" s="6"/>
      <c r="F84" s="6"/>
      <c r="G84" s="6"/>
      <c r="H84" s="6"/>
      <c r="I84" s="6"/>
      <c r="J84" s="6"/>
      <c r="K84" s="6"/>
      <c r="L84" s="5"/>
    </row>
    <row r="85" customHeight="1" ht="17.0">
      <c r="A85" s="5"/>
      <c r="B85" s="6"/>
      <c r="C85" s="6"/>
      <c r="D85" s="6"/>
      <c r="E85" s="6"/>
      <c r="F85" s="6"/>
      <c r="G85" s="6"/>
      <c r="H85" s="6"/>
      <c r="I85" s="6"/>
      <c r="J85" s="6"/>
      <c r="K85" s="6"/>
      <c r="L85" s="5"/>
    </row>
    <row r="86" customHeight="1" ht="17.0">
      <c r="A86" s="5"/>
      <c r="B86" s="6"/>
      <c r="C86" s="6"/>
      <c r="D86" s="6"/>
      <c r="E86" s="6"/>
      <c r="F86" s="6"/>
      <c r="G86" s="6"/>
      <c r="H86" s="6"/>
      <c r="I86" s="6"/>
      <c r="J86" s="6"/>
      <c r="K86" s="6"/>
      <c r="L86" s="5"/>
    </row>
    <row r="87" customHeight="1" ht="17.0">
      <c r="A87" s="5"/>
      <c r="B87" s="6"/>
      <c r="C87" s="6"/>
      <c r="D87" s="6"/>
      <c r="E87" s="6"/>
      <c r="F87" s="6"/>
      <c r="G87" s="6"/>
      <c r="H87" s="6"/>
      <c r="I87" s="6"/>
      <c r="J87" s="6"/>
      <c r="K87" s="6"/>
      <c r="L87" s="5"/>
    </row>
    <row r="88" customHeight="1" ht="17.0">
      <c r="A88" s="5"/>
      <c r="B88" s="6"/>
      <c r="C88" s="6"/>
      <c r="D88" s="6"/>
      <c r="E88" s="6"/>
      <c r="F88" s="6"/>
      <c r="G88" s="6"/>
      <c r="H88" s="6"/>
      <c r="I88" s="6"/>
      <c r="J88" s="6"/>
      <c r="K88" s="6"/>
      <c r="L88" s="5"/>
    </row>
    <row r="89" customHeight="1" ht="17.0">
      <c r="A89" s="5"/>
      <c r="B89" s="6"/>
      <c r="C89" s="6"/>
      <c r="D89" s="6"/>
      <c r="E89" s="6"/>
      <c r="F89" s="6"/>
      <c r="G89" s="6"/>
      <c r="H89" s="6"/>
      <c r="I89" s="6"/>
      <c r="J89" s="6"/>
      <c r="K89" s="6"/>
      <c r="L89" s="5"/>
    </row>
    <row r="90" customHeight="1" ht="17.0">
      <c r="A90" s="5"/>
      <c r="B90" s="6"/>
      <c r="C90" s="6"/>
      <c r="D90" s="6"/>
      <c r="E90" s="6"/>
      <c r="F90" s="6"/>
      <c r="G90" s="6"/>
      <c r="H90" s="6"/>
      <c r="I90" s="6"/>
      <c r="J90" s="6"/>
      <c r="K90" s="6"/>
      <c r="L90" s="5"/>
    </row>
    <row r="91" customHeight="1" ht="17.0">
      <c r="A91" s="5"/>
      <c r="B91" s="6"/>
      <c r="C91" s="6"/>
      <c r="D91" s="6"/>
      <c r="E91" s="6"/>
      <c r="F91" s="6"/>
      <c r="G91" s="6"/>
      <c r="H91" s="6"/>
      <c r="I91" s="6"/>
      <c r="J91" s="6"/>
      <c r="K91" s="6"/>
      <c r="L91" s="5"/>
    </row>
    <row r="92" customHeight="1" ht="17.0">
      <c r="A92" s="5"/>
      <c r="B92" s="6"/>
      <c r="C92" s="6"/>
      <c r="D92" s="6"/>
      <c r="E92" s="6"/>
      <c r="F92" s="6"/>
      <c r="G92" s="6"/>
      <c r="H92" s="6"/>
      <c r="I92" s="6"/>
      <c r="J92" s="6"/>
      <c r="K92" s="6"/>
      <c r="L92" s="5"/>
    </row>
    <row r="93" customHeight="1" ht="17.0">
      <c r="A93" s="5"/>
      <c r="B93" s="6"/>
      <c r="C93" s="6"/>
      <c r="D93" s="6"/>
      <c r="E93" s="6"/>
      <c r="F93" s="6"/>
      <c r="G93" s="6"/>
      <c r="H93" s="6"/>
      <c r="I93" s="6"/>
      <c r="J93" s="6"/>
      <c r="K93" s="6"/>
      <c r="L93" s="5"/>
    </row>
    <row r="94" customHeight="1" ht="17.0">
      <c r="A94" s="5"/>
      <c r="B94" s="6"/>
      <c r="C94" s="6"/>
      <c r="D94" s="6"/>
      <c r="E94" s="6"/>
      <c r="F94" s="6"/>
      <c r="G94" s="6"/>
      <c r="H94" s="6"/>
      <c r="I94" s="6"/>
      <c r="J94" s="6"/>
      <c r="K94" s="6"/>
      <c r="L94" s="5"/>
    </row>
    <row r="95" customHeight="1" ht="17.0">
      <c r="A95" s="5"/>
      <c r="B95" s="6"/>
      <c r="C95" s="6"/>
      <c r="D95" s="6"/>
      <c r="E95" s="6"/>
      <c r="F95" s="6"/>
      <c r="G95" s="6"/>
      <c r="H95" s="6"/>
      <c r="I95" s="6"/>
      <c r="J95" s="6"/>
      <c r="K95" s="6"/>
      <c r="L95" s="5"/>
    </row>
    <row r="96" customHeight="1" ht="17.0">
      <c r="A96" s="5"/>
      <c r="B96" s="6"/>
      <c r="C96" s="6"/>
      <c r="D96" s="6"/>
      <c r="E96" s="6"/>
      <c r="F96" s="6"/>
      <c r="G96" s="6"/>
      <c r="H96" s="6"/>
      <c r="I96" s="6"/>
      <c r="J96" s="6"/>
      <c r="K96" s="6"/>
      <c r="L96" s="5"/>
    </row>
    <row r="97" customHeight="1" ht="17.0">
      <c r="A97" s="5"/>
      <c r="B97" s="6"/>
      <c r="C97" s="6"/>
      <c r="D97" s="6"/>
      <c r="E97" s="6"/>
      <c r="F97" s="6"/>
      <c r="G97" s="6"/>
      <c r="H97" s="6"/>
      <c r="I97" s="6"/>
      <c r="J97" s="6"/>
      <c r="K97" s="6"/>
      <c r="L97" s="5"/>
    </row>
    <row r="98" customHeight="1" ht="17.0">
      <c r="A98" s="5"/>
      <c r="B98" s="6"/>
      <c r="C98" s="6"/>
      <c r="D98" s="6"/>
      <c r="E98" s="6"/>
      <c r="F98" s="6"/>
      <c r="G98" s="6"/>
      <c r="H98" s="6"/>
      <c r="I98" s="6"/>
      <c r="J98" s="6"/>
      <c r="K98" s="6"/>
      <c r="L98" s="5"/>
    </row>
    <row r="99" customHeight="1" ht="17.0">
      <c r="A99" s="5"/>
      <c r="B99" s="6"/>
      <c r="C99" s="6"/>
      <c r="D99" s="6"/>
      <c r="E99" s="6"/>
      <c r="F99" s="6"/>
      <c r="G99" s="6"/>
      <c r="H99" s="6"/>
      <c r="I99" s="6"/>
      <c r="J99" s="6"/>
      <c r="K99" s="6"/>
      <c r="L99" s="5"/>
    </row>
    <row r="100" customHeight="1" ht="17.0">
      <c r="A100" s="5"/>
      <c r="B100" s="6"/>
      <c r="C100" s="6"/>
      <c r="D100" s="6"/>
      <c r="E100" s="6"/>
      <c r="F100" s="6"/>
      <c r="G100" s="6"/>
      <c r="H100" s="6"/>
      <c r="I100" s="6"/>
      <c r="J100" s="6"/>
      <c r="K100" s="6"/>
      <c r="L100" s="5"/>
    </row>
    <row r="101" customHeight="1" ht="17.0">
      <c r="A101" s="5"/>
      <c r="B101" s="6"/>
      <c r="C101" s="6"/>
      <c r="D101" s="6"/>
      <c r="E101" s="6"/>
      <c r="F101" s="6"/>
      <c r="G101" s="6"/>
      <c r="H101" s="6"/>
      <c r="I101" s="6"/>
      <c r="J101" s="6"/>
      <c r="K101" s="6"/>
      <c r="L101" s="5"/>
    </row>
    <row r="102" customHeight="1" ht="17.0">
      <c r="A102" s="5"/>
      <c r="B102" s="6"/>
      <c r="C102" s="6"/>
      <c r="D102" s="6"/>
      <c r="E102" s="6"/>
      <c r="F102" s="6"/>
      <c r="G102" s="6"/>
      <c r="H102" s="6"/>
      <c r="I102" s="6"/>
      <c r="J102" s="6"/>
      <c r="K102" s="6"/>
      <c r="L102" s="5"/>
    </row>
    <row r="103" customHeight="1" ht="17.0">
      <c r="A103" s="5"/>
      <c r="B103" s="6"/>
      <c r="C103" s="6"/>
      <c r="D103" s="6"/>
      <c r="E103" s="6"/>
      <c r="F103" s="6"/>
      <c r="G103" s="6"/>
      <c r="H103" s="6"/>
      <c r="I103" s="6"/>
      <c r="J103" s="6"/>
      <c r="K103" s="6"/>
      <c r="L103" s="5"/>
    </row>
    <row r="104" customHeight="1" ht="17.0">
      <c r="A104" s="5"/>
      <c r="B104" s="6"/>
      <c r="C104" s="6"/>
      <c r="D104" s="6"/>
      <c r="E104" s="6"/>
      <c r="F104" s="6"/>
      <c r="G104" s="6"/>
      <c r="H104" s="6"/>
      <c r="I104" s="6"/>
      <c r="J104" s="6"/>
      <c r="K104" s="6"/>
      <c r="L104" s="5"/>
    </row>
    <row r="105" customHeight="1" ht="17.0">
      <c r="A105" s="5"/>
      <c r="B105" s="6"/>
      <c r="C105" s="6"/>
      <c r="D105" s="6"/>
      <c r="E105" s="6"/>
      <c r="F105" s="6"/>
      <c r="G105" s="6"/>
      <c r="H105" s="6"/>
      <c r="I105" s="6"/>
      <c r="J105" s="6"/>
      <c r="K105" s="6"/>
      <c r="L105" s="5"/>
    </row>
    <row r="106" customHeight="1" ht="17.0">
      <c r="A106" s="5"/>
      <c r="B106" s="6"/>
      <c r="C106" s="6"/>
      <c r="D106" s="6"/>
      <c r="E106" s="6"/>
      <c r="F106" s="6"/>
      <c r="G106" s="6"/>
      <c r="H106" s="6"/>
      <c r="I106" s="6"/>
      <c r="J106" s="6"/>
      <c r="K106" s="6"/>
      <c r="L106" s="5"/>
    </row>
    <row r="107" customHeight="1" ht="17.0">
      <c r="A107" s="5"/>
      <c r="B107" s="6"/>
      <c r="C107" s="6"/>
      <c r="D107" s="6"/>
      <c r="E107" s="6"/>
      <c r="F107" s="6"/>
      <c r="G107" s="6"/>
      <c r="H107" s="6"/>
      <c r="I107" s="6"/>
      <c r="J107" s="6"/>
      <c r="K107" s="6"/>
      <c r="L107" s="5"/>
    </row>
    <row r="108" customHeight="1" ht="17.0">
      <c r="A108" s="5"/>
      <c r="B108" s="6"/>
      <c r="C108" s="6"/>
      <c r="D108" s="6"/>
      <c r="E108" s="6"/>
      <c r="F108" s="6"/>
      <c r="G108" s="6"/>
      <c r="H108" s="6"/>
      <c r="I108" s="6"/>
      <c r="J108" s="6"/>
      <c r="K108" s="6"/>
      <c r="L108" s="5"/>
    </row>
    <row r="109" customHeight="1" ht="17.0">
      <c r="A109" s="5"/>
      <c r="B109" s="6"/>
      <c r="C109" s="6"/>
      <c r="D109" s="6"/>
      <c r="E109" s="6"/>
      <c r="F109" s="6"/>
      <c r="G109" s="6"/>
      <c r="H109" s="6"/>
      <c r="I109" s="6"/>
      <c r="J109" s="6"/>
      <c r="K109" s="6"/>
      <c r="L109" s="5"/>
    </row>
    <row r="110" customHeight="1" ht="17.0">
      <c r="A110" s="5"/>
      <c r="B110" s="6"/>
      <c r="C110" s="6"/>
      <c r="D110" s="6"/>
      <c r="E110" s="6"/>
      <c r="F110" s="6"/>
      <c r="G110" s="6"/>
      <c r="H110" s="6"/>
      <c r="I110" s="6"/>
      <c r="J110" s="6"/>
      <c r="K110" s="6"/>
      <c r="L110" s="5"/>
    </row>
    <row r="111" customHeight="1" ht="17.0">
      <c r="A111" s="5"/>
      <c r="B111" s="6"/>
      <c r="C111" s="6"/>
      <c r="D111" s="6"/>
      <c r="E111" s="6"/>
      <c r="F111" s="6"/>
      <c r="G111" s="6"/>
      <c r="H111" s="6"/>
      <c r="I111" s="6"/>
      <c r="J111" s="6"/>
      <c r="K111" s="6"/>
      <c r="L111" s="5"/>
    </row>
    <row r="112" customHeight="1" ht="17.0">
      <c r="B112" s="5"/>
      <c r="C112" s="5"/>
      <c r="D112" s="5"/>
      <c r="E112" s="5"/>
      <c r="F112" s="5"/>
      <c r="G112" s="5"/>
      <c r="H112" s="5"/>
      <c r="I112" s="5"/>
      <c r="J112" s="5"/>
      <c r="K112" s="5"/>
    </row>
    <row r="113" customHeight="1" ht="17.0"/>
  </sheetData>
  <mergeCells count="37">
    <mergeCell ref="D104:E104"/>
    <mergeCell ref="B25:K25"/>
    <mergeCell ref="B4:K4"/>
    <mergeCell ref="B9:K9"/>
    <mergeCell ref="B5:K6"/>
    <mergeCell ref="B98:K98"/>
    <mergeCell ref="B99:E99"/>
    <mergeCell ref="B105:K105"/>
    <mergeCell ref="B97:E97"/>
    <mergeCell ref="B96:E96"/>
    <mergeCell ref="B93:K93"/>
    <mergeCell ref="B95:K95"/>
    <mergeCell ref="F59:G59"/>
    <mergeCell ref="F57:G57"/>
    <mergeCell ref="F58:G58"/>
    <mergeCell ref="F55:G55"/>
    <mergeCell ref="F99:H99"/>
    <mergeCell ref="F107:G107"/>
    <mergeCell ref="F110:G110"/>
    <mergeCell ref="F111:G111"/>
    <mergeCell ref="F109:G109"/>
    <mergeCell ref="F106:G106"/>
    <mergeCell ref="F108:G108"/>
    <mergeCell ref="E94:F94"/>
    <mergeCell ref="I23:J23"/>
    <mergeCell ref="J18:K18"/>
    <mergeCell ref="J12:K12"/>
    <mergeCell ref="J13:K13"/>
    <mergeCell ref="J19:K19"/>
    <mergeCell ref="J14:K14"/>
    <mergeCell ref="J21:K21"/>
    <mergeCell ref="J17:K17"/>
    <mergeCell ref="J16:K16"/>
    <mergeCell ref="J15:K15"/>
    <mergeCell ref="J20:K20"/>
    <mergeCell ref="I99:K99"/>
    <mergeCell ref="M9:S9"/>
  </mergeCells>
  <conditionalFormatting sqref="N44:R44">
    <cfRule dxfId="0" type="expression" priority="1">
      <formula>#REF!=504</formula>
    </cfRule>
  </conditionalFormatting>
  <dataValidations count="6">
    <dataValidation allowBlank="1" showErrorMessage="1" errorTitle="The value you entered is not valid." error="The value entered violates data validation rules set in cell" errorStyle="stop" type="list" sqref="C17:C17">
      <formula1>##REF!:$C$65</formula1>
    </dataValidation>
    <dataValidation allowBlank="1" showErrorMessage="1" errorTitle="The value you entered is not valid." error="The value entered violates data validation rules set in cell" errorStyle="stop" type="list" sqref="C12:C12">
      <formula1>##REF!:$B$9</formula1>
    </dataValidation>
    <dataValidation allowBlank="1" showErrorMessage="1" errorTitle="The value you entered is not valid." error="The value entered violates data validation rules set in cell" errorStyle="stop" type="list" sqref="C22:C22">
      <formula1>##REF!:$C$4</formula1>
    </dataValidation>
    <dataValidation allowBlank="1" operator="greaterThanOrEqual" showErrorMessage="1" errorTitle="The value you entered is not valid." error="The value entered violates data validation rules set in cell" errorStyle="stop" type="whole" sqref="C63:E76 E77:E77 C82:E90">
      <formula1>0</formula1>
    </dataValidation>
  </dataValidations>
  <legacyDrawing r:id="rId2"/>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S118"/>
  <sheetViews>
    <sheetView workbookViewId="0"/>
  </sheetViews>
  <sheetFormatPr defaultRowHeight="17.0" customHeight="1"/>
  <cols>
    <col min="1" max="1" width="10.59"/>
    <col min="2" max="2" width="41.47"/>
    <col min="3" max="3" width="22.65"/>
    <col min="4" max="4" width="9.93"/>
    <col min="5" max="5" width="17.35"/>
    <col min="6" max="6" width="14.83"/>
    <col min="7" max="7" width="20.93"/>
    <col min="8" max="8" width="14.83"/>
    <col min="9" max="9" width="30.34"/>
    <col min="10" max="10" width="22.25"/>
    <col min="11" max="11" width="17.09"/>
    <col min="12" max="12" style="5" width="10.73"/>
    <col min="13" max="13" style="5" width="36.96"/>
    <col min="14" max="14" width="11.52"/>
    <col min="15" max="16" width="21.46"/>
    <col min="17" max="17" width="12.05"/>
    <col min="18" max="18" width="11.39"/>
    <col min="19" max="20" width="21.46"/>
    <col min="21" max="21" width="31.66"/>
    <col min="22" max="22" width="21.46"/>
    <col min="23" max="23" width="10.59"/>
    <col min="24" max="2048" width="10.59"/>
  </cols>
  <sheetData>
    <row r="1" customHeight="1" ht="17.0">
      <c r="B1" s="6"/>
      <c r="C1" s="6"/>
      <c r="D1" s="6"/>
      <c r="E1" s="6"/>
      <c r="F1" s="6"/>
      <c r="G1" s="6"/>
      <c r="H1" s="6"/>
      <c r="I1" s="139"/>
      <c r="J1" s="139"/>
      <c r="K1" s="6"/>
      <c r="N1" s="5"/>
      <c r="O1" s="5"/>
      <c r="P1" s="5"/>
      <c r="Q1" s="5"/>
      <c r="R1" s="5"/>
      <c r="S1" s="5"/>
      <c r="T1" s="5"/>
    </row>
    <row r="2" customHeight="1" ht="17.0">
      <c r="A2" s="5"/>
      <c r="B2" s="18" t="s">
        <v>69</v>
      </c>
      <c r="C2" s="19"/>
      <c r="D2" s="19"/>
      <c r="E2" s="19"/>
      <c r="F2" s="19"/>
      <c r="G2" s="19"/>
      <c r="H2" s="19"/>
      <c r="I2" s="19"/>
      <c r="J2" s="19"/>
      <c r="K2" s="20"/>
      <c r="L2" s="6"/>
      <c r="M2" s="21" t="s">
        <v>70</v>
      </c>
      <c r="N2" s="140"/>
      <c r="O2" s="140"/>
      <c r="P2" s="140"/>
      <c r="Q2" s="140"/>
      <c r="R2" s="140"/>
      <c r="S2" s="141"/>
      <c r="T2" s="5"/>
      <c r="U2" s="5"/>
    </row>
    <row r="3" customHeight="1" ht="17.0">
      <c r="A3" s="5"/>
      <c r="B3" s="96"/>
      <c r="C3" s="26"/>
      <c r="D3" s="26"/>
      <c r="E3" s="26"/>
      <c r="F3" s="97"/>
      <c r="G3" s="26"/>
      <c r="H3" s="26"/>
      <c r="I3" s="26"/>
      <c r="J3" s="26"/>
      <c r="K3" s="27"/>
      <c r="L3" s="6"/>
      <c r="M3" s="98"/>
      <c r="N3" s="30"/>
      <c r="O3" s="30"/>
      <c r="P3" s="30"/>
      <c r="Q3" s="99"/>
      <c r="R3" s="30"/>
      <c r="S3" s="38"/>
      <c r="T3" s="5"/>
      <c r="U3" s="5"/>
    </row>
    <row r="4" customHeight="1" ht="17.0">
      <c r="A4" s="5"/>
      <c r="B4" s="100"/>
      <c r="C4" s="33" t="s">
        <v>38</v>
      </c>
      <c r="D4" s="33" t="s">
        <v>39</v>
      </c>
      <c r="E4" s="33" t="s">
        <v>40</v>
      </c>
      <c r="F4" s="33" t="s">
        <v>41</v>
      </c>
      <c r="G4" s="33" t="s">
        <v>71</v>
      </c>
      <c r="H4" s="33" t="s">
        <v>72</v>
      </c>
      <c r="I4" s="33" t="s">
        <v>73</v>
      </c>
      <c r="J4" s="101" t="s">
        <v>74</v>
      </c>
      <c r="K4" s="102"/>
      <c r="L4" s="6"/>
      <c r="M4" s="103"/>
      <c r="N4" s="36" t="s">
        <v>43</v>
      </c>
      <c r="O4" s="36" t="s">
        <v>39</v>
      </c>
      <c r="P4" s="36" t="s">
        <v>40</v>
      </c>
      <c r="Q4" s="36" t="s">
        <v>44</v>
      </c>
      <c r="R4" s="36" t="s">
        <v>71</v>
      </c>
      <c r="S4" s="104"/>
      <c r="T4" s="5"/>
      <c r="U4" s="5"/>
    </row>
    <row r="5" customHeight="1" ht="17.0">
      <c r="A5" s="5"/>
      <c r="B5" s="105" t="s">
        <v>75</v>
      </c>
      <c r="C5" s="106"/>
      <c r="D5" s="106"/>
      <c r="E5" s="106"/>
      <c r="F5" s="106"/>
      <c r="G5" s="106"/>
      <c r="H5" s="107"/>
      <c r="I5" s="107"/>
      <c r="J5" s="108"/>
      <c r="K5" s="27"/>
      <c r="L5" s="6"/>
      <c r="M5" s="109" t="s">
        <v>75</v>
      </c>
      <c r="N5" s="110"/>
      <c r="O5" s="110"/>
      <c r="P5" s="110"/>
      <c r="Q5" s="110"/>
      <c r="R5" s="110"/>
      <c r="S5" s="38"/>
      <c r="T5" s="5"/>
      <c r="U5" s="5"/>
    </row>
    <row r="6" customHeight="1" ht="17.0">
      <c r="A6" s="5"/>
      <c r="B6" s="111" t="s">
        <v>76</v>
      </c>
      <c r="C6" s="112">
        <f t="shared" ref="C6:C16" si="0">G6-SUM(D6:F6)</f>
        <v>0.0</v>
      </c>
      <c r="D6" s="113">
        <v>0.0</v>
      </c>
      <c r="E6" s="113">
        <v>0.0</v>
      </c>
      <c r="F6" s="113">
        <v>0.0</v>
      </c>
      <c r="G6" s="113">
        <v>0.0</v>
      </c>
      <c r="H6" s="114">
        <v>25.0</v>
      </c>
      <c r="I6" s="115">
        <f t="shared" ref="I6:I21" si="1">IF($C$22=0,0,C6/$C$22)</f>
        <v>0.0</v>
      </c>
      <c r="J6" s="116">
        <f t="shared" ref="J6:J21" si="2">H6*I6</f>
        <v>0.0</v>
      </c>
      <c r="K6" s="27"/>
      <c r="L6" s="6"/>
      <c r="M6" s="117" t="s">
        <v>76</v>
      </c>
      <c r="N6" s="118">
        <f t="shared" ref="N6:N16" si="3">R6-SUM(O6:Q6)</f>
        <v>0.0</v>
      </c>
      <c r="O6" s="119">
        <v>0.0</v>
      </c>
      <c r="P6" s="119">
        <v>0.0</v>
      </c>
      <c r="Q6" s="119">
        <v>0.0</v>
      </c>
      <c r="R6" s="119">
        <v>0.0</v>
      </c>
      <c r="S6" s="38"/>
      <c r="T6" s="5"/>
      <c r="U6" s="5"/>
    </row>
    <row r="7" customHeight="1" ht="17.0">
      <c r="A7" s="5"/>
      <c r="B7" s="111" t="s">
        <v>77</v>
      </c>
      <c r="C7" s="112">
        <f t="shared" si="0"/>
        <v>0.0</v>
      </c>
      <c r="D7" s="113">
        <v>0.0</v>
      </c>
      <c r="E7" s="113">
        <v>0.0</v>
      </c>
      <c r="F7" s="113">
        <v>0.0</v>
      </c>
      <c r="G7" s="113">
        <v>0.0</v>
      </c>
      <c r="H7" s="114">
        <v>25.0</v>
      </c>
      <c r="I7" s="115">
        <f t="shared" si="1"/>
        <v>0.0</v>
      </c>
      <c r="J7" s="116">
        <f t="shared" si="2"/>
        <v>0.0</v>
      </c>
      <c r="K7" s="27"/>
      <c r="M7" s="117" t="s">
        <v>77</v>
      </c>
      <c r="N7" s="118">
        <f t="shared" si="3"/>
        <v>0.0</v>
      </c>
      <c r="O7" s="119">
        <v>0.0</v>
      </c>
      <c r="P7" s="119">
        <v>0.0</v>
      </c>
      <c r="Q7" s="119">
        <v>0.0</v>
      </c>
      <c r="R7" s="119">
        <v>0.0</v>
      </c>
      <c r="S7" s="38"/>
      <c r="T7" s="5"/>
      <c r="U7" s="5"/>
    </row>
    <row r="8" customHeight="1" ht="17.0">
      <c r="A8" s="5"/>
      <c r="B8" s="111" t="s">
        <v>78</v>
      </c>
      <c r="C8" s="112">
        <f t="shared" si="0"/>
        <v>0.0</v>
      </c>
      <c r="D8" s="113">
        <v>0.0</v>
      </c>
      <c r="E8" s="113">
        <v>0.0</v>
      </c>
      <c r="F8" s="113">
        <v>0.0</v>
      </c>
      <c r="G8" s="113">
        <v>0.0</v>
      </c>
      <c r="H8" s="114">
        <v>10.0</v>
      </c>
      <c r="I8" s="115">
        <f t="shared" si="1"/>
        <v>0.0</v>
      </c>
      <c r="J8" s="116">
        <f t="shared" si="2"/>
        <v>0.0</v>
      </c>
      <c r="K8" s="27"/>
      <c r="M8" s="117" t="s">
        <v>78</v>
      </c>
      <c r="N8" s="118">
        <f t="shared" si="3"/>
        <v>0.0</v>
      </c>
      <c r="O8" s="119">
        <v>0.0</v>
      </c>
      <c r="P8" s="119">
        <v>0.0</v>
      </c>
      <c r="Q8" s="119">
        <v>0.0</v>
      </c>
      <c r="R8" s="119">
        <v>0.0</v>
      </c>
      <c r="S8" s="38"/>
      <c r="T8" s="5"/>
      <c r="U8" s="5"/>
    </row>
    <row r="9" customHeight="1" ht="17.0">
      <c r="A9" s="5"/>
      <c r="B9" s="111" t="s">
        <v>79</v>
      </c>
      <c r="C9" s="112">
        <f t="shared" si="0"/>
        <v>0.0</v>
      </c>
      <c r="D9" s="113">
        <v>0.0</v>
      </c>
      <c r="E9" s="113">
        <v>0.0</v>
      </c>
      <c r="F9" s="113">
        <v>0.0</v>
      </c>
      <c r="G9" s="113">
        <v>0.0</v>
      </c>
      <c r="H9" s="114">
        <v>10.0</v>
      </c>
      <c r="I9" s="115">
        <f t="shared" si="1"/>
        <v>0.0</v>
      </c>
      <c r="J9" s="116">
        <f t="shared" si="2"/>
        <v>0.0</v>
      </c>
      <c r="K9" s="27"/>
      <c r="M9" s="117" t="s">
        <v>79</v>
      </c>
      <c r="N9" s="118">
        <f t="shared" si="3"/>
        <v>0.0</v>
      </c>
      <c r="O9" s="119">
        <v>0.0</v>
      </c>
      <c r="P9" s="119">
        <v>0.0</v>
      </c>
      <c r="Q9" s="119">
        <v>0.0</v>
      </c>
      <c r="R9" s="119">
        <v>0.0</v>
      </c>
      <c r="S9" s="38"/>
      <c r="T9" s="5"/>
      <c r="U9" s="5"/>
    </row>
    <row r="10" customHeight="1" ht="17.0">
      <c r="A10" s="5"/>
      <c r="B10" s="111" t="s">
        <v>80</v>
      </c>
      <c r="C10" s="112">
        <f t="shared" si="0"/>
        <v>0.0</v>
      </c>
      <c r="D10" s="113">
        <v>0.0</v>
      </c>
      <c r="E10" s="113">
        <v>0.0</v>
      </c>
      <c r="F10" s="113">
        <v>0.0</v>
      </c>
      <c r="G10" s="113">
        <v>0.0</v>
      </c>
      <c r="H10" s="114">
        <v>10.0</v>
      </c>
      <c r="I10" s="115">
        <f t="shared" si="1"/>
        <v>0.0</v>
      </c>
      <c r="J10" s="116">
        <f t="shared" si="2"/>
        <v>0.0</v>
      </c>
      <c r="K10" s="27"/>
      <c r="M10" s="117" t="s">
        <v>80</v>
      </c>
      <c r="N10" s="118">
        <f t="shared" si="3"/>
        <v>0.0</v>
      </c>
      <c r="O10" s="119">
        <v>0.0</v>
      </c>
      <c r="P10" s="119">
        <v>0.0</v>
      </c>
      <c r="Q10" s="119">
        <v>0.0</v>
      </c>
      <c r="R10" s="119">
        <v>0.0</v>
      </c>
      <c r="S10" s="38"/>
      <c r="T10" s="5"/>
      <c r="U10" s="5"/>
    </row>
    <row r="11" customHeight="1" ht="17.0">
      <c r="A11" s="5"/>
      <c r="B11" s="111" t="s">
        <v>81</v>
      </c>
      <c r="C11" s="112">
        <f t="shared" si="0"/>
        <v>0.0</v>
      </c>
      <c r="D11" s="113">
        <v>0.0</v>
      </c>
      <c r="E11" s="113">
        <v>0.0</v>
      </c>
      <c r="F11" s="113">
        <v>0.0</v>
      </c>
      <c r="G11" s="113">
        <v>0.0</v>
      </c>
      <c r="H11" s="114">
        <v>10.0</v>
      </c>
      <c r="I11" s="115">
        <f t="shared" si="1"/>
        <v>0.0</v>
      </c>
      <c r="J11" s="116">
        <f t="shared" si="2"/>
        <v>0.0</v>
      </c>
      <c r="K11" s="27"/>
      <c r="M11" s="117" t="s">
        <v>81</v>
      </c>
      <c r="N11" s="118">
        <f t="shared" si="3"/>
        <v>0.0</v>
      </c>
      <c r="O11" s="119">
        <v>0.0</v>
      </c>
      <c r="P11" s="119">
        <v>0.0</v>
      </c>
      <c r="Q11" s="119">
        <v>0.0</v>
      </c>
      <c r="R11" s="119">
        <v>0.0</v>
      </c>
      <c r="S11" s="38"/>
      <c r="T11" s="5"/>
      <c r="U11" s="5"/>
    </row>
    <row r="12" customHeight="1" ht="17.0">
      <c r="A12" s="120"/>
      <c r="B12" s="111" t="s">
        <v>82</v>
      </c>
      <c r="C12" s="112">
        <f t="shared" si="0"/>
        <v>0.0</v>
      </c>
      <c r="D12" s="113">
        <v>0.0</v>
      </c>
      <c r="E12" s="113">
        <v>0.0</v>
      </c>
      <c r="F12" s="113">
        <v>0.0</v>
      </c>
      <c r="G12" s="113">
        <v>0.0</v>
      </c>
      <c r="H12" s="114">
        <v>10.0</v>
      </c>
      <c r="I12" s="115">
        <f t="shared" si="1"/>
        <v>0.0</v>
      </c>
      <c r="J12" s="116">
        <f t="shared" si="2"/>
        <v>0.0</v>
      </c>
      <c r="K12" s="27"/>
      <c r="L12" s="120"/>
      <c r="M12" s="117" t="s">
        <v>82</v>
      </c>
      <c r="N12" s="118">
        <f t="shared" si="3"/>
        <v>0.0</v>
      </c>
      <c r="O12" s="119">
        <v>0.0</v>
      </c>
      <c r="P12" s="119">
        <v>0.0</v>
      </c>
      <c r="Q12" s="119">
        <v>0.0</v>
      </c>
      <c r="R12" s="119">
        <v>0.0</v>
      </c>
      <c r="S12" s="38"/>
      <c r="T12" s="5"/>
      <c r="U12" s="5"/>
    </row>
    <row r="13" customHeight="1" ht="17.0">
      <c r="A13" s="5"/>
      <c r="B13" s="111" t="s">
        <v>83</v>
      </c>
      <c r="C13" s="112">
        <f t="shared" si="0"/>
        <v>0.0</v>
      </c>
      <c r="D13" s="113">
        <v>0.0</v>
      </c>
      <c r="E13" s="113">
        <v>0.0</v>
      </c>
      <c r="F13" s="113">
        <v>0.0</v>
      </c>
      <c r="G13" s="113">
        <v>0.0</v>
      </c>
      <c r="H13" s="114">
        <v>10.0</v>
      </c>
      <c r="I13" s="115">
        <f t="shared" si="1"/>
        <v>0.0</v>
      </c>
      <c r="J13" s="116">
        <f t="shared" si="2"/>
        <v>0.0</v>
      </c>
      <c r="K13" s="27"/>
      <c r="M13" s="117" t="s">
        <v>83</v>
      </c>
      <c r="N13" s="118">
        <f t="shared" si="3"/>
        <v>0.0</v>
      </c>
      <c r="O13" s="119">
        <v>0.0</v>
      </c>
      <c r="P13" s="119">
        <v>0.0</v>
      </c>
      <c r="Q13" s="119">
        <v>0.0</v>
      </c>
      <c r="R13" s="119">
        <v>0.0</v>
      </c>
      <c r="S13" s="38"/>
      <c r="T13" s="5"/>
      <c r="U13" s="5"/>
    </row>
    <row r="14" customHeight="1" ht="17.0">
      <c r="A14" s="5"/>
      <c r="B14" s="111" t="s">
        <v>84</v>
      </c>
      <c r="C14" s="112">
        <f t="shared" si="0"/>
        <v>0.0</v>
      </c>
      <c r="D14" s="113">
        <v>0.0</v>
      </c>
      <c r="E14" s="113">
        <v>0.0</v>
      </c>
      <c r="F14" s="113">
        <v>0.0</v>
      </c>
      <c r="G14" s="113">
        <v>0.0</v>
      </c>
      <c r="H14" s="114">
        <v>10.0</v>
      </c>
      <c r="I14" s="115">
        <f t="shared" si="1"/>
        <v>0.0</v>
      </c>
      <c r="J14" s="116">
        <f t="shared" si="2"/>
        <v>0.0</v>
      </c>
      <c r="K14" s="27"/>
      <c r="M14" s="117" t="s">
        <v>84</v>
      </c>
      <c r="N14" s="118">
        <f t="shared" si="3"/>
        <v>0.0</v>
      </c>
      <c r="O14" s="119">
        <v>0.0</v>
      </c>
      <c r="P14" s="119">
        <v>0.0</v>
      </c>
      <c r="Q14" s="119">
        <v>0.0</v>
      </c>
      <c r="R14" s="119">
        <v>0.0</v>
      </c>
      <c r="S14" s="38"/>
      <c r="T14" s="5"/>
      <c r="U14" s="5"/>
    </row>
    <row r="15" customHeight="1" ht="17.0">
      <c r="A15" s="5"/>
      <c r="B15" s="111" t="s">
        <v>85</v>
      </c>
      <c r="C15" s="112">
        <f t="shared" si="0"/>
        <v>0.0</v>
      </c>
      <c r="D15" s="113">
        <v>0.0</v>
      </c>
      <c r="E15" s="113">
        <v>0.0</v>
      </c>
      <c r="F15" s="113">
        <v>0.0</v>
      </c>
      <c r="G15" s="113">
        <v>0.0</v>
      </c>
      <c r="H15" s="114">
        <v>10.0</v>
      </c>
      <c r="I15" s="115">
        <f t="shared" si="1"/>
        <v>0.0</v>
      </c>
      <c r="J15" s="116">
        <f t="shared" si="2"/>
        <v>0.0</v>
      </c>
      <c r="K15" s="27"/>
      <c r="M15" s="117" t="s">
        <v>85</v>
      </c>
      <c r="N15" s="118">
        <f t="shared" si="3"/>
        <v>0.0</v>
      </c>
      <c r="O15" s="119">
        <v>0.0</v>
      </c>
      <c r="P15" s="119">
        <v>0.0</v>
      </c>
      <c r="Q15" s="119">
        <v>0.0</v>
      </c>
      <c r="R15" s="119">
        <v>0.0</v>
      </c>
      <c r="S15" s="38"/>
      <c r="T15" s="5"/>
      <c r="U15" s="5"/>
    </row>
    <row r="16" customHeight="1" ht="17.0">
      <c r="A16" s="5"/>
      <c r="B16" s="121" t="s">
        <v>86</v>
      </c>
      <c r="C16" s="112">
        <f t="shared" si="0"/>
        <v>0.0</v>
      </c>
      <c r="D16" s="113">
        <v>0.0</v>
      </c>
      <c r="E16" s="113">
        <v>0.0</v>
      </c>
      <c r="F16" s="113">
        <v>0.0</v>
      </c>
      <c r="G16" s="113">
        <v>0.0</v>
      </c>
      <c r="H16" s="114">
        <v>25.0</v>
      </c>
      <c r="I16" s="115">
        <f t="shared" si="1"/>
        <v>0.0</v>
      </c>
      <c r="J16" s="116">
        <f t="shared" si="2"/>
        <v>0.0</v>
      </c>
      <c r="K16" s="27"/>
      <c r="M16" s="122" t="s">
        <v>86</v>
      </c>
      <c r="N16" s="118">
        <f t="shared" si="3"/>
        <v>0.0</v>
      </c>
      <c r="O16" s="119">
        <v>0.0</v>
      </c>
      <c r="P16" s="119">
        <v>0.0</v>
      </c>
      <c r="Q16" s="119">
        <v>0.0</v>
      </c>
      <c r="R16" s="119">
        <v>0.0</v>
      </c>
      <c r="S16" s="38"/>
      <c r="T16" s="5"/>
      <c r="U16" s="5"/>
    </row>
    <row r="17" customHeight="1" ht="17.0">
      <c r="A17" s="5"/>
      <c r="B17" s="111" t="s">
        <v>87</v>
      </c>
      <c r="C17" s="113">
        <v>0.0</v>
      </c>
      <c r="D17" s="112">
        <f>G17-C17</f>
        <v>0.0</v>
      </c>
      <c r="E17" s="113">
        <v>0.0</v>
      </c>
      <c r="F17" s="113">
        <v>0.0</v>
      </c>
      <c r="G17" s="112">
        <f>ROUND(((C6+F6)*'1. Project Structure'!C16/12)*'1. Project Structure'!C21+((C22-C6+F22-F6)*'1. Project Structure'!C16*0.6/12)*'1. Project Structure'!C21,0)</f>
        <v>0.0</v>
      </c>
      <c r="H17" s="114">
        <v>25.0</v>
      </c>
      <c r="I17" s="115">
        <f t="shared" si="1"/>
        <v>0.0</v>
      </c>
      <c r="J17" s="116">
        <f t="shared" si="2"/>
        <v>0.0</v>
      </c>
      <c r="K17" s="123" t="s">
        <v>88</v>
      </c>
      <c r="M17" s="117" t="s">
        <v>87</v>
      </c>
      <c r="N17" s="119">
        <v>0.0</v>
      </c>
      <c r="O17" s="118">
        <f>R17-N17</f>
        <v>0.0</v>
      </c>
      <c r="P17" s="119">
        <v>0.0</v>
      </c>
      <c r="Q17" s="119">
        <v>0.0</v>
      </c>
      <c r="R17" s="118">
        <f>ROUND(((N6+Q6)*'1. Project Structure'!N14/12)*'1. Project Structure'!N18+((N22-N6+Q22-Q6)*'1. Project Structure'!N14*0.6/12)*'1. Project Structure'!N18,0)</f>
        <v>0.0</v>
      </c>
      <c r="S17" s="124" t="s">
        <v>88</v>
      </c>
      <c r="T17" s="5"/>
      <c r="U17" s="5"/>
    </row>
    <row r="18" customHeight="1" ht="17.0">
      <c r="A18" s="5"/>
      <c r="B18" s="111" t="s">
        <v>89</v>
      </c>
      <c r="C18" s="112">
        <f>G18-D18-E18-F18</f>
        <v>0.0</v>
      </c>
      <c r="D18" s="113">
        <v>0.0</v>
      </c>
      <c r="E18" s="113">
        <v>0.0</v>
      </c>
      <c r="F18" s="113">
        <v>0.0</v>
      </c>
      <c r="G18" s="112">
        <f>ROUND(G17*K18,0)</f>
        <v>0.0</v>
      </c>
      <c r="H18" s="114">
        <v>25.0</v>
      </c>
      <c r="I18" s="115">
        <f t="shared" si="1"/>
        <v>0.0</v>
      </c>
      <c r="J18" s="116">
        <f t="shared" si="2"/>
        <v>0.0</v>
      </c>
      <c r="K18" s="125">
        <v>0.1</v>
      </c>
      <c r="M18" s="117" t="s">
        <v>89</v>
      </c>
      <c r="N18" s="118">
        <f>R18-O18-P18-Q18</f>
        <v>0.0</v>
      </c>
      <c r="O18" s="119">
        <v>0.0</v>
      </c>
      <c r="P18" s="119">
        <v>0.0</v>
      </c>
      <c r="Q18" s="119">
        <v>0.0</v>
      </c>
      <c r="R18" s="118">
        <f>ROUND(R17*V18,0)</f>
        <v>0.0</v>
      </c>
      <c r="S18" s="126">
        <v>0.1</v>
      </c>
      <c r="T18" s="5"/>
      <c r="U18" s="5"/>
    </row>
    <row r="19" customHeight="1" ht="17.0">
      <c r="A19" s="5"/>
      <c r="B19" s="121" t="s">
        <v>90</v>
      </c>
      <c r="C19" s="112">
        <f t="shared" ref="C19:C20" si="12">G19-SUM(D19:F19)</f>
        <v>0.0</v>
      </c>
      <c r="D19" s="113">
        <v>0.0</v>
      </c>
      <c r="E19" s="113">
        <v>0.0</v>
      </c>
      <c r="F19" s="113">
        <v>0.0</v>
      </c>
      <c r="G19" s="113">
        <v>0.0</v>
      </c>
      <c r="H19" s="114">
        <v>25.0</v>
      </c>
      <c r="I19" s="115">
        <f t="shared" si="1"/>
        <v>0.0</v>
      </c>
      <c r="J19" s="116">
        <f t="shared" si="2"/>
        <v>0.0</v>
      </c>
      <c r="K19" s="27"/>
      <c r="M19" s="122" t="s">
        <v>90</v>
      </c>
      <c r="N19" s="118">
        <f t="shared" ref="N19:N20" si="13">R19-SUM(O19:Q19)</f>
        <v>0.0</v>
      </c>
      <c r="O19" s="119">
        <v>0.0</v>
      </c>
      <c r="P19" s="119">
        <v>0.0</v>
      </c>
      <c r="Q19" s="119">
        <v>0.0</v>
      </c>
      <c r="R19" s="119">
        <v>0.0</v>
      </c>
      <c r="S19" s="38"/>
      <c r="T19" s="5"/>
      <c r="U19" s="5"/>
    </row>
    <row r="20" customHeight="1" ht="17.0">
      <c r="A20" s="5"/>
      <c r="B20" s="127" t="s">
        <v>91</v>
      </c>
      <c r="C20" s="112">
        <f t="shared" si="12"/>
        <v>0.0</v>
      </c>
      <c r="D20" s="113">
        <v>0.0</v>
      </c>
      <c r="E20" s="113">
        <v>0.0</v>
      </c>
      <c r="F20" s="113">
        <v>0.0</v>
      </c>
      <c r="G20" s="113">
        <v>0.0</v>
      </c>
      <c r="H20" s="114">
        <v>10.0</v>
      </c>
      <c r="I20" s="115">
        <f t="shared" si="1"/>
        <v>0.0</v>
      </c>
      <c r="J20" s="116">
        <f t="shared" si="2"/>
        <v>0.0</v>
      </c>
      <c r="K20" s="27"/>
      <c r="M20" s="128" t="s">
        <v>91</v>
      </c>
      <c r="N20" s="118">
        <f t="shared" si="13"/>
        <v>0.0</v>
      </c>
      <c r="O20" s="119">
        <v>0.0</v>
      </c>
      <c r="P20" s="119">
        <v>0.0</v>
      </c>
      <c r="Q20" s="119">
        <v>0.0</v>
      </c>
      <c r="R20" s="119">
        <v>0.0</v>
      </c>
      <c r="S20" s="38"/>
      <c r="T20" s="5"/>
      <c r="U20" s="5"/>
    </row>
    <row r="21" customHeight="1" ht="17.0">
      <c r="A21" s="5"/>
      <c r="B21" s="127" t="s">
        <v>92</v>
      </c>
      <c r="C21" s="113">
        <v>0.0</v>
      </c>
      <c r="D21" s="112">
        <f>G21-C21</f>
        <v>0.0</v>
      </c>
      <c r="E21" s="41"/>
      <c r="F21" s="41"/>
      <c r="G21" s="112">
        <f>D80</f>
        <v>0.0</v>
      </c>
      <c r="H21" s="114">
        <v>10.0</v>
      </c>
      <c r="I21" s="115">
        <f t="shared" si="1"/>
        <v>0.0</v>
      </c>
      <c r="J21" s="116">
        <f t="shared" si="2"/>
        <v>0.0</v>
      </c>
      <c r="K21" s="27"/>
      <c r="M21" s="128" t="s">
        <v>92</v>
      </c>
      <c r="N21" s="119">
        <v>0.0</v>
      </c>
      <c r="O21" s="118">
        <f>R21-N21</f>
        <v>0.0</v>
      </c>
      <c r="P21" s="59"/>
      <c r="Q21" s="59"/>
      <c r="R21" s="130">
        <f>O80</f>
      </c>
      <c r="S21" s="38"/>
      <c r="T21" s="5"/>
      <c r="U21" s="5"/>
    </row>
    <row r="22" customHeight="1" ht="17.0">
      <c r="A22" s="5"/>
      <c r="B22" s="131"/>
      <c r="C22" s="132">
        <v>0.0</v>
      </c>
      <c r="D22" s="132">
        <f>SUM(D6:D21)</f>
        <v>0.0</v>
      </c>
      <c r="E22" s="132">
        <f>SUM(E6:E21)</f>
        <v>0.0</v>
      </c>
      <c r="F22" s="132">
        <f>SUM(F6:F21)</f>
        <v>0.0</v>
      </c>
      <c r="G22" s="132">
        <f>SUM(G6:G21)</f>
        <v>0.0</v>
      </c>
      <c r="H22" s="133"/>
      <c r="I22" s="134" t="s">
        <v>93</v>
      </c>
      <c r="J22" s="135">
        <f>SUM(J6:J21)</f>
        <v>0.0</v>
      </c>
      <c r="K22" s="27"/>
      <c r="M22" s="136"/>
      <c r="N22" s="137">
        <v>0.0</v>
      </c>
      <c r="O22" s="137">
        <f>SUM(O6:O21)</f>
        <v>0.0</v>
      </c>
      <c r="P22" s="137">
        <f>SUM(P6:P21)</f>
        <v>0.0</v>
      </c>
      <c r="Q22" s="137">
        <f>SUM(Q6:Q21)</f>
        <v>0.0</v>
      </c>
      <c r="R22" s="137">
        <f>SUM(R6:R21)</f>
        <v>0.0</v>
      </c>
      <c r="S22" s="38"/>
      <c r="T22" s="5"/>
      <c r="U22" s="5"/>
    </row>
    <row r="23" customHeight="1" ht="17.0">
      <c r="A23" s="5"/>
      <c r="B23" s="96"/>
      <c r="C23" s="115">
        <f>IFERROR(C22/$G$22,0)</f>
        <v>0.0</v>
      </c>
      <c r="D23" s="115">
        <f>IFERROR(D22/$G$22,0)</f>
        <v>0.0</v>
      </c>
      <c r="E23" s="115">
        <f>IFERROR(E22/$G$22,0)</f>
        <v>0.0</v>
      </c>
      <c r="F23" s="115">
        <f>IFERROR(F22/$G$22,0)</f>
        <v>0.0</v>
      </c>
      <c r="G23" s="115">
        <f>IFERROR(G22/$G$22,0)</f>
        <v>0.0</v>
      </c>
      <c r="H23" s="26"/>
      <c r="I23" s="26"/>
      <c r="J23" s="26"/>
      <c r="K23" s="27"/>
      <c r="M23" s="98"/>
      <c r="N23" s="138">
        <f>IFERROR(N22/$R$22,0)</f>
        <v>0.0</v>
      </c>
      <c r="O23" s="138">
        <f>IFERROR(O22/$R$22,0)</f>
        <v>0.0</v>
      </c>
      <c r="P23" s="138">
        <f>IFERROR(P22/$R$22,0)</f>
        <v>0.0</v>
      </c>
      <c r="Q23" s="138">
        <f>IFERROR(Q22/$R$22,0)</f>
        <v>0.0</v>
      </c>
      <c r="R23" s="138">
        <f>IFERROR(R22/$R$22,0)</f>
        <v>0.0</v>
      </c>
      <c r="S23" s="38"/>
      <c r="T23" s="5"/>
      <c r="U23" s="5"/>
    </row>
    <row r="24" customHeight="1" ht="17.0">
      <c r="A24" s="5"/>
      <c r="B24" s="89"/>
      <c r="C24" s="90"/>
      <c r="D24" s="90"/>
      <c r="E24" s="90"/>
      <c r="F24" s="90"/>
      <c r="G24" s="90"/>
      <c r="H24" s="90"/>
      <c r="I24" s="90"/>
      <c r="J24" s="90"/>
      <c r="K24" s="92"/>
      <c r="M24" s="72"/>
      <c r="N24" s="73"/>
      <c r="O24" s="73"/>
      <c r="P24" s="73"/>
      <c r="Q24" s="73"/>
      <c r="R24" s="73"/>
      <c r="S24" s="74"/>
      <c r="T24" s="5"/>
      <c r="U24" s="5"/>
    </row>
    <row r="25" customHeight="1" ht="17.0">
      <c r="A25" s="5"/>
      <c r="B25" s="5"/>
      <c r="C25" s="5"/>
      <c r="D25" s="5"/>
      <c r="E25" s="5"/>
      <c r="F25" s="5"/>
      <c r="G25" s="5"/>
      <c r="H25" s="5"/>
      <c r="I25" s="5"/>
      <c r="J25" s="5"/>
      <c r="K25" s="5"/>
      <c r="N25" s="5"/>
      <c r="O25" s="5"/>
      <c r="P25" s="5"/>
      <c r="Q25" s="5"/>
      <c r="R25" s="5"/>
      <c r="S25" s="5"/>
      <c r="T25" s="5"/>
      <c r="U25" s="5"/>
    </row>
    <row r="26" customHeight="1" ht="17.0">
      <c r="B26" s="142" t="s">
        <v>94</v>
      </c>
      <c r="C26" s="143">
        <f>SUM(C27:C29)</f>
        <v>1.0</v>
      </c>
      <c r="D26" s="144">
        <f>G22</f>
        <v>0.0</v>
      </c>
      <c r="E26" s="145" t="s">
        <v>95</v>
      </c>
      <c r="F26" s="146"/>
      <c r="G26" s="146"/>
      <c r="H26" s="147"/>
      <c r="I26" s="5"/>
      <c r="J26" s="5"/>
      <c r="K26" s="6"/>
      <c r="N26" s="5"/>
      <c r="O26" s="5"/>
      <c r="P26" s="5"/>
      <c r="Q26" s="5"/>
      <c r="R26" s="5"/>
      <c r="T26" s="5"/>
    </row>
    <row r="27" customHeight="1" ht="17.0">
      <c r="A27" s="5"/>
      <c r="B27" s="148" t="s">
        <v>96</v>
      </c>
      <c r="C27" s="143">
        <v>0.5</v>
      </c>
      <c r="D27" s="144">
        <f>D26*C27</f>
        <v>0.0</v>
      </c>
      <c r="E27" s="144">
        <f>C22-D27</f>
        <v>0.0</v>
      </c>
      <c r="F27" s="149"/>
      <c r="G27" s="149"/>
      <c r="H27" s="150"/>
      <c r="I27" s="5"/>
      <c r="J27" s="5"/>
      <c r="K27" s="6"/>
      <c r="N27" s="5"/>
      <c r="O27" s="5"/>
      <c r="P27" s="5"/>
      <c r="Q27" s="5"/>
      <c r="R27" s="5"/>
      <c r="S27" s="5"/>
    </row>
    <row r="28" customHeight="1" ht="17.0">
      <c r="B28" s="148" t="s">
        <v>97</v>
      </c>
      <c r="C28" s="143">
        <v>0.4</v>
      </c>
      <c r="D28" s="144">
        <f>D26*C28</f>
        <v>0.0</v>
      </c>
      <c r="E28" s="144">
        <f>F22-D28</f>
        <v>0.0</v>
      </c>
      <c r="F28" s="149"/>
      <c r="G28" s="149"/>
      <c r="H28" s="150"/>
      <c r="I28" s="5"/>
      <c r="J28" s="5"/>
      <c r="K28" s="6"/>
    </row>
    <row r="29" customHeight="1" ht="17.0">
      <c r="B29" s="148" t="s">
        <v>98</v>
      </c>
      <c r="C29" s="143">
        <v>0.1</v>
      </c>
      <c r="D29" s="144">
        <f>D26*C29</f>
        <v>0.0</v>
      </c>
      <c r="E29" s="144">
        <f>D22-D29</f>
        <v>0.0</v>
      </c>
      <c r="F29" s="149"/>
      <c r="G29" s="149"/>
      <c r="H29" s="150"/>
      <c r="I29" s="5"/>
      <c r="J29" s="5"/>
      <c r="K29" s="6"/>
    </row>
    <row r="30" customHeight="1" ht="17.0">
      <c r="B30" s="148"/>
      <c r="C30" s="149"/>
      <c r="D30" s="151"/>
      <c r="E30" s="146"/>
      <c r="F30" s="149"/>
      <c r="G30" s="149"/>
      <c r="H30" s="150"/>
      <c r="I30" s="5"/>
      <c r="J30" s="5"/>
      <c r="K30" s="6"/>
    </row>
    <row r="31" customHeight="1" ht="17.0">
      <c r="B31" s="148" t="s">
        <v>99</v>
      </c>
      <c r="C31" s="152">
        <v>0.025</v>
      </c>
      <c r="D31" s="144">
        <f>D27*C31</f>
        <v>0.0</v>
      </c>
      <c r="E31" s="153" t="s">
        <v>100</v>
      </c>
      <c r="F31" s="154" t="s">
        <v>101</v>
      </c>
      <c r="G31" s="155"/>
      <c r="H31" s="150"/>
      <c r="I31" s="5"/>
      <c r="J31" s="5"/>
      <c r="K31" s="6"/>
    </row>
    <row r="32" customHeight="1" ht="17.0">
      <c r="B32" s="148" t="s">
        <v>102</v>
      </c>
      <c r="C32" s="152">
        <v>0.005</v>
      </c>
      <c r="D32" s="144">
        <f>D27*C32</f>
        <v>0.0</v>
      </c>
      <c r="E32" s="149"/>
      <c r="F32" s="149"/>
      <c r="G32" s="149"/>
      <c r="H32" s="150"/>
      <c r="I32" s="5"/>
      <c r="J32" s="5"/>
      <c r="K32" s="6"/>
    </row>
    <row r="33" customHeight="1" ht="17.0">
      <c r="B33" s="156" t="s">
        <v>103</v>
      </c>
      <c r="C33" s="152">
        <v>0.0</v>
      </c>
      <c r="D33" s="144">
        <f>D27*C33</f>
        <v>0.0</v>
      </c>
      <c r="E33" s="157" t="s">
        <v>104</v>
      </c>
      <c r="F33" s="158">
        <f>C22+F22</f>
        <v>0.0</v>
      </c>
      <c r="G33" s="159"/>
      <c r="H33" s="150"/>
      <c r="I33" s="5"/>
      <c r="J33" s="5"/>
      <c r="K33" s="5"/>
    </row>
    <row r="34" customHeight="1" ht="17.0">
      <c r="B34" s="156" t="s">
        <v>105</v>
      </c>
      <c r="C34" s="152">
        <v>0.0</v>
      </c>
      <c r="D34" s="144">
        <f>C22*C34</f>
        <v>0.0</v>
      </c>
      <c r="E34" s="157" t="s">
        <v>106</v>
      </c>
      <c r="F34" s="158">
        <f>ROUNDUP(D35,-3)</f>
        <v>1000.0</v>
      </c>
      <c r="G34" s="159"/>
      <c r="H34" s="150"/>
      <c r="I34" s="5"/>
      <c r="J34" s="6"/>
      <c r="K34" s="6"/>
    </row>
    <row r="35" customHeight="1" ht="17.0">
      <c r="B35" s="148" t="s">
        <v>107</v>
      </c>
      <c r="C35" s="152">
        <f>SUM(C31:C34)</f>
        <v>0.03</v>
      </c>
      <c r="D35" s="144">
        <f>SUM(D31:D34)</f>
        <v>0.0</v>
      </c>
      <c r="E35" s="157" t="s">
        <v>108</v>
      </c>
      <c r="F35" s="154" t="e">
        <f>F34/F33</f>
        <v>#DIV/0!</v>
      </c>
      <c r="G35" s="155"/>
      <c r="H35" s="150"/>
      <c r="I35" s="5"/>
      <c r="J35" s="6"/>
      <c r="K35" s="6"/>
    </row>
    <row r="36" customHeight="1" ht="17.0">
      <c r="B36" s="160" t="s">
        <v>109</v>
      </c>
      <c r="C36" s="161"/>
      <c r="D36" s="161"/>
      <c r="E36" s="161"/>
      <c r="F36" s="161"/>
      <c r="G36" s="161"/>
      <c r="H36" s="162"/>
      <c r="I36" s="5"/>
      <c r="J36" s="6"/>
      <c r="K36" s="6"/>
    </row>
    <row r="37" customHeight="1" ht="17.0">
      <c r="B37" s="5"/>
      <c r="C37" s="5"/>
      <c r="D37" s="5"/>
      <c r="E37" s="5"/>
      <c r="F37" s="5"/>
      <c r="G37" s="5"/>
      <c r="H37" s="5"/>
      <c r="I37" s="6"/>
      <c r="J37" s="6"/>
      <c r="K37" s="6"/>
    </row>
    <row r="38" customHeight="1" ht="17.0">
      <c r="B38" s="142" t="s">
        <v>91</v>
      </c>
      <c r="C38" s="163" t="s">
        <v>110</v>
      </c>
      <c r="D38" s="163" t="s">
        <v>111</v>
      </c>
      <c r="E38" s="164" t="s">
        <v>71</v>
      </c>
      <c r="F38" s="5"/>
      <c r="G38" s="6"/>
      <c r="H38" s="6"/>
      <c r="I38" s="6"/>
      <c r="J38" s="6"/>
      <c r="K38" s="6"/>
    </row>
    <row r="39" customHeight="1" ht="17.0">
      <c r="B39" s="148" t="s">
        <v>112</v>
      </c>
      <c r="C39" s="165">
        <v>2500.0</v>
      </c>
      <c r="D39" s="166">
        <v>1.0</v>
      </c>
      <c r="E39" s="167">
        <f t="shared" ref="E39:E53" si="55">C39*D39</f>
        <v>2500.0</v>
      </c>
      <c r="F39" s="5"/>
      <c r="G39" s="6"/>
      <c r="H39" s="6"/>
      <c r="I39" s="6"/>
      <c r="J39" s="6"/>
      <c r="K39" s="6"/>
    </row>
    <row r="40" customHeight="1" ht="17.0">
      <c r="B40" s="148" t="s">
        <v>113</v>
      </c>
      <c r="C40" s="165">
        <v>0.0</v>
      </c>
      <c r="D40" s="166">
        <v>0.0</v>
      </c>
      <c r="E40" s="167">
        <f t="shared" si="55"/>
        <v>0.0</v>
      </c>
      <c r="F40" s="5"/>
      <c r="G40" s="6"/>
      <c r="H40" s="6"/>
      <c r="I40" s="6"/>
      <c r="J40" s="6"/>
      <c r="K40" s="6"/>
    </row>
    <row r="41" customHeight="1" ht="17.0">
      <c r="B41" s="148" t="s">
        <v>114</v>
      </c>
      <c r="C41" s="165">
        <v>0.0</v>
      </c>
      <c r="D41" s="166">
        <v>0.0</v>
      </c>
      <c r="E41" s="167">
        <f t="shared" si="55"/>
        <v>0.0</v>
      </c>
      <c r="F41" s="5"/>
      <c r="G41" s="6"/>
      <c r="H41" s="6"/>
      <c r="I41" s="6"/>
      <c r="J41" s="6"/>
      <c r="K41" s="6"/>
    </row>
    <row r="42" customHeight="1" ht="17.0">
      <c r="B42" s="148" t="s">
        <v>115</v>
      </c>
      <c r="C42" s="165">
        <v>3000.0</v>
      </c>
      <c r="D42" s="166">
        <v>0.0</v>
      </c>
      <c r="E42" s="167">
        <f t="shared" si="55"/>
        <v>0.0</v>
      </c>
      <c r="F42" s="5"/>
      <c r="G42" s="6"/>
      <c r="H42" s="6"/>
      <c r="I42" s="6"/>
      <c r="J42" s="6"/>
      <c r="K42" s="6"/>
    </row>
    <row r="43" customHeight="1" ht="17.0">
      <c r="B43" s="148" t="s">
        <v>116</v>
      </c>
      <c r="C43" s="165">
        <v>3500.0</v>
      </c>
      <c r="D43" s="166">
        <v>0.0</v>
      </c>
      <c r="E43" s="167">
        <f t="shared" si="55"/>
        <v>0.0</v>
      </c>
      <c r="F43" s="5"/>
      <c r="G43" s="6"/>
      <c r="H43" s="6"/>
      <c r="I43" s="6"/>
      <c r="J43" s="6"/>
      <c r="K43" s="6"/>
    </row>
    <row r="44" customHeight="1" ht="17.0">
      <c r="B44" s="148" t="s">
        <v>117</v>
      </c>
      <c r="C44" s="165">
        <v>0.0</v>
      </c>
      <c r="D44" s="166">
        <v>0.0</v>
      </c>
      <c r="E44" s="167">
        <f t="shared" si="55"/>
        <v>0.0</v>
      </c>
      <c r="F44" s="5"/>
      <c r="G44" s="6"/>
      <c r="H44" s="6"/>
      <c r="I44" s="6"/>
      <c r="J44" s="6"/>
      <c r="K44" s="6"/>
    </row>
    <row r="45" customHeight="1" ht="17.0">
      <c r="B45" s="148" t="s">
        <v>118</v>
      </c>
      <c r="C45" s="165">
        <v>0.0</v>
      </c>
      <c r="D45" s="166">
        <v>0.0</v>
      </c>
      <c r="E45" s="167">
        <f t="shared" si="55"/>
        <v>0.0</v>
      </c>
      <c r="F45" s="5"/>
      <c r="G45" s="6"/>
      <c r="H45" s="6"/>
      <c r="I45" s="6"/>
      <c r="J45" s="6"/>
      <c r="K45" s="6"/>
    </row>
    <row r="46" customHeight="1" ht="17.0">
      <c r="B46" s="148" t="s">
        <v>119</v>
      </c>
      <c r="C46" s="165">
        <v>350.0</v>
      </c>
      <c r="D46" s="166">
        <v>0.0</v>
      </c>
      <c r="E46" s="167">
        <f t="shared" si="55"/>
        <v>0.0</v>
      </c>
      <c r="F46" s="5"/>
      <c r="G46" s="6"/>
      <c r="H46" s="6"/>
      <c r="I46" s="6"/>
      <c r="J46" s="6"/>
      <c r="K46" s="6"/>
    </row>
    <row r="47" customHeight="1" ht="17.0">
      <c r="B47" s="148" t="s">
        <v>120</v>
      </c>
      <c r="C47" s="165">
        <v>2500.0</v>
      </c>
      <c r="D47" s="166">
        <v>0.0</v>
      </c>
      <c r="E47" s="167">
        <f t="shared" si="55"/>
        <v>0.0</v>
      </c>
      <c r="F47" s="5"/>
      <c r="G47" s="6"/>
      <c r="H47" s="6"/>
      <c r="I47" s="6"/>
      <c r="J47" s="6"/>
      <c r="K47" s="6"/>
    </row>
    <row r="48" customHeight="1" ht="17.0">
      <c r="B48" s="148" t="s">
        <v>58</v>
      </c>
      <c r="C48" s="165">
        <v>2500.0</v>
      </c>
      <c r="D48" s="166">
        <v>0.0</v>
      </c>
      <c r="E48" s="167">
        <f t="shared" si="55"/>
        <v>0.0</v>
      </c>
      <c r="F48" s="5"/>
      <c r="G48" s="6"/>
      <c r="H48" s="6"/>
      <c r="I48" s="6"/>
      <c r="J48" s="6"/>
      <c r="K48" s="6"/>
    </row>
    <row r="49" customHeight="1" ht="17.0">
      <c r="B49" s="148" t="s">
        <v>121</v>
      </c>
      <c r="C49" s="165">
        <v>0.0</v>
      </c>
      <c r="D49" s="166">
        <v>0.0</v>
      </c>
      <c r="E49" s="167">
        <f t="shared" si="55"/>
        <v>0.0</v>
      </c>
      <c r="F49" s="5"/>
      <c r="G49" s="6"/>
      <c r="H49" s="6"/>
      <c r="I49" s="6"/>
      <c r="J49" s="6"/>
      <c r="K49" s="6"/>
    </row>
    <row r="50" customHeight="1" ht="17.0">
      <c r="B50" s="148" t="s">
        <v>122</v>
      </c>
      <c r="C50" s="165">
        <v>6000.0</v>
      </c>
      <c r="D50" s="166">
        <v>1.0</v>
      </c>
      <c r="E50" s="167">
        <f t="shared" si="55"/>
        <v>6000.0</v>
      </c>
      <c r="F50" s="5"/>
      <c r="G50" s="6"/>
      <c r="H50" s="6"/>
      <c r="I50" s="6"/>
      <c r="J50" s="6"/>
      <c r="K50" s="6"/>
    </row>
    <row r="51" customHeight="1" ht="17.0">
      <c r="B51" s="148" t="s">
        <v>123</v>
      </c>
      <c r="C51" s="165">
        <v>0.0</v>
      </c>
      <c r="D51" s="166">
        <v>1.0</v>
      </c>
      <c r="E51" s="167">
        <f t="shared" si="55"/>
        <v>0.0</v>
      </c>
      <c r="F51" s="5"/>
      <c r="G51" s="6"/>
      <c r="H51" s="6"/>
      <c r="I51" s="6"/>
      <c r="J51" s="6"/>
      <c r="K51" s="6"/>
    </row>
    <row r="52" customHeight="1" ht="17.0">
      <c r="B52" s="148" t="s">
        <v>124</v>
      </c>
      <c r="C52" s="165">
        <v>0.0</v>
      </c>
      <c r="D52" s="166">
        <v>1.0</v>
      </c>
      <c r="E52" s="167">
        <f t="shared" si="55"/>
        <v>0.0</v>
      </c>
      <c r="F52" s="5"/>
      <c r="G52" s="6"/>
      <c r="H52" s="6"/>
      <c r="I52" s="6"/>
      <c r="J52" s="6"/>
      <c r="K52" s="6"/>
    </row>
    <row r="53" customHeight="1" ht="17.0">
      <c r="B53" s="148" t="s">
        <v>125</v>
      </c>
      <c r="C53" s="165">
        <v>700.0</v>
      </c>
      <c r="D53" s="166">
        <v>1.0</v>
      </c>
      <c r="E53" s="167">
        <f t="shared" si="55"/>
        <v>700.0</v>
      </c>
      <c r="F53" s="5"/>
      <c r="G53" s="6"/>
      <c r="H53" s="6"/>
      <c r="I53" s="6"/>
      <c r="J53" s="6"/>
      <c r="K53" s="6"/>
    </row>
    <row r="54" customHeight="1" ht="17.0">
      <c r="B54" s="168" t="s">
        <v>126</v>
      </c>
      <c r="C54" s="169"/>
      <c r="D54" s="170"/>
      <c r="E54" s="171">
        <f>E67</f>
        <v>800.0</v>
      </c>
      <c r="F54" s="5"/>
      <c r="G54" s="6"/>
      <c r="H54" s="6"/>
      <c r="I54" s="6"/>
      <c r="J54" s="6"/>
      <c r="K54" s="6"/>
    </row>
    <row r="55" customHeight="1" ht="17.0">
      <c r="B55" s="160" t="s">
        <v>127</v>
      </c>
      <c r="C55" s="161"/>
      <c r="D55" s="161"/>
      <c r="E55" s="172">
        <f>SUM(E39:E54)</f>
        <v>10000.0</v>
      </c>
      <c r="F55" s="5"/>
      <c r="G55" s="6"/>
      <c r="H55" s="6"/>
      <c r="I55" s="6"/>
      <c r="J55" s="6"/>
      <c r="K55" s="6"/>
    </row>
    <row r="56" customHeight="1" ht="17.0">
      <c r="B56" s="173"/>
      <c r="C56" s="173"/>
      <c r="D56" s="173"/>
      <c r="E56" s="173"/>
      <c r="F56" s="6"/>
      <c r="G56" s="6"/>
      <c r="H56" s="6"/>
      <c r="I56" s="6"/>
      <c r="J56" s="6"/>
      <c r="K56" s="6"/>
    </row>
    <row r="57" customHeight="1" ht="17.0">
      <c r="B57" s="142" t="s">
        <v>128</v>
      </c>
      <c r="C57" s="163" t="s">
        <v>110</v>
      </c>
      <c r="D57" s="163" t="s">
        <v>111</v>
      </c>
      <c r="E57" s="164" t="s">
        <v>71</v>
      </c>
      <c r="F57" s="5"/>
      <c r="G57" s="6"/>
      <c r="H57" s="6"/>
      <c r="I57" s="6"/>
      <c r="J57" s="6"/>
      <c r="K57" s="6"/>
    </row>
    <row r="58" customHeight="1" ht="17.0">
      <c r="B58" s="148" t="s">
        <v>129</v>
      </c>
      <c r="C58" s="165">
        <v>35.0</v>
      </c>
      <c r="D58" s="165">
        <v>1.0</v>
      </c>
      <c r="E58" s="167">
        <f t="shared" ref="E58:E66" si="58">C58*D58</f>
        <v>35.0</v>
      </c>
      <c r="F58" s="5"/>
      <c r="G58" s="6"/>
      <c r="H58" s="6"/>
      <c r="I58" s="6"/>
      <c r="J58" s="6"/>
      <c r="K58" s="6"/>
    </row>
    <row r="59" customHeight="1" ht="17.0">
      <c r="B59" s="148" t="s">
        <v>130</v>
      </c>
      <c r="C59" s="165">
        <v>25.0</v>
      </c>
      <c r="D59" s="165">
        <v>2.0</v>
      </c>
      <c r="E59" s="167">
        <f t="shared" si="58"/>
        <v>50.0</v>
      </c>
      <c r="F59" s="5"/>
      <c r="G59" s="6"/>
      <c r="H59" s="6"/>
      <c r="I59" s="6"/>
      <c r="J59" s="6"/>
      <c r="K59" s="6"/>
    </row>
    <row r="60" customHeight="1" ht="17.0">
      <c r="B60" s="148" t="s">
        <v>131</v>
      </c>
      <c r="C60" s="165">
        <v>65.0</v>
      </c>
      <c r="D60" s="165">
        <v>2.0</v>
      </c>
      <c r="E60" s="167">
        <f t="shared" si="58"/>
        <v>130.0</v>
      </c>
      <c r="F60" s="5"/>
      <c r="G60" s="6"/>
      <c r="H60" s="6"/>
      <c r="I60" s="6"/>
      <c r="J60" s="6"/>
      <c r="K60" s="6"/>
    </row>
    <row r="61" customHeight="1" ht="17.0">
      <c r="B61" s="148" t="s">
        <v>132</v>
      </c>
      <c r="C61" s="165">
        <v>300.0</v>
      </c>
      <c r="D61" s="165">
        <v>1.0</v>
      </c>
      <c r="E61" s="167">
        <f t="shared" si="58"/>
        <v>300.0</v>
      </c>
      <c r="F61" s="5"/>
      <c r="G61" s="6"/>
      <c r="H61" s="6"/>
      <c r="I61" s="6"/>
      <c r="J61" s="6"/>
      <c r="K61" s="6"/>
    </row>
    <row r="62" customHeight="1" ht="17.0">
      <c r="B62" s="148" t="s">
        <v>133</v>
      </c>
      <c r="C62" s="165">
        <v>20.0</v>
      </c>
      <c r="D62" s="165">
        <v>1.0</v>
      </c>
      <c r="E62" s="167">
        <f t="shared" si="58"/>
        <v>20.0</v>
      </c>
      <c r="F62" s="5"/>
      <c r="G62" s="6"/>
      <c r="H62" s="6"/>
      <c r="I62" s="6"/>
      <c r="J62" s="6"/>
      <c r="K62" s="6"/>
    </row>
    <row r="63" customHeight="1" ht="17.0">
      <c r="B63" s="148" t="s">
        <v>134</v>
      </c>
      <c r="C63" s="165">
        <v>18.0</v>
      </c>
      <c r="D63" s="165">
        <v>1.0</v>
      </c>
      <c r="E63" s="167">
        <f t="shared" si="58"/>
        <v>18.0</v>
      </c>
      <c r="F63" s="5"/>
      <c r="G63" s="6"/>
      <c r="H63" s="6"/>
      <c r="I63" s="6"/>
      <c r="J63" s="6"/>
      <c r="K63" s="6"/>
    </row>
    <row r="64" customHeight="1" ht="17.0">
      <c r="B64" s="148" t="s">
        <v>135</v>
      </c>
      <c r="C64" s="165">
        <v>100.0</v>
      </c>
      <c r="D64" s="165">
        <v>1.0</v>
      </c>
      <c r="E64" s="167">
        <f t="shared" si="58"/>
        <v>100.0</v>
      </c>
      <c r="F64" s="5"/>
      <c r="G64" s="6"/>
      <c r="H64" s="6"/>
      <c r="I64" s="6"/>
      <c r="J64" s="6"/>
      <c r="K64" s="6"/>
    </row>
    <row r="65" customHeight="1" ht="17.0">
      <c r="B65" s="148" t="s">
        <v>136</v>
      </c>
      <c r="C65" s="165">
        <v>50.0</v>
      </c>
      <c r="D65" s="165">
        <v>1.0</v>
      </c>
      <c r="E65" s="167">
        <f t="shared" si="58"/>
        <v>50.0</v>
      </c>
      <c r="F65" s="5"/>
      <c r="G65" s="6"/>
      <c r="H65" s="6"/>
      <c r="I65" s="6"/>
      <c r="J65" s="6"/>
      <c r="K65" s="6"/>
    </row>
    <row r="66" customHeight="1" ht="17.0">
      <c r="B66" s="168" t="s">
        <v>137</v>
      </c>
      <c r="C66" s="165">
        <v>97.0</v>
      </c>
      <c r="D66" s="165">
        <v>1.0</v>
      </c>
      <c r="E66" s="167">
        <f t="shared" si="58"/>
        <v>97.0</v>
      </c>
      <c r="F66" s="5"/>
      <c r="G66" s="6"/>
      <c r="H66" s="6"/>
      <c r="I66" s="6"/>
      <c r="J66" s="6"/>
      <c r="K66" s="6"/>
    </row>
    <row r="67" customHeight="1" ht="17.0">
      <c r="B67" s="160" t="s">
        <v>138</v>
      </c>
      <c r="C67" s="161"/>
      <c r="D67" s="161"/>
      <c r="E67" s="162">
        <f>SUM(E58:E66)</f>
        <v>800.0</v>
      </c>
      <c r="F67" s="5"/>
      <c r="G67" s="6"/>
      <c r="H67" s="6"/>
      <c r="I67" s="6"/>
      <c r="J67" s="6"/>
      <c r="K67" s="6"/>
    </row>
    <row r="68" customHeight="1" ht="17.0">
      <c r="B68" s="5"/>
      <c r="C68" s="5"/>
      <c r="D68" s="5"/>
      <c r="E68" s="5"/>
      <c r="F68" s="5"/>
      <c r="G68" s="5"/>
      <c r="H68" s="5"/>
      <c r="I68" s="5"/>
      <c r="J68" s="5"/>
      <c r="K68" s="5"/>
    </row>
    <row r="69" customHeight="1" ht="17.0">
      <c r="B69" s="174" t="s">
        <f>IF('1. Project Structure'!C12="SBA 7a","SBA 7a","Not 7a, Guaranty Calculation not applicable")</f>
        <v>139</v>
      </c>
      <c r="C69" s="175"/>
      <c r="D69" s="175"/>
      <c r="E69" s="175"/>
      <c r="F69" s="175"/>
      <c r="G69" s="175"/>
      <c r="H69" s="175"/>
      <c r="I69" s="175"/>
      <c r="J69" s="175"/>
      <c r="K69" s="176"/>
    </row>
    <row r="70" customHeight="1" ht="17.0">
      <c r="B70" s="177"/>
      <c r="C70" s="178"/>
      <c r="D70" s="178"/>
      <c r="E70" s="179" t="s">
        <v>140</v>
      </c>
      <c r="F70" s="180"/>
      <c r="G70" s="181">
        <f>'1. Project Structure'!J12</f>
        <v>0.75</v>
      </c>
      <c r="H70" s="182"/>
      <c r="I70" s="182"/>
      <c r="J70" s="182"/>
      <c r="K70" s="183"/>
    </row>
    <row r="71" customHeight="1" ht="17.0">
      <c r="B71" s="184" t="s">
        <v>141</v>
      </c>
      <c r="C71" s="185"/>
      <c r="D71" s="185"/>
      <c r="E71" s="185"/>
      <c r="F71" s="185"/>
      <c r="G71" s="185"/>
      <c r="H71" s="185"/>
      <c r="I71" s="185"/>
      <c r="J71" s="185"/>
      <c r="K71" s="186"/>
    </row>
    <row r="72" customHeight="1" ht="17.0">
      <c r="B72" s="187" t="s">
        <v>142</v>
      </c>
      <c r="C72" s="188"/>
      <c r="D72" s="188"/>
      <c r="E72" s="188"/>
      <c r="F72" s="189">
        <f>'1. Project Structure'!E22</f>
        <v>0.0</v>
      </c>
      <c r="G72" s="190"/>
      <c r="H72" s="191"/>
      <c r="I72" s="192"/>
      <c r="J72" s="192"/>
      <c r="K72" s="193"/>
    </row>
    <row r="73" customHeight="1" ht="17.0">
      <c r="B73" s="187" t="s">
        <v>143</v>
      </c>
      <c r="C73" s="188"/>
      <c r="D73" s="188"/>
      <c r="E73" s="188"/>
      <c r="F73" s="194">
        <f>'1. Project Structure'!G22</f>
        <v>0.0</v>
      </c>
      <c r="G73" s="195"/>
      <c r="H73" s="196"/>
      <c r="I73" s="178"/>
      <c r="J73" s="192"/>
      <c r="K73" s="193"/>
    </row>
    <row r="74" customHeight="1" ht="17.0">
      <c r="B74" s="197" t="s">
        <v>144</v>
      </c>
      <c r="C74" s="198"/>
      <c r="D74" s="197"/>
      <c r="E74" s="197"/>
      <c r="F74" s="197"/>
      <c r="G74" s="197"/>
      <c r="H74" s="197"/>
      <c r="I74" s="197"/>
      <c r="J74" s="197"/>
      <c r="K74" s="197"/>
    </row>
    <row r="75" customHeight="1" ht="17.0">
      <c r="B75" s="199" t="s">
        <v>145</v>
      </c>
      <c r="C75" s="200"/>
      <c r="D75" s="199"/>
      <c r="E75" s="201"/>
      <c r="F75" s="200" t="s">
        <v>146</v>
      </c>
      <c r="G75" s="199"/>
      <c r="H75" s="201"/>
      <c r="I75" s="200" t="s">
        <v>147</v>
      </c>
      <c r="J75" s="199"/>
      <c r="K75" s="199"/>
    </row>
    <row r="76" customHeight="1" ht="17.0">
      <c r="B76" s="177" t="s">
        <v>148</v>
      </c>
      <c r="C76" s="178"/>
      <c r="D76" s="202"/>
      <c r="E76" s="203">
        <f>IF(B69="SBA 7a",'1. Project Structure'!C12,0)</f>
        <v>0.0</v>
      </c>
      <c r="F76" s="177" t="s">
        <v>148</v>
      </c>
      <c r="G76" s="178"/>
      <c r="H76" s="204">
        <f>F72</f>
        <v>0.0</v>
      </c>
      <c r="I76" s="177" t="s">
        <v>148</v>
      </c>
      <c r="J76" s="178"/>
      <c r="K76" s="204">
        <f>H76+E76</f>
        <v>0.0</v>
      </c>
    </row>
    <row r="77" customHeight="1" ht="17.0">
      <c r="B77" s="177" t="s">
        <v>149</v>
      </c>
      <c r="C77" s="178"/>
      <c r="D77" s="205"/>
      <c r="E77" s="204">
        <f>E76*G70</f>
        <v>0.0</v>
      </c>
      <c r="F77" s="177" t="s">
        <v>149</v>
      </c>
      <c r="G77" s="178"/>
      <c r="H77" s="204">
        <f>H76*F73</f>
        <v>0.0</v>
      </c>
      <c r="I77" s="177" t="s">
        <v>149</v>
      </c>
      <c r="J77" s="178"/>
      <c r="K77" s="204">
        <f>E77+H77</f>
        <v>0.0</v>
      </c>
    </row>
    <row r="78" customHeight="1" ht="17.0">
      <c r="B78" s="177" t="s">
        <v>150</v>
      </c>
      <c r="C78" s="178"/>
      <c r="D78" s="205"/>
      <c r="E78" s="204">
        <f>SUM(E83:E87)</f>
        <v>0.0</v>
      </c>
      <c r="F78" s="177" t="s">
        <v>150</v>
      </c>
      <c r="G78" s="178"/>
      <c r="H78" s="204" t="e">
        <f>SUM(F83:G87)</f>
        <v>#REF!</v>
      </c>
      <c r="I78" s="177" t="s">
        <v>150</v>
      </c>
      <c r="J78" s="178"/>
      <c r="K78" s="204">
        <f>SUM(J83:J87)</f>
        <v>0.0</v>
      </c>
    </row>
    <row r="79" customHeight="1" ht="17.0">
      <c r="B79" s="206" t="s">
        <v>151</v>
      </c>
      <c r="C79" s="207"/>
      <c r="D79" s="208"/>
      <c r="E79" s="209">
        <f>IF(F72&gt;0,K78-H78-E78,0)</f>
        <v>0.0</v>
      </c>
      <c r="F79" s="206"/>
      <c r="G79" s="207"/>
      <c r="H79" s="210"/>
      <c r="I79" s="206"/>
      <c r="J79" s="207"/>
      <c r="K79" s="210"/>
    </row>
    <row r="80" customHeight="1" ht="17.0">
      <c r="B80" s="211" t="s">
        <v>152</v>
      </c>
      <c r="C80" s="212"/>
      <c r="D80" s="213">
        <f>ROUNDUP(E78+E79,-0.1)</f>
        <v>0.0</v>
      </c>
      <c r="E80" s="214"/>
      <c r="F80" s="211" t="s">
        <v>152</v>
      </c>
      <c r="G80" s="212"/>
      <c r="H80" s="215" t="e">
        <f>ROUNDUP(H78+H79,-0.1)</f>
        <v>#REF!</v>
      </c>
      <c r="I80" s="211" t="s">
        <v>152</v>
      </c>
      <c r="J80" s="212"/>
      <c r="K80" s="215">
        <f>ROUNDUP(K78+K79,-0.1)</f>
        <v>0.0</v>
      </c>
    </row>
    <row r="81" customHeight="1" ht="17.0">
      <c r="B81" s="216"/>
      <c r="C81" s="217"/>
      <c r="D81" s="217"/>
      <c r="E81" s="217"/>
      <c r="F81" s="217"/>
      <c r="G81" s="217"/>
      <c r="H81" s="217"/>
      <c r="I81" s="217"/>
      <c r="J81" s="217"/>
      <c r="K81" s="218"/>
    </row>
    <row r="82" customHeight="1" ht="17.0">
      <c r="B82" s="219" t="s">
        <v>153</v>
      </c>
      <c r="C82" s="220" t="s">
        <v>154</v>
      </c>
      <c r="D82" s="220"/>
      <c r="E82" s="220"/>
      <c r="F82" s="221" t="s">
        <v>155</v>
      </c>
      <c r="G82" s="221"/>
      <c r="H82" s="220"/>
      <c r="I82" s="220" t="s">
        <v>156</v>
      </c>
      <c r="J82" s="220" t="s">
        <v>154</v>
      </c>
      <c r="K82" s="222"/>
    </row>
    <row r="83" customHeight="1" ht="17.0">
      <c r="B83" s="223" t="s">
        <v>157</v>
      </c>
      <c r="C83" s="224">
        <v>150000.0</v>
      </c>
      <c r="D83" s="225">
        <v>0.02</v>
      </c>
      <c r="E83" s="226">
        <f>IF(E76&lt;=C83,E77*D83,0)</f>
        <v>0.0</v>
      </c>
      <c r="F83" s="226">
        <f>IF(H76&lt;=$C$83,H77*$D$83,0)</f>
        <v>0.0</v>
      </c>
      <c r="G83" s="226"/>
      <c r="H83" s="178"/>
      <c r="I83" s="227"/>
      <c r="J83" s="227">
        <f>IF(K76&lt;=C83,K77*D83,0)</f>
        <v>0.0</v>
      </c>
      <c r="K83" s="228"/>
    </row>
    <row r="84" customHeight="1" ht="17.0">
      <c r="B84" s="229">
        <v>150001.0</v>
      </c>
      <c r="C84" s="230">
        <v>700000.0</v>
      </c>
      <c r="D84" s="225">
        <v>0.03</v>
      </c>
      <c r="E84" s="226">
        <f>IF(E76&gt;=C84+1,0,IF(E76&gt;=B84,E77*D84,0))</f>
        <v>0.0</v>
      </c>
      <c r="F84" s="226">
        <f>IF($H$76&gt;=$C$84+1,0,IF($H$76&gt;=$B$84,$H$77*$D$84,0))</f>
        <v>0.0</v>
      </c>
      <c r="G84" s="226" t="e">
        <f>IF(#REF!&gt;=#REF!+1,0,IF(#REF!&gt;=#REF!,#REF!*#REF!,0))</f>
        <v>#REF!</v>
      </c>
      <c r="H84" s="178"/>
      <c r="I84" s="227"/>
      <c r="J84" s="226">
        <f>IF(K76&gt;=C84+1,0,IF(K76&gt;=B84,K77*D84,0))</f>
        <v>0.0</v>
      </c>
      <c r="K84" s="228"/>
    </row>
    <row r="85" customHeight="1" ht="17.0">
      <c r="B85" s="231"/>
      <c r="C85" s="232"/>
      <c r="D85" s="233">
        <v>0.0</v>
      </c>
      <c r="E85" s="234">
        <f>IF(E76&gt;=$C$84+1,0,IF(E76&gt;=$B$84,IF(E77&gt;1000000,(E77-1000000)*D85,0),0))</f>
        <v>0.0</v>
      </c>
      <c r="F85" s="234">
        <f>IF(H76&gt;=C84+1,0,IF(H76&gt;=B84,IF(H77&gt;1000000,(H77-1000000)*D85,0),0))</f>
        <v>0.0</v>
      </c>
      <c r="G85" s="234"/>
      <c r="H85" s="235"/>
      <c r="I85" s="236"/>
      <c r="J85" s="236">
        <f>IF(K76&gt;=C84+1,0,IF(K76&gt;=B84,IF(K77&gt;1000000,(K77-1000000)*D85,0),0))</f>
        <v>0.0</v>
      </c>
      <c r="K85" s="237"/>
    </row>
    <row r="86" customHeight="1" ht="17.0">
      <c r="B86" s="229">
        <v>700001.0</v>
      </c>
      <c r="C86" s="230">
        <v>5000000.0</v>
      </c>
      <c r="D86" s="225">
        <v>0.035</v>
      </c>
      <c r="E86" s="226">
        <f>IF(E76&gt;=$B$86,1000000*$D$86,0)</f>
        <v>0.0</v>
      </c>
      <c r="F86" s="226">
        <f>MIN(35000,IF(H76&gt;=$C$86+1,1000000*$D$86,0))</f>
        <v>0.0</v>
      </c>
      <c r="G86" s="226"/>
      <c r="H86" s="178"/>
      <c r="I86" s="227"/>
      <c r="J86" s="227">
        <f>MIN(35000,IF(K76&gt;=C86+1,1000000*D86,0))</f>
        <v>0.0</v>
      </c>
      <c r="K86" s="228"/>
    </row>
    <row r="87" customHeight="1" ht="17.0">
      <c r="B87" s="238"/>
      <c r="C87" s="239"/>
      <c r="D87" s="240">
        <v>0.0375</v>
      </c>
      <c r="E87" s="241">
        <f>IF(E76&gt;=$B$86,(E77-1000000)*$D$87,0)</f>
        <v>0.0</v>
      </c>
      <c r="F87" s="241">
        <f>IF((H77-$B$86)*$D$87&lt;=0,0,(H77-1000000)*$D$87)</f>
        <v>0.0</v>
      </c>
      <c r="G87" s="241"/>
      <c r="H87" s="207"/>
      <c r="I87" s="242"/>
      <c r="J87" s="242">
        <f>IF((K76-B86)*D87&lt;=0,0,(K76-1000000)*D87)</f>
        <v>0.0</v>
      </c>
      <c r="K87" s="243"/>
    </row>
    <row r="88" customHeight="1" ht="17.0"/>
    <row r="89" customHeight="1" ht="17.0"/>
    <row r="90" customHeight="1" ht="17.0">
      <c r="B90" s="244" t="s">
        <v>158</v>
      </c>
      <c r="C90" s="220"/>
      <c r="D90" s="245" t="s">
        <v>159</v>
      </c>
      <c r="E90" s="246"/>
      <c r="F90" s="220"/>
      <c r="G90" s="220"/>
      <c r="H90" s="220"/>
      <c r="I90" s="220"/>
      <c r="J90" s="220"/>
      <c r="K90" s="220"/>
      <c r="L90" s="247"/>
    </row>
    <row r="91" customHeight="1" ht="17.0">
      <c r="B91" s="248" t="s">
        <v>160</v>
      </c>
      <c r="C91" s="178" t="s">
        <v>148</v>
      </c>
      <c r="D91" s="178" t="s">
        <v>161</v>
      </c>
      <c r="E91" s="178" t="s">
        <v>162</v>
      </c>
      <c r="F91" s="178" t="s">
        <v>163</v>
      </c>
      <c r="G91" s="178" t="s">
        <v>164</v>
      </c>
      <c r="H91" s="178" t="s">
        <v>165</v>
      </c>
      <c r="I91" s="178" t="s">
        <v>166</v>
      </c>
      <c r="J91" s="178" t="s">
        <v>167</v>
      </c>
      <c r="K91" s="178" t="s">
        <v>168</v>
      </c>
      <c r="L91" s="249"/>
    </row>
    <row r="92" customHeight="1" ht="17.0">
      <c r="B92" s="248" t="s">
        <v>169</v>
      </c>
      <c r="C92" s="250">
        <f>IF($E$90&gt;0,$E$90,IF($C$22&gt;0,$C$22,'1. Project Structure'!$C$13))</f>
        <v>0.0</v>
      </c>
      <c r="D92" s="251">
        <f>'1. Project Structure'!$C$16</f>
        <v>0.09</v>
      </c>
      <c r="E92" s="252">
        <f>'1. Project Structure'!$C$18*12</f>
        <v>120.0</v>
      </c>
      <c r="F92" s="253">
        <f>'1. Project Structure'!$C$19</f>
        <v>120.0</v>
      </c>
      <c r="G92" s="254">
        <f t="shared" ref="G92:G94" si="97">TODAY()+45</f>
        <v>46044.0</v>
      </c>
      <c r="H92" s="254">
        <f t="shared" ref="H92:H94" si="98">DATE(YEAR(G92)+F92/12,MONTH(G92),DAY(G92))</f>
        <v>49696</v>
      </c>
      <c r="I92" s="252">
        <f t="shared" ref="I92:I94" si="99">H92-G92</f>
        <v>3652.0</v>
      </c>
      <c r="J92" s="255">
        <f>IFERROR((D92/360)*30*12,0)</f>
        <v>0.09</v>
      </c>
      <c r="K92" s="256">
        <f t="shared" ref="K92:K94" si="101">IFERROR(PMT(J92/12,F92,-C92),"Incomplete Data")</f>
        <v>0.0</v>
      </c>
      <c r="L92" s="249"/>
    </row>
    <row r="93" customHeight="1" ht="17.0">
      <c r="B93" s="248" t="s">
        <v>55</v>
      </c>
      <c r="C93" s="250">
        <f>IF($E$90&gt;0,$E$90,IF($C$22&gt;0,$C$22,'1. Project Structure'!$C$13))</f>
        <v>0.0</v>
      </c>
      <c r="D93" s="251">
        <f>'1. Project Structure'!$C$16</f>
        <v>0.09</v>
      </c>
      <c r="E93" s="252">
        <f>'1. Project Structure'!$C$18*12</f>
        <v>120.0</v>
      </c>
      <c r="F93" s="253">
        <f>'1. Project Structure'!$C$19</f>
        <v>120.0</v>
      </c>
      <c r="G93" s="254">
        <f t="shared" si="97"/>
        <v>46044.0</v>
      </c>
      <c r="H93" s="254">
        <f t="shared" si="98"/>
        <v>49696</v>
      </c>
      <c r="I93" s="252">
        <f t="shared" si="99"/>
        <v>3652.0</v>
      </c>
      <c r="J93" s="255">
        <f>IFERROR((D93/(365*F93/12))*I93,0)</f>
        <v>0.0900493150684931</v>
      </c>
      <c r="K93" s="256">
        <f t="shared" si="101"/>
        <v>0.0</v>
      </c>
      <c r="L93" s="249"/>
    </row>
    <row r="94" customHeight="1" ht="17.0">
      <c r="B94" s="248" t="s">
        <v>170</v>
      </c>
      <c r="C94" s="250">
        <f>IF($E$90&gt;0,$E$90,IF($C$22&gt;0,$C$22,'1. Project Structure'!$C$13))</f>
        <v>0.0</v>
      </c>
      <c r="D94" s="251">
        <f>'1. Project Structure'!$C$16</f>
        <v>0.09</v>
      </c>
      <c r="E94" s="252">
        <f>'1. Project Structure'!$C$18*12</f>
        <v>120.0</v>
      </c>
      <c r="F94" s="253">
        <f>'1. Project Structure'!$C$19</f>
        <v>120.0</v>
      </c>
      <c r="G94" s="254">
        <f t="shared" si="97"/>
        <v>46044.0</v>
      </c>
      <c r="H94" s="254">
        <f t="shared" si="98"/>
        <v>49696</v>
      </c>
      <c r="I94" s="252">
        <f t="shared" si="99"/>
        <v>3652.0</v>
      </c>
      <c r="J94" s="255">
        <f>IFERROR((D94/(360*F94/12))*I94,0)</f>
        <v>0.0913</v>
      </c>
      <c r="K94" s="256">
        <f t="shared" si="101"/>
        <v>0.0</v>
      </c>
      <c r="L94" s="249"/>
    </row>
    <row r="95" customHeight="1" ht="17.0">
      <c r="B95" s="257"/>
      <c r="C95" s="250"/>
      <c r="D95" s="251"/>
      <c r="E95" s="252"/>
      <c r="F95" s="252"/>
      <c r="G95" s="252"/>
      <c r="H95" s="254"/>
      <c r="I95" s="252"/>
      <c r="J95" s="255"/>
      <c r="K95" s="256"/>
      <c r="L95" s="249"/>
    </row>
    <row r="96" customHeight="1" ht="17.0">
      <c r="B96" s="257" t="s">
        <v>171</v>
      </c>
      <c r="C96" s="250"/>
      <c r="D96" s="251"/>
      <c r="E96" s="252"/>
      <c r="F96" s="252"/>
      <c r="G96" s="252"/>
      <c r="H96" s="254"/>
      <c r="I96" s="252"/>
      <c r="J96" s="255"/>
      <c r="K96" s="256"/>
      <c r="L96" s="249"/>
    </row>
    <row r="97" customHeight="1" ht="17.0">
      <c r="B97" s="248" t="s">
        <v>160</v>
      </c>
      <c r="C97" s="178" t="s">
        <v>148</v>
      </c>
      <c r="D97" s="178" t="s">
        <v>161</v>
      </c>
      <c r="E97" s="178" t="s">
        <v>162</v>
      </c>
      <c r="F97" s="178" t="s">
        <v>163</v>
      </c>
      <c r="G97" s="178" t="s">
        <v>164</v>
      </c>
      <c r="H97" s="178" t="s">
        <v>165</v>
      </c>
      <c r="I97" s="178" t="s">
        <v>166</v>
      </c>
      <c r="J97" s="178" t="s">
        <v>167</v>
      </c>
      <c r="K97" s="178" t="s">
        <v>168</v>
      </c>
      <c r="L97" s="249"/>
    </row>
    <row r="98" customHeight="1" ht="17.0">
      <c r="B98" s="248" t="s">
        <v>169</v>
      </c>
      <c r="C98" s="250">
        <f>IF($E$90&gt;0,$E$90,IF($C$22&gt;0,$C$22,'1. Project Structure'!$C$13))</f>
        <v>0.0</v>
      </c>
      <c r="D98" s="251">
        <f>'1. Project Structure'!$C$16+1%</f>
        <v>0.1</v>
      </c>
      <c r="E98" s="252">
        <f>'1. Project Structure'!$C$18*12</f>
        <v>120.0</v>
      </c>
      <c r="F98" s="253">
        <f>'1. Project Structure'!$C$19</f>
        <v>120.0</v>
      </c>
      <c r="G98" s="254">
        <f t="shared" ref="G98:G100" si="108">TODAY()+45</f>
        <v>46044.0</v>
      </c>
      <c r="H98" s="254">
        <f t="shared" ref="H98:H100" si="109">DATE(YEAR(G98)+F98/12,MONTH(G98),DAY(G98))</f>
        <v>49696</v>
      </c>
      <c r="I98" s="252">
        <f t="shared" ref="I98:I100" si="110">H98-G98</f>
        <v>3652.0</v>
      </c>
      <c r="J98" s="255">
        <f>IFERROR((D98/360)*30*12,0)</f>
        <v>0.1</v>
      </c>
      <c r="K98" s="256">
        <f t="shared" ref="K98:K100" si="112">IFERROR(PMT(J98/12,F98,-C98),"Incomplete Data")</f>
        <v>0.0</v>
      </c>
      <c r="L98" s="249"/>
    </row>
    <row r="99" customHeight="1" ht="17.0">
      <c r="B99" s="248" t="s">
        <v>55</v>
      </c>
      <c r="C99" s="250">
        <f>IF($E$90&gt;0,$E$90,IF($C$22&gt;0,$C$22,'1. Project Structure'!$C$13))</f>
        <v>0.0</v>
      </c>
      <c r="D99" s="251">
        <f>'1. Project Structure'!$C$16+1%</f>
        <v>0.1</v>
      </c>
      <c r="E99" s="252">
        <f>'1. Project Structure'!$C$18*12</f>
        <v>120.0</v>
      </c>
      <c r="F99" s="253">
        <f>'1. Project Structure'!$C$19</f>
        <v>120.0</v>
      </c>
      <c r="G99" s="254">
        <f t="shared" si="108"/>
        <v>46044.0</v>
      </c>
      <c r="H99" s="254">
        <f t="shared" si="109"/>
        <v>49696</v>
      </c>
      <c r="I99" s="252">
        <f t="shared" si="110"/>
        <v>3652.0</v>
      </c>
      <c r="J99" s="255">
        <f>IFERROR((D99/(365*F99/12))*I99,0)</f>
        <v>0.100054794520548</v>
      </c>
      <c r="K99" s="256">
        <f t="shared" si="112"/>
        <v>0.0</v>
      </c>
      <c r="L99" s="249"/>
    </row>
    <row r="100" customHeight="1" ht="17.0">
      <c r="B100" s="248" t="s">
        <v>170</v>
      </c>
      <c r="C100" s="250">
        <f>IF($E$90&gt;0,$E$90,IF($C$22&gt;0,$C$22,'1. Project Structure'!$C$13))</f>
        <v>0.0</v>
      </c>
      <c r="D100" s="251">
        <f>'1. Project Structure'!$C$16+1%</f>
        <v>0.1</v>
      </c>
      <c r="E100" s="252">
        <f>'1. Project Structure'!$C$18*12</f>
        <v>120.0</v>
      </c>
      <c r="F100" s="253">
        <f>'1. Project Structure'!$C$19</f>
        <v>120.0</v>
      </c>
      <c r="G100" s="254">
        <f t="shared" si="108"/>
        <v>46044.0</v>
      </c>
      <c r="H100" s="254">
        <f t="shared" si="109"/>
        <v>49696</v>
      </c>
      <c r="I100" s="252">
        <f t="shared" si="110"/>
        <v>3652.0</v>
      </c>
      <c r="J100" s="255">
        <f>IFERROR((D100/(360*F100/12))*I100,0)</f>
        <v>0.101444444444444</v>
      </c>
      <c r="K100" s="256">
        <f t="shared" si="112"/>
        <v>0.0</v>
      </c>
      <c r="L100" s="249"/>
    </row>
    <row r="101" customHeight="1" ht="17.0">
      <c r="B101" s="257"/>
      <c r="C101" s="250"/>
      <c r="D101" s="251"/>
      <c r="E101" s="252"/>
      <c r="F101" s="252"/>
      <c r="G101" s="252"/>
      <c r="H101" s="254"/>
      <c r="I101" s="252"/>
      <c r="J101" s="255"/>
      <c r="K101" s="256"/>
      <c r="L101" s="249"/>
    </row>
    <row r="102" customHeight="1" ht="17.0">
      <c r="B102" s="257" t="s">
        <v>172</v>
      </c>
      <c r="C102" s="250"/>
      <c r="D102" s="251"/>
      <c r="E102" s="252"/>
      <c r="F102" s="252"/>
      <c r="G102" s="252"/>
      <c r="H102" s="254"/>
      <c r="I102" s="252"/>
      <c r="J102" s="255"/>
      <c r="K102" s="256"/>
      <c r="L102" s="249"/>
    </row>
    <row r="103" customHeight="1" ht="17.0">
      <c r="B103" s="248" t="s">
        <v>160</v>
      </c>
      <c r="C103" s="178" t="s">
        <v>148</v>
      </c>
      <c r="D103" s="178" t="s">
        <v>161</v>
      </c>
      <c r="E103" s="178" t="s">
        <v>162</v>
      </c>
      <c r="F103" s="178" t="s">
        <v>163</v>
      </c>
      <c r="G103" s="178" t="s">
        <v>164</v>
      </c>
      <c r="H103" s="178" t="s">
        <v>165</v>
      </c>
      <c r="I103" s="178" t="s">
        <v>166</v>
      </c>
      <c r="J103" s="178" t="s">
        <v>167</v>
      </c>
      <c r="K103" s="178" t="s">
        <v>168</v>
      </c>
      <c r="L103" s="249"/>
    </row>
    <row r="104" customHeight="1" ht="17.0">
      <c r="B104" s="248" t="s">
        <v>169</v>
      </c>
      <c r="C104" s="250">
        <f>IF($E$90&gt;0,$E$90,IF($C$22&gt;0,$C$22,'1. Project Structure'!$C$13))</f>
        <v>0.0</v>
      </c>
      <c r="D104" s="251">
        <f>'1. Project Structure'!$C$16+2%</f>
        <v>0.11</v>
      </c>
      <c r="E104" s="252">
        <f>'1. Project Structure'!$C$18*12</f>
        <v>120.0</v>
      </c>
      <c r="F104" s="253">
        <f>'1. Project Structure'!$C$19</f>
        <v>120.0</v>
      </c>
      <c r="G104" s="254">
        <f t="shared" ref="G104:G106" si="119">TODAY()+45</f>
        <v>46044.0</v>
      </c>
      <c r="H104" s="254">
        <f t="shared" ref="H104:H106" si="120">DATE(YEAR(G104)+F104/12,MONTH(G104),DAY(G104))</f>
        <v>49696</v>
      </c>
      <c r="I104" s="252">
        <f t="shared" ref="I104:I106" si="121">H104-G104</f>
        <v>3652.0</v>
      </c>
      <c r="J104" s="255">
        <f>IFERROR((D104/360)*30*12,0)</f>
        <v>0.11</v>
      </c>
      <c r="K104" s="256">
        <f t="shared" ref="K104:K106" si="123">IFERROR(PMT(J104/12,F104,-C104),"Incomplete Data")</f>
        <v>0.0</v>
      </c>
      <c r="L104" s="249"/>
    </row>
    <row r="105" customHeight="1" ht="17.0">
      <c r="B105" s="248" t="s">
        <v>55</v>
      </c>
      <c r="C105" s="250">
        <f>IF($E$90&gt;0,$E$90,IF($C$22&gt;0,$C$22,'1. Project Structure'!$C$13))</f>
        <v>0.0</v>
      </c>
      <c r="D105" s="251">
        <f>'1. Project Structure'!$C$16+2%</f>
        <v>0.11</v>
      </c>
      <c r="E105" s="252">
        <f>'1. Project Structure'!$C$18*12</f>
        <v>120.0</v>
      </c>
      <c r="F105" s="253">
        <f>'1. Project Structure'!$C$19</f>
        <v>120.0</v>
      </c>
      <c r="G105" s="254">
        <f t="shared" si="119"/>
        <v>46044.0</v>
      </c>
      <c r="H105" s="254">
        <f t="shared" si="120"/>
        <v>49696</v>
      </c>
      <c r="I105" s="252">
        <f t="shared" si="121"/>
        <v>3652.0</v>
      </c>
      <c r="J105" s="255">
        <f>IFERROR((D105/(365*F105/12))*I105,0)</f>
        <v>0.110060273972602</v>
      </c>
      <c r="K105" s="256">
        <f t="shared" si="123"/>
        <v>0.0</v>
      </c>
      <c r="L105" s="249"/>
    </row>
    <row r="106" customHeight="1" ht="17.0">
      <c r="B106" s="248" t="s">
        <v>170</v>
      </c>
      <c r="C106" s="250">
        <f>IF($E$90&gt;0,$E$90,IF($C$22&gt;0,$C$22,'1. Project Structure'!$C$13))</f>
        <v>0.0</v>
      </c>
      <c r="D106" s="251">
        <f>'1. Project Structure'!$C$16+2%</f>
        <v>0.11</v>
      </c>
      <c r="E106" s="252">
        <f>'1. Project Structure'!$C$18*12</f>
        <v>120.0</v>
      </c>
      <c r="F106" s="253">
        <f>'1. Project Structure'!$C$19</f>
        <v>120.0</v>
      </c>
      <c r="G106" s="254">
        <f t="shared" si="119"/>
        <v>46044.0</v>
      </c>
      <c r="H106" s="254">
        <f t="shared" si="120"/>
        <v>49696</v>
      </c>
      <c r="I106" s="252">
        <f t="shared" si="121"/>
        <v>3652.0</v>
      </c>
      <c r="J106" s="255">
        <f>IFERROR((D106/(360*F106/12))*I106,0)</f>
        <v>0.111588888888889</v>
      </c>
      <c r="K106" s="256">
        <f t="shared" si="123"/>
        <v>0.0</v>
      </c>
      <c r="L106" s="249"/>
    </row>
    <row r="107" customHeight="1" ht="17.0">
      <c r="B107" s="257"/>
      <c r="C107" s="250"/>
      <c r="D107" s="251"/>
      <c r="E107" s="252"/>
      <c r="F107" s="252"/>
      <c r="G107" s="252"/>
      <c r="H107" s="254"/>
      <c r="I107" s="252"/>
      <c r="J107" s="255"/>
      <c r="K107" s="256"/>
      <c r="L107" s="249"/>
    </row>
    <row r="108" customHeight="1" ht="17.0">
      <c r="B108" s="257" t="s">
        <v>173</v>
      </c>
      <c r="C108" s="250"/>
      <c r="D108" s="251"/>
      <c r="E108" s="252"/>
      <c r="F108" s="252"/>
      <c r="G108" s="252"/>
      <c r="H108" s="254"/>
      <c r="I108" s="252"/>
      <c r="J108" s="255"/>
      <c r="K108" s="256"/>
      <c r="L108" s="249"/>
    </row>
    <row r="109" customHeight="1" ht="17.0">
      <c r="B109" s="248" t="s">
        <v>160</v>
      </c>
      <c r="C109" s="178" t="s">
        <v>148</v>
      </c>
      <c r="D109" s="178" t="s">
        <v>161</v>
      </c>
      <c r="E109" s="178" t="s">
        <v>162</v>
      </c>
      <c r="F109" s="178" t="s">
        <v>163</v>
      </c>
      <c r="G109" s="178" t="s">
        <v>164</v>
      </c>
      <c r="H109" s="178" t="s">
        <v>165</v>
      </c>
      <c r="I109" s="178" t="s">
        <v>166</v>
      </c>
      <c r="J109" s="178" t="s">
        <v>167</v>
      </c>
      <c r="K109" s="178" t="s">
        <v>168</v>
      </c>
      <c r="L109" s="249"/>
    </row>
    <row r="110" customHeight="1" ht="17.0">
      <c r="B110" s="248" t="s">
        <v>169</v>
      </c>
      <c r="C110" s="250">
        <f>IF($E$90&gt;0,$E$90,IF($C$22&gt;0,$C$22,'1. Project Structure'!$C$13))</f>
        <v>0.0</v>
      </c>
      <c r="D110" s="251">
        <f>'1. Project Structure'!$C$16+3%</f>
        <v>0.12</v>
      </c>
      <c r="E110" s="252">
        <f>'1. Project Structure'!$C$18*12</f>
        <v>120.0</v>
      </c>
      <c r="F110" s="253">
        <f>'1. Project Structure'!$C$19</f>
        <v>120.0</v>
      </c>
      <c r="G110" s="254">
        <f t="shared" ref="G110:G112" si="130">TODAY()+45</f>
        <v>46044.0</v>
      </c>
      <c r="H110" s="254">
        <f t="shared" ref="H110:H112" si="131">DATE(YEAR(G110)+F110/12,MONTH(G110),DAY(G110))</f>
        <v>49696</v>
      </c>
      <c r="I110" s="252">
        <f t="shared" ref="I110:I112" si="132">H110-G110</f>
        <v>3652.0</v>
      </c>
      <c r="J110" s="255">
        <f>IFERROR((D110/360)*30*12,0)</f>
        <v>0.12</v>
      </c>
      <c r="K110" s="256">
        <f t="shared" ref="K110:K112" si="134">IFERROR(PMT(J110/12,F110,-C110),"Incomplete Data")</f>
        <v>0.0</v>
      </c>
      <c r="L110" s="249"/>
    </row>
    <row r="111" customHeight="1" ht="17.0">
      <c r="B111" s="248" t="s">
        <v>55</v>
      </c>
      <c r="C111" s="250">
        <f>IF($E$90&gt;0,$E$90,IF($C$22&gt;0,$C$22,'1. Project Structure'!$C$13))</f>
        <v>0.0</v>
      </c>
      <c r="D111" s="251">
        <f>'1. Project Structure'!$C$16+3%</f>
        <v>0.12</v>
      </c>
      <c r="E111" s="252">
        <f>'1. Project Structure'!$C$18*12</f>
        <v>120.0</v>
      </c>
      <c r="F111" s="253">
        <f>'1. Project Structure'!$C$19</f>
        <v>120.0</v>
      </c>
      <c r="G111" s="254">
        <f t="shared" si="130"/>
        <v>46044.0</v>
      </c>
      <c r="H111" s="254">
        <f t="shared" si="131"/>
        <v>49696</v>
      </c>
      <c r="I111" s="252">
        <f t="shared" si="132"/>
        <v>3652.0</v>
      </c>
      <c r="J111" s="255">
        <f>IFERROR((D111/(365*F111/12))*I111,0)</f>
        <v>0.120065753424658</v>
      </c>
      <c r="K111" s="256">
        <f t="shared" si="134"/>
        <v>0.0</v>
      </c>
      <c r="L111" s="249"/>
    </row>
    <row r="112" customHeight="1" ht="17.0">
      <c r="B112" s="248" t="s">
        <v>170</v>
      </c>
      <c r="C112" s="250">
        <f>IF($E$90&gt;0,$E$90,IF($C$22&gt;0,$C$22,'1. Project Structure'!$C$13))</f>
        <v>0.0</v>
      </c>
      <c r="D112" s="251">
        <f>'1. Project Structure'!$C$16+3%</f>
        <v>0.12</v>
      </c>
      <c r="E112" s="252">
        <f>'1. Project Structure'!$C$18*12</f>
        <v>120.0</v>
      </c>
      <c r="F112" s="253">
        <f>'1. Project Structure'!$C$19</f>
        <v>120.0</v>
      </c>
      <c r="G112" s="254">
        <f t="shared" si="130"/>
        <v>46044.0</v>
      </c>
      <c r="H112" s="254">
        <f t="shared" si="131"/>
        <v>49696</v>
      </c>
      <c r="I112" s="252">
        <f t="shared" si="132"/>
        <v>3652.0</v>
      </c>
      <c r="J112" s="255">
        <f>IFERROR((D112/(360*F112/12))*I112,0)</f>
        <v>0.121733333333333</v>
      </c>
      <c r="K112" s="256">
        <f t="shared" si="134"/>
        <v>0.0</v>
      </c>
      <c r="L112" s="249"/>
    </row>
    <row r="113" customHeight="1" ht="17.0">
      <c r="B113" s="257"/>
      <c r="C113" s="250"/>
      <c r="D113" s="251"/>
      <c r="E113" s="252"/>
      <c r="F113" s="252"/>
      <c r="G113" s="252"/>
      <c r="H113" s="254"/>
      <c r="I113" s="252"/>
      <c r="J113" s="255"/>
      <c r="K113" s="256"/>
      <c r="L113" s="249"/>
    </row>
    <row r="114" customHeight="1" ht="17.0">
      <c r="B114" s="257" t="s">
        <v>174</v>
      </c>
      <c r="C114" s="250"/>
      <c r="D114" s="251"/>
      <c r="E114" s="252"/>
      <c r="F114" s="252"/>
      <c r="G114" s="252"/>
      <c r="H114" s="254"/>
      <c r="I114" s="252"/>
      <c r="J114" s="255"/>
      <c r="K114" s="256"/>
      <c r="L114" s="249"/>
    </row>
    <row r="115" customHeight="1" ht="17.0">
      <c r="B115" s="248" t="s">
        <v>160</v>
      </c>
      <c r="C115" s="178" t="s">
        <v>148</v>
      </c>
      <c r="D115" s="178" t="s">
        <v>161</v>
      </c>
      <c r="E115" s="178" t="s">
        <v>162</v>
      </c>
      <c r="F115" s="178" t="s">
        <v>163</v>
      </c>
      <c r="G115" s="178" t="s">
        <v>164</v>
      </c>
      <c r="H115" s="178" t="s">
        <v>165</v>
      </c>
      <c r="I115" s="178" t="s">
        <v>166</v>
      </c>
      <c r="J115" s="178" t="s">
        <v>167</v>
      </c>
      <c r="K115" s="178" t="s">
        <v>168</v>
      </c>
      <c r="L115" s="249"/>
    </row>
    <row r="116" customHeight="1" ht="17.0">
      <c r="B116" s="248" t="s">
        <v>169</v>
      </c>
      <c r="C116" s="250">
        <f>IF($E$90&gt;0,$E$90,IF($C$22&gt;0,$C$22,'1. Project Structure'!$C$13))</f>
        <v>0.0</v>
      </c>
      <c r="D116" s="251">
        <f>'1. Project Structure'!$C$16+4%</f>
        <v>0.13</v>
      </c>
      <c r="E116" s="252">
        <f>'1. Project Structure'!$C$18*12</f>
        <v>120.0</v>
      </c>
      <c r="F116" s="253">
        <f>'1. Project Structure'!$C$19</f>
        <v>120.0</v>
      </c>
      <c r="G116" s="254">
        <f t="shared" ref="G116:G118" si="141">TODAY()+45</f>
        <v>46044.0</v>
      </c>
      <c r="H116" s="254">
        <f t="shared" ref="H116:H118" si="142">DATE(YEAR(G116)+F116/12,MONTH(G116),DAY(G116))</f>
        <v>49696</v>
      </c>
      <c r="I116" s="252">
        <f t="shared" ref="I116:I118" si="143">H116-G116</f>
        <v>3652.0</v>
      </c>
      <c r="J116" s="255">
        <f>IFERROR((D116/360)*30*12,0)</f>
        <v>0.13</v>
      </c>
      <c r="K116" s="256">
        <f t="shared" ref="K116:K118" si="145">IFERROR(PMT(J116/12,F116,-C116),"Incomplete Data")</f>
        <v>0.0</v>
      </c>
      <c r="L116" s="249"/>
    </row>
    <row r="117" customHeight="1" ht="17.0">
      <c r="B117" s="248" t="s">
        <v>55</v>
      </c>
      <c r="C117" s="250">
        <f>IF($E$90&gt;0,$E$90,IF($C$22&gt;0,$C$22,'1. Project Structure'!$C$13))</f>
        <v>0.0</v>
      </c>
      <c r="D117" s="251">
        <f>'1. Project Structure'!$C$16+4%</f>
        <v>0.13</v>
      </c>
      <c r="E117" s="252">
        <f>'1. Project Structure'!$C$18*12</f>
        <v>120.0</v>
      </c>
      <c r="F117" s="253">
        <f>'1. Project Structure'!$C$19</f>
        <v>120.0</v>
      </c>
      <c r="G117" s="254">
        <f t="shared" si="141"/>
        <v>46044.0</v>
      </c>
      <c r="H117" s="254">
        <f t="shared" si="142"/>
        <v>49696</v>
      </c>
      <c r="I117" s="252">
        <f t="shared" si="143"/>
        <v>3652.0</v>
      </c>
      <c r="J117" s="255">
        <f>IFERROR((D117/(365*F117/12))*I117,0)</f>
        <v>0.130071232876712</v>
      </c>
      <c r="K117" s="256">
        <f t="shared" si="145"/>
        <v>0.0</v>
      </c>
      <c r="L117" s="249"/>
    </row>
    <row r="118" customHeight="1" ht="17.0">
      <c r="B118" s="258" t="s">
        <v>170</v>
      </c>
      <c r="C118" s="259">
        <f>IF($E$90&gt;0,$E$90,IF($C$22&gt;0,$C$22,'1. Project Structure'!$C$13))</f>
        <v>0.0</v>
      </c>
      <c r="D118" s="260">
        <f>'1. Project Structure'!$C$16+4%</f>
        <v>0.13</v>
      </c>
      <c r="E118" s="261">
        <f>'1. Project Structure'!$C$18*12</f>
        <v>120.0</v>
      </c>
      <c r="F118" s="262">
        <f>'1. Project Structure'!$C$19</f>
        <v>120.0</v>
      </c>
      <c r="G118" s="263">
        <f t="shared" si="141"/>
        <v>46044.0</v>
      </c>
      <c r="H118" s="263">
        <f t="shared" si="142"/>
        <v>49696</v>
      </c>
      <c r="I118" s="261">
        <f t="shared" si="143"/>
        <v>3652.0</v>
      </c>
      <c r="J118" s="264">
        <f>IFERROR((D118/(360*F118/12))*I118,0)</f>
        <v>0.131877777777778</v>
      </c>
      <c r="K118" s="265">
        <f t="shared" si="145"/>
        <v>0.0</v>
      </c>
      <c r="L118" s="266"/>
    </row>
    <row r="119" customHeight="1" ht="17.0"/>
  </sheetData>
  <mergeCells count="23">
    <mergeCell ref="B2:K2"/>
    <mergeCell ref="D80:E80"/>
    <mergeCell ref="B81:K81"/>
    <mergeCell ref="B74:K74"/>
    <mergeCell ref="B71:K71"/>
    <mergeCell ref="B75:E75"/>
    <mergeCell ref="B72:E72"/>
    <mergeCell ref="B69:K69"/>
    <mergeCell ref="B73:E73"/>
    <mergeCell ref="F35:G35"/>
    <mergeCell ref="F33:G33"/>
    <mergeCell ref="F34:G34"/>
    <mergeCell ref="F31:G31"/>
    <mergeCell ref="E70:F70"/>
    <mergeCell ref="F82:G82"/>
    <mergeCell ref="F85:G85"/>
    <mergeCell ref="F86:G86"/>
    <mergeCell ref="F84:G84"/>
    <mergeCell ref="F75:H75"/>
    <mergeCell ref="F87:G87"/>
    <mergeCell ref="F83:G83"/>
    <mergeCell ref="I75:K75"/>
    <mergeCell ref="M2:S2"/>
  </mergeCells>
  <conditionalFormatting sqref="N21:R21">
    <cfRule dxfId="0" type="expression" priority="1">
      <formula>#REF!=504</formula>
    </cfRule>
  </conditionalFormatting>
  <conditionalFormatting sqref="C26:C26">
    <cfRule dxfId="1" type="expression" priority="2">
      <formula>"IF(N60&lt;1)"</formula>
    </cfRule>
  </conditionalFormatting>
  <conditionalFormatting sqref="B36:B36">
    <cfRule dxfId="2" type="expression" priority="3">
      <formula>#REF!&gt;5000000</formula>
    </cfRule>
  </conditionalFormatting>
  <conditionalFormatting sqref="E54:E54">
    <cfRule dxfId="2" operator="greaterThan" type="cellIs" priority="4">
      <formula>5000000</formula>
    </cfRule>
  </conditionalFormatting>
  <conditionalFormatting sqref="B67:B67">
    <cfRule dxfId="2" type="expression" priority="5">
      <formula>$H$27&gt;5000000</formula>
    </cfRule>
  </conditionalFormatting>
  <conditionalFormatting sqref="C58:C66">
    <cfRule dxfId="2" type="expression" priority="6">
      <formula>OR(ISBLANK(C58),ISTEXT(C58))</formula>
    </cfRule>
  </conditionalFormatting>
  <conditionalFormatting sqref="B55:B55">
    <cfRule dxfId="2" type="expression" priority="7">
      <formula>$H$27&gt;5000000</formula>
    </cfRule>
  </conditionalFormatting>
  <conditionalFormatting sqref="C53:C53">
    <cfRule dxfId="2" type="expression" priority="8">
      <formula>OR(ISBLANK(C53),ISTEXT(C53))</formula>
    </cfRule>
  </conditionalFormatting>
  <conditionalFormatting sqref="C39:C39">
    <cfRule dxfId="2" type="expression" priority="9">
      <formula>OR(ISBLANK(C39),ISTEXT(C39))</formula>
    </cfRule>
  </conditionalFormatting>
  <conditionalFormatting sqref="C54:C54">
    <cfRule dxfId="2" operator="greaterThan" type="cellIs" priority="10">
      <formula>5000000</formula>
    </cfRule>
  </conditionalFormatting>
  <conditionalFormatting sqref="C45:C45">
    <cfRule dxfId="3" type="containsBlanks" priority="11">
      <formula>LEN(TRIM(C45))=0</formula>
    </cfRule>
  </conditionalFormatting>
  <conditionalFormatting sqref="C40:C52">
    <cfRule dxfId="2" type="expression" priority="12">
      <formula>OR(ISBLANK(C40),ISTEXT(C40))</formula>
    </cfRule>
  </conditionalFormatting>
  <dataValidations count="3">
    <dataValidation allowBlank="1" operator="greaterThanOrEqual" showErrorMessage="1" errorTitle="The value you entered is not valid." error="The value entered violates data validation rules set in cell" errorStyle="stop" type="whole" sqref="C39:E52 E53:E53 C58:E66">
      <formula1>0</formula1>
    </dataValidation>
  </dataValidations>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Q80"/>
  <sheetViews>
    <sheetView workbookViewId="0" showGridLines="0"/>
  </sheetViews>
  <sheetFormatPr defaultRowHeight="17.0" customHeight="1"/>
  <cols>
    <col min="1" max="1" width="2.64"/>
    <col min="2" max="2" width="36.7"/>
    <col min="3" max="3" width="27.69"/>
    <col min="4" max="11" width="17.48"/>
    <col min="12" max="12" width="2.64"/>
    <col min="13" max="13" width="31.13" outlineLevel="1"/>
    <col min="14" max="16" width="15.76" outlineLevel="1"/>
    <col min="17" max="20" width="9.14" outlineLevel="1"/>
    <col min="21" max="21" width="3.97"/>
    <col min="22" max="52" width="9.14"/>
    <col min="53" max="53" width="10.73"/>
    <col min="54" max="54" style="5" width="10.86"/>
    <col min="55" max="55" style="5" width="22.92" outlineLevel="1"/>
    <col min="56" max="56" width="12.71" outlineLevel="1"/>
    <col min="57" max="57" width="12.45" outlineLevel="1"/>
    <col min="58" max="58" width="14.83" outlineLevel="1"/>
    <col min="59" max="59" width="22.92" outlineLevel="1"/>
    <col min="60" max="60" width="11.39" outlineLevel="1"/>
    <col min="61" max="61" width="10.59" outlineLevel="1"/>
    <col min="62" max="62" width="22.92" outlineLevel="1"/>
    <col min="63" max="63" width="23.31" outlineLevel="1"/>
    <col min="64" max="64" width="14.83" outlineLevel="1"/>
    <col min="65" max="65" width="9.14"/>
    <col min="66" max="2048" width="10.86"/>
  </cols>
  <sheetData>
    <row r="1" customHeight="1" ht="17.0">
      <c r="B1" s="5"/>
      <c r="C1" s="5"/>
      <c r="D1" s="5"/>
      <c r="E1" s="5"/>
      <c r="F1" s="5"/>
      <c r="G1" s="5"/>
      <c r="H1" s="5"/>
      <c r="I1" s="5"/>
      <c r="J1" s="5"/>
      <c r="K1" s="5"/>
      <c r="L1" s="5"/>
      <c r="M1" s="5"/>
      <c r="N1" s="5"/>
      <c r="O1" s="5"/>
      <c r="P1" s="5"/>
      <c r="Q1" s="5"/>
      <c r="R1" s="5"/>
      <c r="S1" s="5"/>
      <c r="T1" s="5"/>
      <c r="U1" s="5"/>
      <c r="V1" s="5"/>
    </row>
    <row r="2" customHeight="1" ht="17.0">
      <c r="B2" s="6"/>
      <c r="C2" s="6"/>
      <c r="D2" s="6"/>
      <c r="E2" s="6"/>
      <c r="F2" s="6"/>
      <c r="G2" s="6"/>
      <c r="H2" s="6"/>
      <c r="I2" s="6"/>
      <c r="J2" s="6"/>
      <c r="K2" s="6"/>
      <c r="L2" s="5"/>
      <c r="M2" s="5"/>
      <c r="N2" s="5"/>
      <c r="O2" s="5"/>
      <c r="P2" s="5"/>
      <c r="Q2" s="5"/>
      <c r="R2" s="5"/>
      <c r="S2" s="5"/>
      <c r="BD2" s="6"/>
      <c r="BE2" s="6"/>
      <c r="BF2" s="6"/>
      <c r="BG2" s="6"/>
      <c r="BH2" s="6"/>
      <c r="BI2" s="6"/>
      <c r="BJ2" s="6"/>
      <c r="BK2" s="6"/>
      <c r="BL2" s="6"/>
      <c r="BM2" s="6"/>
      <c r="BN2" s="5"/>
    </row>
    <row r="3" customHeight="1" ht="17.0">
      <c r="A3" s="5"/>
      <c r="B3" s="267" t="s">
        <v>20</v>
      </c>
      <c r="C3" s="268"/>
      <c r="D3" s="268"/>
      <c r="E3" s="268"/>
      <c r="F3" s="268"/>
      <c r="G3" s="268"/>
      <c r="H3" s="268"/>
      <c r="I3" s="268"/>
      <c r="J3" s="268"/>
      <c r="K3" s="269"/>
      <c r="L3" s="5"/>
      <c r="M3" s="270"/>
      <c r="N3" s="270"/>
      <c r="O3" s="270"/>
      <c r="P3" s="270"/>
      <c r="Q3" s="270"/>
      <c r="R3" s="270"/>
      <c r="S3" s="270"/>
      <c r="T3" s="271"/>
      <c r="BD3" s="6"/>
      <c r="BE3" s="6"/>
      <c r="BF3" s="6"/>
      <c r="BG3" s="6"/>
      <c r="BH3" s="6"/>
      <c r="BI3" s="6"/>
      <c r="BJ3" s="6"/>
      <c r="BK3" s="6"/>
      <c r="BL3" s="6"/>
      <c r="BM3" s="6"/>
      <c r="BN3" s="5"/>
    </row>
    <row r="4" customHeight="1" ht="17.0">
      <c r="A4" s="5"/>
      <c r="B4" s="272" t="s">
        <v>175</v>
      </c>
      <c r="C4" s="273"/>
      <c r="D4" s="274"/>
      <c r="E4" s="274"/>
      <c r="F4" s="274"/>
      <c r="G4" s="274"/>
      <c r="H4" s="274"/>
      <c r="I4" s="274"/>
      <c r="J4" s="274"/>
      <c r="K4" s="275"/>
      <c r="L4" s="5"/>
      <c r="M4" s="276"/>
      <c r="N4" s="276"/>
      <c r="O4" s="276"/>
      <c r="P4" s="276"/>
      <c r="Q4" s="276"/>
      <c r="R4" s="276"/>
      <c r="S4" s="276"/>
      <c r="T4" s="277"/>
      <c r="BD4" s="6"/>
      <c r="BE4" s="6"/>
      <c r="BF4" s="6"/>
      <c r="BG4" s="6"/>
      <c r="BH4" s="6"/>
      <c r="BI4" s="6"/>
      <c r="BJ4" s="6"/>
      <c r="BK4" s="6"/>
      <c r="BL4" s="6"/>
      <c r="BM4" s="6"/>
      <c r="BN4" s="5"/>
    </row>
    <row r="5" customHeight="1" ht="17.0">
      <c r="A5" s="5"/>
      <c r="B5" s="278" t="s">
        <v>176</v>
      </c>
      <c r="C5" s="279" t="s">
        <v>177</v>
      </c>
      <c r="D5" s="280"/>
      <c r="E5" s="280"/>
      <c r="F5" s="280"/>
      <c r="G5" s="280"/>
      <c r="H5" s="280"/>
      <c r="I5" s="280"/>
      <c r="J5" s="280"/>
      <c r="K5" s="281"/>
      <c r="L5" s="5"/>
      <c r="M5" s="276"/>
      <c r="N5" s="276"/>
      <c r="O5" s="276"/>
      <c r="P5" s="276"/>
      <c r="Q5" s="276"/>
      <c r="R5" s="276"/>
      <c r="S5" s="276"/>
      <c r="T5" s="277"/>
      <c r="BD5" s="6"/>
      <c r="BE5" s="6"/>
      <c r="BF5" s="6"/>
      <c r="BG5" s="6"/>
      <c r="BH5" s="6"/>
      <c r="BI5" s="6"/>
      <c r="BJ5" s="6"/>
      <c r="BK5" s="6"/>
      <c r="BL5" s="6"/>
      <c r="BM5" s="6"/>
      <c r="BN5" s="5"/>
    </row>
    <row r="6" customHeight="1" ht="17.0">
      <c r="A6" s="5"/>
      <c r="B6" s="282" t="s">
        <v>178</v>
      </c>
      <c r="C6" s="68"/>
      <c r="D6" s="283">
        <v>44926.0</v>
      </c>
      <c r="E6" s="284"/>
      <c r="F6" s="283">
        <f>EOMONTH(D6,F7)</f>
        <v>45291.0</v>
      </c>
      <c r="G6" s="284"/>
      <c r="H6" s="283">
        <f>EOMONTH(F6,H7)</f>
        <v>45657.0</v>
      </c>
      <c r="I6" s="284"/>
      <c r="J6" s="283">
        <f>EOMONTH(H6,J7)</f>
        <v>45747.0</v>
      </c>
      <c r="K6" s="38"/>
      <c r="L6" s="5"/>
      <c r="M6" s="276"/>
      <c r="N6" s="285" t="s">
        <v>179</v>
      </c>
      <c r="O6" s="276"/>
      <c r="P6" s="285" t="s">
        <v>179</v>
      </c>
      <c r="Q6" s="276"/>
      <c r="R6" s="276"/>
      <c r="S6" s="276"/>
      <c r="T6" s="277"/>
      <c r="BD6" s="6"/>
      <c r="BE6" s="6"/>
      <c r="BF6" s="6"/>
      <c r="BG6" s="6"/>
      <c r="BH6" s="6"/>
      <c r="BI6" s="6"/>
      <c r="BJ6" s="6"/>
      <c r="BK6" s="6"/>
      <c r="BL6" s="6"/>
      <c r="BM6" s="6"/>
      <c r="BN6" s="5"/>
    </row>
    <row r="7" customHeight="1" ht="17.0">
      <c r="A7" s="5"/>
      <c r="B7" s="282" t="s">
        <v>180</v>
      </c>
      <c r="C7" s="68"/>
      <c r="D7" s="286">
        <v>12.0</v>
      </c>
      <c r="E7" s="287"/>
      <c r="F7" s="286">
        <v>12.0</v>
      </c>
      <c r="G7" s="287"/>
      <c r="H7" s="286">
        <v>12.0</v>
      </c>
      <c r="I7" s="287"/>
      <c r="J7" s="286">
        <v>3.0</v>
      </c>
      <c r="K7" s="288"/>
      <c r="L7" s="5"/>
      <c r="M7" s="276"/>
      <c r="N7" s="286" t="s">
        <v>181</v>
      </c>
      <c r="O7" s="276"/>
      <c r="P7" s="286" t="s">
        <v>181</v>
      </c>
      <c r="Q7" s="276"/>
      <c r="R7" s="276"/>
      <c r="S7" s="276"/>
      <c r="T7" s="277"/>
      <c r="BD7" s="6"/>
      <c r="BE7" s="6"/>
      <c r="BF7" s="6"/>
      <c r="BG7" s="6"/>
      <c r="BH7" s="6"/>
      <c r="BI7" s="6"/>
      <c r="BJ7" s="6"/>
      <c r="BK7" s="6"/>
      <c r="BL7" s="6"/>
      <c r="BM7" s="6"/>
      <c r="BN7" s="5"/>
    </row>
    <row r="8" customHeight="1" ht="17.0">
      <c r="A8" s="5"/>
      <c r="B8" s="282" t="s">
        <v>182</v>
      </c>
      <c r="C8" s="68"/>
      <c r="D8" s="289" t="s">
        <v>183</v>
      </c>
      <c r="E8" s="290"/>
      <c r="F8" s="289" t="s">
        <v>183</v>
      </c>
      <c r="G8" s="290"/>
      <c r="H8" s="289"/>
      <c r="I8" s="290"/>
      <c r="J8" s="289" t="s">
        <v>184</v>
      </c>
      <c r="K8" s="288"/>
      <c r="L8" s="5"/>
      <c r="M8" s="276"/>
      <c r="N8" s="291" t="s">
        <v>185</v>
      </c>
      <c r="O8" s="276"/>
      <c r="P8" s="291" t="s">
        <v>185</v>
      </c>
      <c r="Q8" s="276"/>
      <c r="R8" s="276"/>
      <c r="S8" s="276"/>
      <c r="T8" s="277"/>
      <c r="BD8" s="6"/>
      <c r="BE8" s="6"/>
      <c r="BF8" s="6"/>
      <c r="BG8" s="6"/>
      <c r="BH8" s="6"/>
      <c r="BI8" s="6"/>
      <c r="BJ8" s="6"/>
      <c r="BK8" s="6"/>
      <c r="BL8" s="6"/>
      <c r="BM8" s="6"/>
      <c r="BN8" s="5"/>
    </row>
    <row r="9" customHeight="1" ht="17.0">
      <c r="A9" s="5"/>
      <c r="B9" s="282" t="s">
        <v>186</v>
      </c>
      <c r="C9" s="68"/>
      <c r="D9" s="289"/>
      <c r="E9" s="290"/>
      <c r="F9" s="289"/>
      <c r="G9" s="290"/>
      <c r="H9" s="289"/>
      <c r="I9" s="290"/>
      <c r="J9" s="289"/>
      <c r="K9" s="288"/>
      <c r="L9" s="5"/>
      <c r="M9" s="276"/>
      <c r="N9" s="292">
        <v>1.0</v>
      </c>
      <c r="O9" s="276"/>
      <c r="P9" s="292">
        <v>2.0</v>
      </c>
      <c r="Q9" s="276"/>
      <c r="R9" s="276"/>
      <c r="S9" s="276"/>
      <c r="T9" s="277"/>
      <c r="BD9" s="6"/>
      <c r="BE9" s="6"/>
      <c r="BF9" s="6"/>
      <c r="BG9" s="6"/>
      <c r="BH9" s="6"/>
      <c r="BI9" s="6"/>
      <c r="BJ9" s="6"/>
      <c r="BK9" s="6"/>
      <c r="BL9" s="6"/>
      <c r="BM9" s="6"/>
      <c r="BN9" s="5"/>
    </row>
    <row r="10" customHeight="1" ht="17.0">
      <c r="A10" s="5"/>
      <c r="B10" s="293" t="s">
        <v>187</v>
      </c>
      <c r="C10" s="294"/>
      <c r="D10" s="295"/>
      <c r="E10" s="295"/>
      <c r="F10" s="295"/>
      <c r="G10" s="295"/>
      <c r="H10" s="295"/>
      <c r="I10" s="295"/>
      <c r="J10" s="296"/>
      <c r="K10" s="297"/>
      <c r="L10" s="5"/>
      <c r="M10" s="276"/>
      <c r="N10" s="276"/>
      <c r="O10" s="276"/>
      <c r="P10" s="276"/>
      <c r="Q10" s="276"/>
      <c r="R10" s="276"/>
      <c r="S10" s="276"/>
      <c r="T10" s="277"/>
      <c r="BD10" s="6"/>
      <c r="BE10" s="6"/>
      <c r="BF10" s="6"/>
      <c r="BG10" s="6"/>
      <c r="BH10" s="6"/>
      <c r="BI10" s="6"/>
      <c r="BJ10" s="6"/>
      <c r="BK10" s="6"/>
      <c r="BL10" s="6"/>
      <c r="BM10" s="6"/>
      <c r="BN10" s="5"/>
    </row>
    <row r="11" customHeight="1" ht="17.0">
      <c r="A11" s="5"/>
      <c r="B11" s="45" t="s">
        <v>188</v>
      </c>
      <c r="C11" s="298" t="s">
        <v>189</v>
      </c>
      <c r="D11" s="299">
        <v>1.0</v>
      </c>
      <c r="E11" s="300">
        <f t="shared" ref="E11:E16" si="3">IF(D$14=0,0,D11/D$14)</f>
        <v>0.0</v>
      </c>
      <c r="F11" s="301">
        <v>0.0</v>
      </c>
      <c r="G11" s="300">
        <f t="shared" ref="G11:G16" si="4">IF(F$14=0,0,F11/F$14)</f>
        <v>0.0</v>
      </c>
      <c r="H11" s="301">
        <v>0.0</v>
      </c>
      <c r="I11" s="300">
        <f t="shared" ref="I11:I16" si="5">IF(H$14=0,0,H11/H$14)</f>
        <v>0.0</v>
      </c>
      <c r="J11" s="301">
        <v>0.0</v>
      </c>
      <c r="K11" s="300">
        <f t="shared" ref="K11:K16" si="6">IF(J$14=0,0,J11/J$14)</f>
        <v>0.0</v>
      </c>
      <c r="L11" s="5"/>
      <c r="M11" s="302" t="s">
        <v>190</v>
      </c>
      <c r="N11" s="301">
        <v>0.0</v>
      </c>
      <c r="O11" s="303">
        <f t="shared" ref="O11:O16" si="7">IF(N$14=0,0,N11/N$14)</f>
        <v>0.0</v>
      </c>
      <c r="P11" s="301">
        <v>0.0</v>
      </c>
      <c r="Q11" s="303">
        <f t="shared" ref="Q11:Q16" si="8">IF(P$14=0,0,P11/P$14)</f>
        <v>0.0</v>
      </c>
      <c r="R11" s="276"/>
      <c r="S11" s="276"/>
      <c r="T11" s="277"/>
      <c r="BD11" s="6"/>
      <c r="BE11" s="6"/>
      <c r="BF11" s="6"/>
      <c r="BG11" s="6"/>
      <c r="BH11" s="6"/>
      <c r="BI11" s="6"/>
      <c r="BJ11" s="6"/>
      <c r="BK11" s="6"/>
      <c r="BL11" s="6"/>
      <c r="BM11" s="6"/>
      <c r="BN11" s="5"/>
    </row>
    <row r="12" customHeight="1" ht="17.0">
      <c r="A12" s="5"/>
      <c r="B12" s="45" t="s">
        <v>191</v>
      </c>
      <c r="C12" s="298" t="s">
        <v>189</v>
      </c>
      <c r="D12" s="304">
        <v>0.0</v>
      </c>
      <c r="E12" s="300">
        <f t="shared" si="3"/>
        <v>0.0</v>
      </c>
      <c r="F12" s="305">
        <v>0.0</v>
      </c>
      <c r="G12" s="300">
        <f t="shared" si="4"/>
        <v>0.0</v>
      </c>
      <c r="H12" s="305">
        <v>0.0</v>
      </c>
      <c r="I12" s="300">
        <f t="shared" si="5"/>
        <v>0.0</v>
      </c>
      <c r="J12" s="306">
        <v>0.0</v>
      </c>
      <c r="K12" s="300">
        <f t="shared" si="6"/>
        <v>0.0</v>
      </c>
      <c r="L12" s="5"/>
      <c r="M12" s="302" t="s">
        <v>192</v>
      </c>
      <c r="N12" s="306">
        <v>0.0</v>
      </c>
      <c r="O12" s="303">
        <f t="shared" si="7"/>
        <v>0.0</v>
      </c>
      <c r="P12" s="306">
        <v>0.0</v>
      </c>
      <c r="Q12" s="303">
        <f t="shared" si="8"/>
        <v>0.0</v>
      </c>
      <c r="R12" s="276"/>
      <c r="S12" s="276"/>
      <c r="T12" s="277"/>
      <c r="BD12" s="6"/>
      <c r="BE12" s="6"/>
      <c r="BF12" s="6"/>
      <c r="BG12" s="6"/>
      <c r="BH12" s="6"/>
      <c r="BI12" s="6"/>
      <c r="BJ12" s="6"/>
      <c r="BK12" s="6"/>
      <c r="BL12" s="6"/>
      <c r="BM12" s="6"/>
      <c r="BN12" s="5"/>
    </row>
    <row r="13" customHeight="1" ht="17.0" customFormat="1" s="6">
      <c r="A13" s="5"/>
      <c r="B13" s="45" t="s">
        <v>193</v>
      </c>
      <c r="C13" s="298" t="s">
        <v>189</v>
      </c>
      <c r="D13" s="307">
        <f>D11-D12</f>
        <v>1.0</v>
      </c>
      <c r="E13" s="300">
        <f t="shared" si="3"/>
        <v>0.0</v>
      </c>
      <c r="F13" s="308">
        <f>F11-F12</f>
        <v>0.0</v>
      </c>
      <c r="G13" s="300">
        <f t="shared" si="4"/>
        <v>0.0</v>
      </c>
      <c r="H13" s="308">
        <f>H11-H12</f>
        <v>0.0</v>
      </c>
      <c r="I13" s="300">
        <f t="shared" si="5"/>
        <v>0.0</v>
      </c>
      <c r="J13" s="309">
        <f>J11-J12</f>
        <v>0.0</v>
      </c>
      <c r="K13" s="300">
        <f t="shared" si="6"/>
        <v>0.0</v>
      </c>
      <c r="L13" s="5"/>
      <c r="M13" s="302" t="s">
        <v>194</v>
      </c>
      <c r="N13" s="308">
        <f>N11-N12</f>
        <v>0.0</v>
      </c>
      <c r="O13" s="303">
        <f t="shared" si="7"/>
        <v>0.0</v>
      </c>
      <c r="P13" s="308">
        <f>P11-P12</f>
        <v>0.0</v>
      </c>
      <c r="Q13" s="303">
        <f t="shared" si="8"/>
        <v>0.0</v>
      </c>
      <c r="R13" s="276"/>
      <c r="S13" s="276"/>
      <c r="T13" s="277"/>
      <c r="BB13" s="5"/>
      <c r="BC13" s="5"/>
    </row>
    <row r="14" customHeight="1" ht="17.0" customFormat="1" s="6">
      <c r="A14" s="5"/>
      <c r="B14" s="98"/>
      <c r="C14" s="310" t="s">
        <v>195</v>
      </c>
      <c r="D14" s="311">
        <v>0.0</v>
      </c>
      <c r="E14" s="312">
        <f t="shared" si="3"/>
        <v>0.0</v>
      </c>
      <c r="F14" s="313">
        <v>0.0</v>
      </c>
      <c r="G14" s="312">
        <f t="shared" si="4"/>
        <v>0.0</v>
      </c>
      <c r="H14" s="313">
        <v>0.0</v>
      </c>
      <c r="I14" s="312">
        <f t="shared" si="5"/>
        <v>0.0</v>
      </c>
      <c r="J14" s="313">
        <v>0.0</v>
      </c>
      <c r="K14" s="300">
        <f t="shared" si="6"/>
        <v>0.0</v>
      </c>
      <c r="L14" s="5"/>
      <c r="M14" s="314" t="s">
        <v>195</v>
      </c>
      <c r="N14" s="313">
        <f t="shared" ref="N14:N15" si="15">N11</f>
        <v>0.0</v>
      </c>
      <c r="O14" s="303">
        <f t="shared" si="7"/>
        <v>0.0</v>
      </c>
      <c r="P14" s="313">
        <f t="shared" ref="P14:P15" si="16">P11</f>
        <v>0.0</v>
      </c>
      <c r="Q14" s="303">
        <f t="shared" si="8"/>
        <v>0.0</v>
      </c>
      <c r="R14" s="276"/>
      <c r="S14" s="276"/>
      <c r="T14" s="277"/>
      <c r="BB14" s="5"/>
      <c r="BC14" s="5"/>
    </row>
    <row r="15" customHeight="1" ht="17.0" customFormat="1" s="6">
      <c r="A15" s="5"/>
      <c r="B15" s="98"/>
      <c r="C15" s="310" t="s">
        <v>196</v>
      </c>
      <c r="D15" s="311">
        <v>0.0</v>
      </c>
      <c r="E15" s="300">
        <f t="shared" si="3"/>
        <v>0.0</v>
      </c>
      <c r="F15" s="313">
        <v>0.0</v>
      </c>
      <c r="G15" s="300">
        <f t="shared" si="4"/>
        <v>0.0</v>
      </c>
      <c r="H15" s="313">
        <v>0.0</v>
      </c>
      <c r="I15" s="300">
        <f t="shared" si="5"/>
        <v>0.0</v>
      </c>
      <c r="J15" s="313">
        <v>0.0</v>
      </c>
      <c r="K15" s="300">
        <f t="shared" si="6"/>
        <v>0.0</v>
      </c>
      <c r="L15" s="5"/>
      <c r="M15" s="314" t="s">
        <v>196</v>
      </c>
      <c r="N15" s="315">
        <f t="shared" si="15"/>
        <v>0.0</v>
      </c>
      <c r="O15" s="303">
        <f t="shared" si="7"/>
        <v>0.0</v>
      </c>
      <c r="P15" s="315">
        <f t="shared" si="16"/>
        <v>0.0</v>
      </c>
      <c r="Q15" s="303">
        <f t="shared" si="8"/>
        <v>0.0</v>
      </c>
      <c r="R15" s="276"/>
      <c r="S15" s="276"/>
      <c r="T15" s="277"/>
      <c r="BB15" s="5"/>
      <c r="BC15" s="5"/>
    </row>
    <row r="16" customHeight="1" ht="17.0" customFormat="1" s="6">
      <c r="A16" s="5"/>
      <c r="B16" s="98"/>
      <c r="C16" s="310" t="s">
        <v>197</v>
      </c>
      <c r="D16" s="316">
        <f>D14-D15</f>
        <v>0.0</v>
      </c>
      <c r="E16" s="300">
        <f t="shared" si="3"/>
        <v>0.0</v>
      </c>
      <c r="F16" s="316">
        <f>F14-F15</f>
        <v>0.0</v>
      </c>
      <c r="G16" s="300">
        <f t="shared" si="4"/>
        <v>0.0</v>
      </c>
      <c r="H16" s="316">
        <f>H14-H15</f>
        <v>0.0</v>
      </c>
      <c r="I16" s="300">
        <f t="shared" si="5"/>
        <v>0.0</v>
      </c>
      <c r="J16" s="316">
        <f>J14-J15</f>
        <v>0.0</v>
      </c>
      <c r="K16" s="300">
        <f t="shared" si="6"/>
        <v>0.0</v>
      </c>
      <c r="L16" s="5"/>
      <c r="M16" s="314" t="s">
        <v>197</v>
      </c>
      <c r="N16" s="317">
        <f>N14-N15</f>
        <v>0.0</v>
      </c>
      <c r="O16" s="303">
        <f t="shared" si="7"/>
        <v>0.0</v>
      </c>
      <c r="P16" s="317">
        <f>P14-P15</f>
        <v>0.0</v>
      </c>
      <c r="Q16" s="303">
        <f t="shared" si="8"/>
        <v>0.0</v>
      </c>
      <c r="R16" s="276"/>
      <c r="S16" s="276"/>
      <c r="T16" s="277"/>
      <c r="BB16" s="5"/>
      <c r="BC16" s="5"/>
    </row>
    <row r="17" customHeight="1" ht="17.0" customFormat="1" s="6">
      <c r="A17" s="5"/>
      <c r="B17" s="98"/>
      <c r="C17" s="310"/>
      <c r="D17" s="318"/>
      <c r="E17" s="319"/>
      <c r="F17" s="318"/>
      <c r="G17" s="319"/>
      <c r="H17" s="318"/>
      <c r="I17" s="319"/>
      <c r="J17" s="318"/>
      <c r="K17" s="300"/>
      <c r="L17" s="5"/>
      <c r="M17" s="314"/>
      <c r="N17" s="320"/>
      <c r="O17" s="303"/>
      <c r="P17" s="320"/>
      <c r="Q17" s="303"/>
      <c r="R17" s="276"/>
      <c r="S17" s="276"/>
      <c r="T17" s="277"/>
      <c r="BB17" s="5"/>
      <c r="BC17" s="5"/>
    </row>
    <row r="18" customHeight="1" ht="17.0" customFormat="1" s="6">
      <c r="A18" s="5"/>
      <c r="B18" s="98"/>
      <c r="C18" s="310" t="s">
        <v>198</v>
      </c>
      <c r="D18" s="321"/>
      <c r="E18" s="322"/>
      <c r="F18" s="321"/>
      <c r="G18" s="322"/>
      <c r="H18" s="321"/>
      <c r="I18" s="322"/>
      <c r="J18" s="321"/>
      <c r="K18" s="300"/>
      <c r="L18" s="5"/>
      <c r="M18" s="314" t="s">
        <v>198</v>
      </c>
      <c r="N18" s="323"/>
      <c r="O18" s="303"/>
      <c r="P18" s="323"/>
      <c r="Q18" s="303"/>
      <c r="R18" s="276"/>
      <c r="S18" s="276"/>
      <c r="T18" s="277"/>
      <c r="BB18" s="5"/>
      <c r="BC18" s="5"/>
    </row>
    <row r="19" customHeight="1" ht="17.0" customFormat="1" s="6">
      <c r="A19" s="5"/>
      <c r="B19" s="98"/>
      <c r="C19" s="68" t="s">
        <v>199</v>
      </c>
      <c r="D19" s="324">
        <v>0.0</v>
      </c>
      <c r="E19" s="300">
        <f t="shared" ref="E19:E30" si="23">IF(D$14=0,0,D19/D$14)</f>
        <v>0.0</v>
      </c>
      <c r="F19" s="324">
        <v>0.0</v>
      </c>
      <c r="G19" s="300">
        <f t="shared" ref="G19:G30" si="24">IF(F$14=0,0,F19/F$14)</f>
        <v>0.0</v>
      </c>
      <c r="H19" s="324">
        <v>0.0</v>
      </c>
      <c r="I19" s="300">
        <f t="shared" ref="I19:I30" si="25">IF(H$14=0,0,H19/H$14)</f>
        <v>0.0</v>
      </c>
      <c r="J19" s="324">
        <v>0.0</v>
      </c>
      <c r="K19" s="300">
        <f t="shared" ref="K19:K30" si="26">IF(J$14=0,0,J19/J$14)</f>
        <v>0.0</v>
      </c>
      <c r="L19" s="5"/>
      <c r="M19" s="302" t="s">
        <v>199</v>
      </c>
      <c r="N19" s="301">
        <v>0.0</v>
      </c>
      <c r="O19" s="303">
        <f t="shared" ref="O19:O30" si="27">IF(N$14=0,0,N19/N$14)</f>
        <v>0.0</v>
      </c>
      <c r="P19" s="301">
        <v>0.0</v>
      </c>
      <c r="Q19" s="303">
        <f t="shared" ref="Q19:Q30" si="28">IF(P$14=0,0,P19/P$14)</f>
        <v>0.0</v>
      </c>
      <c r="R19" s="276"/>
      <c r="S19" s="276"/>
      <c r="T19" s="277"/>
      <c r="BB19" s="5"/>
      <c r="BC19" s="5"/>
    </row>
    <row r="20" customHeight="1" ht="17.0" customFormat="1" s="6">
      <c r="A20" s="5"/>
      <c r="B20" s="98"/>
      <c r="C20" s="68" t="s">
        <v>200</v>
      </c>
      <c r="D20" s="325">
        <v>0.0</v>
      </c>
      <c r="E20" s="300">
        <f t="shared" si="23"/>
        <v>0.0</v>
      </c>
      <c r="F20" s="325">
        <v>0.0</v>
      </c>
      <c r="G20" s="300">
        <f t="shared" si="24"/>
        <v>0.0</v>
      </c>
      <c r="H20" s="325">
        <v>0.0</v>
      </c>
      <c r="I20" s="300">
        <f t="shared" si="25"/>
        <v>0.0</v>
      </c>
      <c r="J20" s="325">
        <v>0.0</v>
      </c>
      <c r="K20" s="300">
        <f t="shared" si="26"/>
        <v>0.0</v>
      </c>
      <c r="L20" s="5"/>
      <c r="M20" s="302" t="s">
        <v>200</v>
      </c>
      <c r="N20" s="326">
        <v>0.0</v>
      </c>
      <c r="O20" s="303">
        <f t="shared" si="27"/>
        <v>0.0</v>
      </c>
      <c r="P20" s="326">
        <v>0.0</v>
      </c>
      <c r="Q20" s="303">
        <f t="shared" si="28"/>
        <v>0.0</v>
      </c>
      <c r="R20" s="276"/>
      <c r="S20" s="276"/>
      <c r="T20" s="277"/>
      <c r="BB20" s="5"/>
      <c r="BC20" s="5"/>
    </row>
    <row r="21" customHeight="1" ht="17.0" customFormat="1" s="6">
      <c r="A21" s="5"/>
      <c r="B21" s="98"/>
      <c r="C21" s="68" t="s">
        <v>201</v>
      </c>
      <c r="D21" s="325">
        <v>0.0</v>
      </c>
      <c r="E21" s="300">
        <f t="shared" si="23"/>
        <v>0.0</v>
      </c>
      <c r="F21" s="325">
        <v>0.0</v>
      </c>
      <c r="G21" s="300">
        <f t="shared" si="24"/>
        <v>0.0</v>
      </c>
      <c r="H21" s="325">
        <v>0.0</v>
      </c>
      <c r="I21" s="300">
        <f t="shared" si="25"/>
        <v>0.0</v>
      </c>
      <c r="J21" s="325">
        <v>0.0</v>
      </c>
      <c r="K21" s="300">
        <f t="shared" si="26"/>
        <v>0.0</v>
      </c>
      <c r="L21" s="5"/>
      <c r="M21" s="302" t="s">
        <v>201</v>
      </c>
      <c r="N21" s="326">
        <v>0.0</v>
      </c>
      <c r="O21" s="303">
        <f t="shared" si="27"/>
        <v>0.0</v>
      </c>
      <c r="P21" s="326">
        <v>0.0</v>
      </c>
      <c r="Q21" s="303">
        <f t="shared" si="28"/>
        <v>0.0</v>
      </c>
      <c r="R21" s="276"/>
      <c r="S21" s="276"/>
      <c r="T21" s="277"/>
      <c r="BB21" s="5"/>
      <c r="BC21" s="5"/>
    </row>
    <row r="22" customHeight="1" ht="17.0" customFormat="1" s="6">
      <c r="A22" s="5"/>
      <c r="B22" s="98"/>
      <c r="C22" s="68" t="s">
        <v>202</v>
      </c>
      <c r="D22" s="325">
        <v>0.0</v>
      </c>
      <c r="E22" s="300">
        <f t="shared" si="23"/>
        <v>0.0</v>
      </c>
      <c r="F22" s="325">
        <v>0.0</v>
      </c>
      <c r="G22" s="300">
        <f t="shared" si="24"/>
        <v>0.0</v>
      </c>
      <c r="H22" s="325">
        <v>0.0</v>
      </c>
      <c r="I22" s="300">
        <f t="shared" si="25"/>
        <v>0.0</v>
      </c>
      <c r="J22" s="325">
        <v>0.0</v>
      </c>
      <c r="K22" s="300">
        <f t="shared" si="26"/>
        <v>0.0</v>
      </c>
      <c r="L22" s="5"/>
      <c r="M22" s="302" t="s">
        <v>202</v>
      </c>
      <c r="N22" s="326">
        <v>0.0</v>
      </c>
      <c r="O22" s="303">
        <f t="shared" si="27"/>
        <v>0.0</v>
      </c>
      <c r="P22" s="326">
        <v>0.0</v>
      </c>
      <c r="Q22" s="303">
        <f t="shared" si="28"/>
        <v>0.0</v>
      </c>
      <c r="R22" s="276"/>
      <c r="S22" s="276"/>
      <c r="T22" s="277"/>
      <c r="BB22" s="5"/>
      <c r="BC22" s="5"/>
    </row>
    <row r="23" customHeight="1" ht="17.0" customFormat="1" s="6">
      <c r="A23" s="5"/>
      <c r="B23" s="98"/>
      <c r="C23" s="68" t="s">
        <v>203</v>
      </c>
      <c r="D23" s="325">
        <v>0.0</v>
      </c>
      <c r="E23" s="300">
        <f t="shared" si="23"/>
        <v>0.0</v>
      </c>
      <c r="F23" s="325">
        <v>0.0</v>
      </c>
      <c r="G23" s="300">
        <f t="shared" si="24"/>
        <v>0.0</v>
      </c>
      <c r="H23" s="325">
        <v>0.0</v>
      </c>
      <c r="I23" s="300">
        <f t="shared" si="25"/>
        <v>0.0</v>
      </c>
      <c r="J23" s="325">
        <v>0.0</v>
      </c>
      <c r="K23" s="300">
        <f t="shared" si="26"/>
        <v>0.0</v>
      </c>
      <c r="L23" s="5"/>
      <c r="M23" s="302" t="s">
        <v>203</v>
      </c>
      <c r="N23" s="326">
        <v>0.0</v>
      </c>
      <c r="O23" s="303">
        <f t="shared" si="27"/>
        <v>0.0</v>
      </c>
      <c r="P23" s="326">
        <v>0.0</v>
      </c>
      <c r="Q23" s="303">
        <f t="shared" si="28"/>
        <v>0.0</v>
      </c>
      <c r="R23" s="276"/>
      <c r="S23" s="276"/>
      <c r="T23" s="277"/>
      <c r="BB23" s="5"/>
      <c r="BC23" s="5"/>
    </row>
    <row r="24" customHeight="1" ht="17.0" customFormat="1" s="6">
      <c r="A24" s="5"/>
      <c r="B24" s="98"/>
      <c r="C24" s="68" t="s">
        <v>204</v>
      </c>
      <c r="D24" s="325">
        <v>0.0</v>
      </c>
      <c r="E24" s="300">
        <f t="shared" si="23"/>
        <v>0.0</v>
      </c>
      <c r="F24" s="325">
        <v>0.0</v>
      </c>
      <c r="G24" s="300">
        <f t="shared" si="24"/>
        <v>0.0</v>
      </c>
      <c r="H24" s="325">
        <v>0.0</v>
      </c>
      <c r="I24" s="300">
        <f t="shared" si="25"/>
        <v>0.0</v>
      </c>
      <c r="J24" s="325">
        <v>0.0</v>
      </c>
      <c r="K24" s="300">
        <f t="shared" si="26"/>
        <v>0.0</v>
      </c>
      <c r="L24" s="5"/>
      <c r="M24" s="302" t="s">
        <v>204</v>
      </c>
      <c r="N24" s="326">
        <v>0.0</v>
      </c>
      <c r="O24" s="303">
        <f t="shared" si="27"/>
        <v>0.0</v>
      </c>
      <c r="P24" s="326">
        <v>0.0</v>
      </c>
      <c r="Q24" s="303">
        <f t="shared" si="28"/>
        <v>0.0</v>
      </c>
      <c r="R24" s="276"/>
      <c r="S24" s="276"/>
      <c r="T24" s="277"/>
    </row>
    <row r="25" customHeight="1" ht="17.0" customFormat="1" s="6">
      <c r="A25" s="5"/>
      <c r="B25" s="98"/>
      <c r="C25" s="68" t="s">
        <v>205</v>
      </c>
      <c r="D25" s="325">
        <v>0.0</v>
      </c>
      <c r="E25" s="300">
        <f t="shared" si="23"/>
        <v>0.0</v>
      </c>
      <c r="F25" s="325">
        <v>0.0</v>
      </c>
      <c r="G25" s="300">
        <f t="shared" si="24"/>
        <v>0.0</v>
      </c>
      <c r="H25" s="325">
        <v>0.0</v>
      </c>
      <c r="I25" s="300">
        <f t="shared" si="25"/>
        <v>0.0</v>
      </c>
      <c r="J25" s="325">
        <v>0.0</v>
      </c>
      <c r="K25" s="300">
        <f t="shared" si="26"/>
        <v>0.0</v>
      </c>
      <c r="L25" s="5"/>
      <c r="M25" s="302" t="s">
        <v>205</v>
      </c>
      <c r="N25" s="326">
        <v>0.0</v>
      </c>
      <c r="O25" s="303">
        <f t="shared" si="27"/>
        <v>0.0</v>
      </c>
      <c r="P25" s="326">
        <v>0.0</v>
      </c>
      <c r="Q25" s="303">
        <f t="shared" si="28"/>
        <v>0.0</v>
      </c>
      <c r="R25" s="276"/>
      <c r="S25" s="276"/>
      <c r="T25" s="277"/>
    </row>
    <row r="26" customHeight="1" ht="17.0" customFormat="1" s="6">
      <c r="A26" s="5"/>
      <c r="B26" s="98"/>
      <c r="C26" s="68" t="s">
        <v>206</v>
      </c>
      <c r="D26" s="325">
        <v>0.0</v>
      </c>
      <c r="E26" s="300">
        <f t="shared" si="23"/>
        <v>0.0</v>
      </c>
      <c r="F26" s="325">
        <v>0.0</v>
      </c>
      <c r="G26" s="300">
        <f t="shared" si="24"/>
        <v>0.0</v>
      </c>
      <c r="H26" s="325">
        <v>0.0</v>
      </c>
      <c r="I26" s="300">
        <f t="shared" si="25"/>
        <v>0.0</v>
      </c>
      <c r="J26" s="325">
        <v>0.0</v>
      </c>
      <c r="K26" s="300">
        <f t="shared" si="26"/>
        <v>0.0</v>
      </c>
      <c r="L26" s="5"/>
      <c r="M26" s="302" t="s">
        <v>206</v>
      </c>
      <c r="N26" s="326">
        <v>0.0</v>
      </c>
      <c r="O26" s="303">
        <f t="shared" si="27"/>
        <v>0.0</v>
      </c>
      <c r="P26" s="326">
        <v>0.0</v>
      </c>
      <c r="Q26" s="303">
        <f t="shared" si="28"/>
        <v>0.0</v>
      </c>
      <c r="R26" s="276"/>
      <c r="S26" s="276"/>
      <c r="T26" s="277"/>
    </row>
    <row r="27" customHeight="1" ht="17.0" customFormat="1" s="6">
      <c r="A27" s="5"/>
      <c r="B27" s="98"/>
      <c r="C27" s="68" t="s">
        <v>207</v>
      </c>
      <c r="D27" s="325">
        <v>0.0</v>
      </c>
      <c r="E27" s="300">
        <f t="shared" si="23"/>
        <v>0.0</v>
      </c>
      <c r="F27" s="325">
        <v>0.0</v>
      </c>
      <c r="G27" s="300">
        <f t="shared" si="24"/>
        <v>0.0</v>
      </c>
      <c r="H27" s="325">
        <v>0.0</v>
      </c>
      <c r="I27" s="300">
        <f t="shared" si="25"/>
        <v>0.0</v>
      </c>
      <c r="J27" s="325">
        <v>0.0</v>
      </c>
      <c r="K27" s="300">
        <f t="shared" si="26"/>
        <v>0.0</v>
      </c>
      <c r="L27" s="5"/>
      <c r="M27" s="302" t="s">
        <v>207</v>
      </c>
      <c r="N27" s="326">
        <v>0.0</v>
      </c>
      <c r="O27" s="303">
        <f t="shared" si="27"/>
        <v>0.0</v>
      </c>
      <c r="P27" s="326">
        <v>0.0</v>
      </c>
      <c r="Q27" s="303">
        <f t="shared" si="28"/>
        <v>0.0</v>
      </c>
      <c r="R27" s="276"/>
      <c r="S27" s="276"/>
      <c r="T27" s="277"/>
    </row>
    <row r="28" customHeight="1" ht="17.0" customFormat="1" s="6">
      <c r="A28" s="5"/>
      <c r="B28" s="45"/>
      <c r="C28" s="327" t="s">
        <v>208</v>
      </c>
      <c r="D28" s="325">
        <v>0.0</v>
      </c>
      <c r="E28" s="300">
        <f t="shared" si="23"/>
        <v>0.0</v>
      </c>
      <c r="F28" s="325">
        <v>0.0</v>
      </c>
      <c r="G28" s="300">
        <f t="shared" si="24"/>
        <v>0.0</v>
      </c>
      <c r="H28" s="325">
        <v>0.0</v>
      </c>
      <c r="I28" s="300">
        <f t="shared" si="25"/>
        <v>0.0</v>
      </c>
      <c r="J28" s="325">
        <v>0.0</v>
      </c>
      <c r="K28" s="300">
        <f t="shared" si="26"/>
        <v>0.0</v>
      </c>
      <c r="L28" s="5"/>
      <c r="M28" s="302" t="s">
        <v>208</v>
      </c>
      <c r="N28" s="326">
        <v>0.0</v>
      </c>
      <c r="O28" s="303">
        <f t="shared" si="27"/>
        <v>0.0</v>
      </c>
      <c r="P28" s="326">
        <v>0.0</v>
      </c>
      <c r="Q28" s="303">
        <f t="shared" si="28"/>
        <v>0.0</v>
      </c>
      <c r="R28" s="276"/>
      <c r="S28" s="276"/>
      <c r="T28" s="277"/>
    </row>
    <row r="29" customHeight="1" ht="17.0" customFormat="1" s="6">
      <c r="A29" s="5"/>
      <c r="B29" s="98"/>
      <c r="C29" s="328" t="s">
        <v>208</v>
      </c>
      <c r="D29" s="329">
        <v>0.0</v>
      </c>
      <c r="E29" s="300">
        <f t="shared" si="23"/>
        <v>0.0</v>
      </c>
      <c r="F29" s="329">
        <v>0.0</v>
      </c>
      <c r="G29" s="300">
        <f t="shared" si="24"/>
        <v>0.0</v>
      </c>
      <c r="H29" s="329">
        <v>0.0</v>
      </c>
      <c r="I29" s="300">
        <f t="shared" si="25"/>
        <v>0.0</v>
      </c>
      <c r="J29" s="329">
        <v>0.0</v>
      </c>
      <c r="K29" s="300">
        <f t="shared" si="26"/>
        <v>0.0</v>
      </c>
      <c r="L29" s="5"/>
      <c r="M29" s="302" t="s">
        <v>208</v>
      </c>
      <c r="N29" s="306">
        <f>0-SUM(N19:N28)</f>
        <v>0.0</v>
      </c>
      <c r="O29" s="303">
        <f t="shared" si="27"/>
        <v>0.0</v>
      </c>
      <c r="P29" s="306">
        <f>0-SUM(P19:P28)</f>
        <v>0.0</v>
      </c>
      <c r="Q29" s="303">
        <f t="shared" si="28"/>
        <v>0.0</v>
      </c>
      <c r="R29" s="276"/>
      <c r="S29" s="276"/>
      <c r="T29" s="277"/>
    </row>
    <row r="30" customHeight="1" ht="17.0">
      <c r="A30" s="5"/>
      <c r="B30" s="98"/>
      <c r="C30" s="310" t="s">
        <v>209</v>
      </c>
      <c r="D30" s="316">
        <f>SUM(D19:D29)</f>
        <v>0.0</v>
      </c>
      <c r="E30" s="300">
        <f t="shared" si="23"/>
        <v>0.0</v>
      </c>
      <c r="F30" s="316">
        <f>SUM(F19:F29)</f>
        <v>0.0</v>
      </c>
      <c r="G30" s="300">
        <f t="shared" si="24"/>
        <v>0.0</v>
      </c>
      <c r="H30" s="316">
        <f>SUM(H19:H29)</f>
        <v>0.0</v>
      </c>
      <c r="I30" s="300">
        <f t="shared" si="25"/>
        <v>0.0</v>
      </c>
      <c r="J30" s="316">
        <f>SUM(J19:J29)</f>
        <v>0.0</v>
      </c>
      <c r="K30" s="300">
        <f t="shared" si="26"/>
        <v>0.0</v>
      </c>
      <c r="L30" s="5"/>
      <c r="M30" s="314" t="s">
        <v>209</v>
      </c>
      <c r="N30" s="330">
        <f>SUM(N19:N29)</f>
        <v>0.0</v>
      </c>
      <c r="O30" s="303">
        <f t="shared" si="27"/>
        <v>0.0</v>
      </c>
      <c r="P30" s="330">
        <f>SUM(P19:P29)</f>
        <v>0.0</v>
      </c>
      <c r="Q30" s="303">
        <f t="shared" si="28"/>
        <v>0.0</v>
      </c>
      <c r="R30" s="276"/>
      <c r="S30" s="276"/>
      <c r="T30" s="277"/>
    </row>
    <row r="31" customHeight="1" ht="17.0">
      <c r="A31" s="5"/>
      <c r="B31" s="98"/>
      <c r="C31" s="310"/>
      <c r="D31" s="331"/>
      <c r="E31" s="332"/>
      <c r="F31" s="331"/>
      <c r="G31" s="332"/>
      <c r="H31" s="331"/>
      <c r="I31" s="332"/>
      <c r="J31" s="331"/>
      <c r="K31" s="332"/>
      <c r="L31" s="5"/>
      <c r="M31" s="314"/>
      <c r="N31" s="333"/>
      <c r="O31" s="303"/>
      <c r="P31" s="333"/>
      <c r="Q31" s="303"/>
      <c r="R31" s="276"/>
      <c r="S31" s="276"/>
      <c r="T31" s="277"/>
    </row>
    <row r="32" customHeight="1" ht="17.0">
      <c r="A32" s="5"/>
      <c r="B32" s="98"/>
      <c r="C32" s="310" t="s">
        <v>210</v>
      </c>
      <c r="D32" s="334">
        <f>D16-D30</f>
        <v>0.0</v>
      </c>
      <c r="E32" s="300">
        <f>IF(D$14=0,0,D32/D$14)</f>
        <v>0.0</v>
      </c>
      <c r="F32" s="334">
        <f>F16-F30</f>
        <v>0.0</v>
      </c>
      <c r="G32" s="300">
        <f>IF(F$14=0,0,F32/F$14)</f>
        <v>0.0</v>
      </c>
      <c r="H32" s="334">
        <f>H16-H30</f>
        <v>0.0</v>
      </c>
      <c r="I32" s="300">
        <f>IF(H$14=0,0,H32/H$14)</f>
        <v>0.0</v>
      </c>
      <c r="J32" s="334">
        <f>J16-J30</f>
        <v>0.0</v>
      </c>
      <c r="K32" s="300">
        <f>IF(J$14=0,0,J32/J$14)</f>
        <v>0.0</v>
      </c>
      <c r="L32" s="5"/>
      <c r="M32" s="314" t="s">
        <v>210</v>
      </c>
      <c r="N32" s="330">
        <f>N16-N30</f>
        <v>0.0</v>
      </c>
      <c r="O32" s="303">
        <f>IF(N$14=0,0,N32/N$14)</f>
        <v>0.0</v>
      </c>
      <c r="P32" s="330">
        <f>P16-P30</f>
        <v>0.0</v>
      </c>
      <c r="Q32" s="303">
        <f>IF(P$14=0,0,P32/P$14)</f>
        <v>0.0</v>
      </c>
      <c r="R32" s="276"/>
      <c r="S32" s="276"/>
      <c r="T32" s="277"/>
    </row>
    <row r="33" customHeight="1" ht="17.0">
      <c r="A33" s="5"/>
      <c r="B33" s="98"/>
      <c r="C33" s="310"/>
      <c r="D33" s="335"/>
      <c r="E33" s="332"/>
      <c r="F33" s="335"/>
      <c r="G33" s="332"/>
      <c r="H33" s="335"/>
      <c r="I33" s="332"/>
      <c r="J33" s="335"/>
      <c r="K33" s="332"/>
      <c r="L33" s="5"/>
      <c r="M33" s="314"/>
      <c r="N33" s="336"/>
      <c r="O33" s="303"/>
      <c r="P33" s="336"/>
      <c r="Q33" s="303"/>
      <c r="R33" s="276"/>
      <c r="S33" s="276"/>
      <c r="T33" s="277"/>
    </row>
    <row r="34" customHeight="1" ht="17.0">
      <c r="A34" s="5"/>
      <c r="B34" s="98"/>
      <c r="C34" s="337" t="s">
        <v>211</v>
      </c>
      <c r="D34" s="324">
        <v>0.0</v>
      </c>
      <c r="E34" s="300">
        <f t="shared" ref="E34:E38" si="49">IF(D$14=0,0,D34/D$14)</f>
        <v>0.0</v>
      </c>
      <c r="F34" s="324">
        <v>0.0</v>
      </c>
      <c r="G34" s="300">
        <f t="shared" ref="G34:G38" si="50">IF(F$14=0,0,F34/F$14)</f>
        <v>0.0</v>
      </c>
      <c r="H34" s="324">
        <v>0.0</v>
      </c>
      <c r="I34" s="300">
        <f t="shared" ref="I34:I38" si="51">IF(H$14=0,0,H34/H$14)</f>
        <v>0.0</v>
      </c>
      <c r="J34" s="324">
        <v>0.0</v>
      </c>
      <c r="K34" s="300">
        <f t="shared" ref="K34:K38" si="52">IF(J$14=0,0,J34/J$14)</f>
        <v>0.0</v>
      </c>
      <c r="L34" s="5"/>
      <c r="M34" s="302" t="s">
        <v>212</v>
      </c>
      <c r="N34" s="301">
        <v>0.0</v>
      </c>
      <c r="O34" s="303">
        <f t="shared" ref="O34:O38" si="53">IF(N$14=0,0,N34/N$14)</f>
        <v>0.0</v>
      </c>
      <c r="P34" s="301">
        <v>0.0</v>
      </c>
      <c r="Q34" s="303">
        <f t="shared" ref="Q34:Q38" si="54">IF(P$14=0,0,P34/P$14)</f>
        <v>0.0</v>
      </c>
      <c r="R34" s="276"/>
      <c r="S34" s="276"/>
      <c r="T34" s="277"/>
    </row>
    <row r="35" customHeight="1" ht="17.0">
      <c r="A35" s="5"/>
      <c r="B35" s="98"/>
      <c r="C35" s="338" t="s">
        <v>211</v>
      </c>
      <c r="D35" s="325">
        <v>0.0</v>
      </c>
      <c r="E35" s="300">
        <f t="shared" si="49"/>
        <v>0.0</v>
      </c>
      <c r="F35" s="325">
        <v>0.0</v>
      </c>
      <c r="G35" s="300">
        <f t="shared" si="50"/>
        <v>0.0</v>
      </c>
      <c r="H35" s="325">
        <v>0.0</v>
      </c>
      <c r="I35" s="300">
        <f t="shared" si="51"/>
        <v>0.0</v>
      </c>
      <c r="J35" s="325">
        <v>0.0</v>
      </c>
      <c r="K35" s="300">
        <f t="shared" si="52"/>
        <v>0.0</v>
      </c>
      <c r="L35" s="5"/>
      <c r="M35" s="302" t="s">
        <v>212</v>
      </c>
      <c r="N35" s="326">
        <v>0.0</v>
      </c>
      <c r="O35" s="303">
        <f t="shared" si="53"/>
        <v>0.0</v>
      </c>
      <c r="P35" s="326">
        <v>0.0</v>
      </c>
      <c r="Q35" s="303">
        <f t="shared" si="54"/>
        <v>0.0</v>
      </c>
      <c r="R35" s="276"/>
      <c r="S35" s="276"/>
      <c r="T35" s="277"/>
    </row>
    <row r="36" customHeight="1" ht="17.0">
      <c r="A36" s="5"/>
      <c r="B36" s="98"/>
      <c r="C36" s="338" t="s">
        <v>213</v>
      </c>
      <c r="D36" s="325">
        <v>0.0</v>
      </c>
      <c r="E36" s="300">
        <f t="shared" si="49"/>
        <v>0.0</v>
      </c>
      <c r="F36" s="325">
        <v>0.0</v>
      </c>
      <c r="G36" s="300">
        <f t="shared" si="50"/>
        <v>0.0</v>
      </c>
      <c r="H36" s="325">
        <v>0.0</v>
      </c>
      <c r="I36" s="300">
        <f t="shared" si="51"/>
        <v>0.0</v>
      </c>
      <c r="J36" s="325">
        <v>0.0</v>
      </c>
      <c r="K36" s="300">
        <f t="shared" si="52"/>
        <v>0.0</v>
      </c>
      <c r="L36" s="5"/>
      <c r="M36" s="302" t="s">
        <v>213</v>
      </c>
      <c r="N36" s="326">
        <v>0.0</v>
      </c>
      <c r="O36" s="303">
        <f t="shared" si="53"/>
        <v>0.0</v>
      </c>
      <c r="P36" s="326">
        <v>0.0</v>
      </c>
      <c r="Q36" s="303">
        <f t="shared" si="54"/>
        <v>0.0</v>
      </c>
      <c r="R36" s="276"/>
      <c r="S36" s="276"/>
      <c r="T36" s="277"/>
    </row>
    <row r="37" customHeight="1" ht="17.0">
      <c r="A37" s="5"/>
      <c r="B37" s="98"/>
      <c r="C37" s="339" t="s">
        <v>213</v>
      </c>
      <c r="D37" s="329">
        <v>0.0</v>
      </c>
      <c r="E37" s="300">
        <f t="shared" si="49"/>
        <v>0.0</v>
      </c>
      <c r="F37" s="329">
        <v>0.0</v>
      </c>
      <c r="G37" s="300">
        <f t="shared" si="50"/>
        <v>0.0</v>
      </c>
      <c r="H37" s="329">
        <v>0.0</v>
      </c>
      <c r="I37" s="300">
        <f t="shared" si="51"/>
        <v>0.0</v>
      </c>
      <c r="J37" s="329">
        <v>0.0</v>
      </c>
      <c r="K37" s="300">
        <f t="shared" si="52"/>
        <v>0.0</v>
      </c>
      <c r="L37" s="5"/>
      <c r="M37" s="302" t="s">
        <v>213</v>
      </c>
      <c r="N37" s="306">
        <v>0.0</v>
      </c>
      <c r="O37" s="303">
        <f t="shared" si="53"/>
        <v>0.0</v>
      </c>
      <c r="P37" s="306">
        <v>0.0</v>
      </c>
      <c r="Q37" s="303">
        <f t="shared" si="54"/>
        <v>0.0</v>
      </c>
      <c r="R37" s="276"/>
      <c r="S37" s="276"/>
      <c r="T37" s="277"/>
    </row>
    <row r="38" customHeight="1" ht="17.0">
      <c r="A38" s="5"/>
      <c r="B38" s="98"/>
      <c r="C38" s="310" t="s">
        <v>214</v>
      </c>
      <c r="D38" s="334">
        <f>SUM(D34:D37)</f>
        <v>0.0</v>
      </c>
      <c r="E38" s="300">
        <f t="shared" si="49"/>
        <v>0.0</v>
      </c>
      <c r="F38" s="334">
        <f>SUM(F34:F37)</f>
        <v>0.0</v>
      </c>
      <c r="G38" s="300">
        <f t="shared" si="50"/>
        <v>0.0</v>
      </c>
      <c r="H38" s="334">
        <f>SUM(H34:H37)</f>
        <v>0.0</v>
      </c>
      <c r="I38" s="300">
        <f t="shared" si="51"/>
        <v>0.0</v>
      </c>
      <c r="J38" s="334">
        <f>SUM(J34:J37)</f>
        <v>0.0</v>
      </c>
      <c r="K38" s="300">
        <f t="shared" si="52"/>
        <v>0.0</v>
      </c>
      <c r="L38" s="5"/>
      <c r="M38" s="314" t="s">
        <v>214</v>
      </c>
      <c r="N38" s="330">
        <f>SUM(N34:N37)</f>
        <v>0.0</v>
      </c>
      <c r="O38" s="303">
        <f t="shared" si="53"/>
        <v>0.0</v>
      </c>
      <c r="P38" s="330">
        <f>SUM(P34:P37)</f>
        <v>0.0</v>
      </c>
      <c r="Q38" s="303">
        <f t="shared" si="54"/>
        <v>0.0</v>
      </c>
      <c r="R38" s="276"/>
      <c r="S38" s="276"/>
      <c r="T38" s="277"/>
    </row>
    <row r="39" customHeight="1" ht="17.0">
      <c r="A39" s="5"/>
      <c r="B39" s="98"/>
      <c r="C39" s="310"/>
      <c r="D39" s="331"/>
      <c r="E39" s="332"/>
      <c r="F39" s="331"/>
      <c r="G39" s="332"/>
      <c r="H39" s="331"/>
      <c r="I39" s="332"/>
      <c r="J39" s="331"/>
      <c r="K39" s="332"/>
      <c r="L39" s="5"/>
      <c r="M39" s="314"/>
      <c r="N39" s="333"/>
      <c r="O39" s="303"/>
      <c r="P39" s="333"/>
      <c r="Q39" s="303"/>
      <c r="R39" s="276"/>
      <c r="S39" s="276"/>
      <c r="T39" s="277"/>
    </row>
    <row r="40" customHeight="1" ht="17.0">
      <c r="A40" s="5"/>
      <c r="B40" s="98"/>
      <c r="C40" s="310" t="s">
        <v>215</v>
      </c>
      <c r="D40" s="334">
        <f>D16-D30+D38</f>
        <v>0.0</v>
      </c>
      <c r="E40" s="300">
        <f t="shared" ref="E40:E41" si="62">IF(D$14=0,0,D40/D$14)</f>
        <v>0.0</v>
      </c>
      <c r="F40" s="334">
        <f>F16-F30+F38</f>
        <v>0.0</v>
      </c>
      <c r="G40" s="300">
        <f t="shared" ref="G40:G41" si="64">IF(F$14=0,0,F40/F$14)</f>
        <v>0.0</v>
      </c>
      <c r="H40" s="334">
        <f>H16-H30+H38</f>
        <v>0.0</v>
      </c>
      <c r="I40" s="300">
        <f t="shared" ref="I40:I41" si="66">IF(H$14=0,0,H40/H$14)</f>
        <v>0.0</v>
      </c>
      <c r="J40" s="334">
        <f>J16-J30+J38</f>
        <v>0.0</v>
      </c>
      <c r="K40" s="300">
        <f t="shared" ref="K40:K41" si="68">IF(J$14=0,0,J40/J$14)</f>
        <v>0.0</v>
      </c>
      <c r="L40" s="5"/>
      <c r="M40" s="314" t="s">
        <v>215</v>
      </c>
      <c r="N40" s="330">
        <f>N16-N30+N38</f>
        <v>0.0</v>
      </c>
      <c r="O40" s="303">
        <f t="shared" ref="O40:O41" si="70">IF(N$14=0,0,N40/N$14)</f>
        <v>0.0</v>
      </c>
      <c r="P40" s="330">
        <f>P16-P30+P38</f>
        <v>0.0</v>
      </c>
      <c r="Q40" s="303">
        <f t="shared" ref="Q40:Q41" si="72">IF(P$14=0,0,P40/P$14)</f>
        <v>0.0</v>
      </c>
      <c r="R40" s="276"/>
      <c r="S40" s="276"/>
      <c r="T40" s="277"/>
    </row>
    <row r="41" customHeight="1" ht="17.0">
      <c r="A41" s="5"/>
      <c r="B41" s="98"/>
      <c r="C41" s="310" t="s">
        <v>216</v>
      </c>
      <c r="D41" s="334">
        <v>0.0</v>
      </c>
      <c r="E41" s="300">
        <f t="shared" si="62"/>
        <v>0.0</v>
      </c>
      <c r="F41" s="334">
        <v>0.0</v>
      </c>
      <c r="G41" s="300">
        <f t="shared" si="64"/>
        <v>0.0</v>
      </c>
      <c r="H41" s="334">
        <v>0.0</v>
      </c>
      <c r="I41" s="300">
        <f t="shared" si="66"/>
        <v>0.0</v>
      </c>
      <c r="J41" s="334">
        <v>0.0</v>
      </c>
      <c r="K41" s="300">
        <f t="shared" si="68"/>
        <v>0.0</v>
      </c>
      <c r="L41" s="5"/>
      <c r="M41" s="314" t="s">
        <v>216</v>
      </c>
      <c r="N41" s="330">
        <v>0.0</v>
      </c>
      <c r="O41" s="303">
        <f t="shared" si="70"/>
        <v>0.0</v>
      </c>
      <c r="P41" s="330">
        <v>0.0</v>
      </c>
      <c r="Q41" s="303">
        <f t="shared" si="72"/>
        <v>0.0</v>
      </c>
      <c r="R41" s="276"/>
      <c r="S41" s="276"/>
      <c r="T41" s="277"/>
    </row>
    <row r="42" customHeight="1" ht="17.0">
      <c r="A42" s="5"/>
      <c r="B42" s="98"/>
      <c r="C42" s="340"/>
      <c r="D42" s="341"/>
      <c r="E42" s="300"/>
      <c r="F42" s="341"/>
      <c r="G42" s="300"/>
      <c r="H42" s="341"/>
      <c r="I42" s="300"/>
      <c r="J42" s="341"/>
      <c r="K42" s="300"/>
      <c r="L42" s="5"/>
      <c r="M42" s="342"/>
      <c r="N42" s="343"/>
      <c r="O42" s="303"/>
      <c r="P42" s="343"/>
      <c r="Q42" s="303"/>
      <c r="R42" s="276"/>
      <c r="S42" s="276"/>
      <c r="T42" s="277"/>
    </row>
    <row r="43" customHeight="1" ht="17.0">
      <c r="A43" s="5"/>
      <c r="B43" s="98"/>
      <c r="C43" s="310" t="s">
        <v>217</v>
      </c>
      <c r="D43" s="334">
        <f>D40-D41</f>
        <v>0.0</v>
      </c>
      <c r="E43" s="300">
        <f>IF(D$14=0,0,D43/D$14)</f>
        <v>0.0</v>
      </c>
      <c r="F43" s="334">
        <f>F40-F41</f>
        <v>0.0</v>
      </c>
      <c r="G43" s="300">
        <f>IF(F$14=0,0,F43/F$14)</f>
        <v>0.0</v>
      </c>
      <c r="H43" s="334">
        <f>H40-H41</f>
        <v>0.0</v>
      </c>
      <c r="I43" s="300">
        <f>IF(H$14=0,0,H43/H$14)</f>
        <v>0.0</v>
      </c>
      <c r="J43" s="334">
        <f>J40-J41</f>
        <v>0.0</v>
      </c>
      <c r="K43" s="300">
        <f>IF(J$14=0,0,J43/J$14)</f>
        <v>0.0</v>
      </c>
      <c r="L43" s="5"/>
      <c r="M43" s="314" t="s">
        <v>217</v>
      </c>
      <c r="N43" s="330">
        <f>N40-N41</f>
        <v>0.0</v>
      </c>
      <c r="O43" s="303">
        <f>IF(N$14=0,0,N43/N$14)</f>
        <v>0.0</v>
      </c>
      <c r="P43" s="330">
        <f>P40-P41</f>
        <v>0.0</v>
      </c>
      <c r="Q43" s="303">
        <f>IF(P$14=0,0,P43/P$14)</f>
        <v>0.0</v>
      </c>
      <c r="R43" s="276"/>
      <c r="S43" s="276"/>
      <c r="T43" s="277"/>
    </row>
    <row r="44" customHeight="1" ht="17.0">
      <c r="A44" s="5"/>
      <c r="B44" s="98"/>
      <c r="C44" s="68"/>
      <c r="D44" s="344"/>
      <c r="E44" s="345"/>
      <c r="F44" s="346"/>
      <c r="G44" s="345"/>
      <c r="H44" s="346"/>
      <c r="I44" s="345"/>
      <c r="J44" s="346"/>
      <c r="K44" s="347"/>
      <c r="L44" s="5"/>
      <c r="M44" s="302"/>
      <c r="N44" s="343"/>
      <c r="O44" s="276"/>
      <c r="P44" s="343"/>
      <c r="Q44" s="276"/>
      <c r="R44" s="276"/>
      <c r="S44" s="276"/>
      <c r="T44" s="277"/>
    </row>
    <row r="45" customHeight="1" ht="17.0">
      <c r="A45" s="5"/>
      <c r="B45" s="98"/>
      <c r="C45" s="348" t="s">
        <v>218</v>
      </c>
      <c r="D45" s="344"/>
      <c r="E45" s="30"/>
      <c r="F45" s="30"/>
      <c r="G45" s="30"/>
      <c r="H45" s="30"/>
      <c r="I45" s="30"/>
      <c r="J45" s="30"/>
      <c r="K45" s="38"/>
      <c r="L45" s="5"/>
      <c r="M45" s="349" t="s">
        <v>218</v>
      </c>
      <c r="N45" s="276"/>
      <c r="O45" s="276"/>
      <c r="P45" s="276"/>
      <c r="Q45" s="276"/>
      <c r="R45" s="276"/>
      <c r="S45" s="276"/>
      <c r="T45" s="277"/>
    </row>
    <row r="46" customHeight="1" ht="17.0">
      <c r="A46" s="5"/>
      <c r="B46" s="98"/>
      <c r="C46" s="350" t="s">
        <v>219</v>
      </c>
      <c r="D46" s="351">
        <f>D19</f>
        <v>0.0</v>
      </c>
      <c r="E46" s="30"/>
      <c r="F46" s="351">
        <f>F19</f>
        <v>0.0</v>
      </c>
      <c r="G46" s="30"/>
      <c r="H46" s="351">
        <f>H19</f>
        <v>0.0</v>
      </c>
      <c r="I46" s="30"/>
      <c r="J46" s="351">
        <f>J19</f>
        <v>0.0</v>
      </c>
      <c r="K46" s="38"/>
      <c r="L46" s="5"/>
      <c r="M46" s="352" t="s">
        <v>219</v>
      </c>
      <c r="N46" s="353">
        <f>N19</f>
        <v>0.0</v>
      </c>
      <c r="O46" s="303">
        <f t="shared" ref="O46:O53" si="90">IF(N$14=0,0,N46/N$14)</f>
        <v>0.0</v>
      </c>
      <c r="P46" s="353">
        <f>P19</f>
        <v>0.0</v>
      </c>
      <c r="Q46" s="303">
        <f t="shared" ref="Q46:Q53" si="92">IF(P$14=0,0,P46/P$14)</f>
        <v>0.0</v>
      </c>
      <c r="R46" s="276"/>
      <c r="S46" s="276"/>
      <c r="T46" s="277"/>
    </row>
    <row r="47" customHeight="1" ht="17.0">
      <c r="A47" s="5"/>
      <c r="B47" s="98"/>
      <c r="C47" s="354" t="s">
        <v>220</v>
      </c>
      <c r="D47" s="351">
        <f>D26</f>
        <v>0.0</v>
      </c>
      <c r="E47" s="30"/>
      <c r="F47" s="351">
        <f>F26</f>
        <v>0.0</v>
      </c>
      <c r="G47" s="30"/>
      <c r="H47" s="351">
        <f>H26</f>
        <v>0.0</v>
      </c>
      <c r="I47" s="30"/>
      <c r="J47" s="351">
        <f>J26</f>
        <v>0.0</v>
      </c>
      <c r="K47" s="38"/>
      <c r="L47" s="5"/>
      <c r="M47" s="355" t="s">
        <v>220</v>
      </c>
      <c r="N47" s="353">
        <f>N26</f>
        <v>0.0</v>
      </c>
      <c r="O47" s="303">
        <f t="shared" si="90"/>
        <v>0.0</v>
      </c>
      <c r="P47" s="353">
        <f>P26</f>
        <v>0.0</v>
      </c>
      <c r="Q47" s="303">
        <f t="shared" si="92"/>
        <v>0.0</v>
      </c>
      <c r="R47" s="276"/>
      <c r="S47" s="276"/>
      <c r="T47" s="277"/>
    </row>
    <row r="48" customHeight="1" ht="17.0">
      <c r="A48" s="5"/>
      <c r="B48" s="98"/>
      <c r="C48" s="354" t="s">
        <v>221</v>
      </c>
      <c r="D48" s="351">
        <f>D25</f>
        <v>0.0</v>
      </c>
      <c r="E48" s="30"/>
      <c r="F48" s="351">
        <f>F25</f>
        <v>0.0</v>
      </c>
      <c r="G48" s="30"/>
      <c r="H48" s="351">
        <f>H25</f>
        <v>0.0</v>
      </c>
      <c r="I48" s="30"/>
      <c r="J48" s="351">
        <f>J25</f>
        <v>0.0</v>
      </c>
      <c r="K48" s="38"/>
      <c r="L48" s="5"/>
      <c r="M48" s="355" t="s">
        <v>221</v>
      </c>
      <c r="N48" s="353">
        <f>N25</f>
        <v>0.0</v>
      </c>
      <c r="O48" s="303">
        <f t="shared" si="90"/>
        <v>0.0</v>
      </c>
      <c r="P48" s="353">
        <f>P25</f>
        <v>0.0</v>
      </c>
      <c r="Q48" s="303">
        <f t="shared" si="92"/>
        <v>0.0</v>
      </c>
      <c r="R48" s="276"/>
      <c r="S48" s="276"/>
      <c r="T48" s="277"/>
    </row>
    <row r="49" customHeight="1" ht="17.0">
      <c r="A49" s="5"/>
      <c r="B49" s="98"/>
      <c r="C49" s="354" t="s">
        <v>222</v>
      </c>
      <c r="D49" s="351">
        <v>0.0</v>
      </c>
      <c r="E49" s="30"/>
      <c r="F49" s="351">
        <v>0.0</v>
      </c>
      <c r="G49" s="30"/>
      <c r="H49" s="351">
        <v>0.0</v>
      </c>
      <c r="I49" s="30"/>
      <c r="J49" s="351">
        <v>0.0</v>
      </c>
      <c r="K49" s="38"/>
      <c r="L49" s="5"/>
      <c r="M49" s="355" t="s">
        <v>222</v>
      </c>
      <c r="N49" s="353">
        <f>N23</f>
        <v>0.0</v>
      </c>
      <c r="O49" s="303">
        <f t="shared" si="90"/>
        <v>0.0</v>
      </c>
      <c r="P49" s="353">
        <f>P23</f>
        <v>0.0</v>
      </c>
      <c r="Q49" s="303">
        <f t="shared" si="92"/>
        <v>0.0</v>
      </c>
      <c r="R49" s="276"/>
      <c r="S49" s="276"/>
      <c r="T49" s="277"/>
    </row>
    <row r="50" customHeight="1" ht="17.0">
      <c r="A50" s="5"/>
      <c r="B50" s="98"/>
      <c r="C50" s="356" t="s">
        <v>223</v>
      </c>
      <c r="D50" s="351">
        <v>0.0</v>
      </c>
      <c r="E50" s="30"/>
      <c r="F50" s="351">
        <v>0.0</v>
      </c>
      <c r="G50" s="30"/>
      <c r="H50" s="351">
        <v>0.0</v>
      </c>
      <c r="I50" s="30"/>
      <c r="J50" s="351">
        <v>0.0</v>
      </c>
      <c r="K50" s="38"/>
      <c r="L50" s="5"/>
      <c r="M50" s="357" t="s">
        <v>223</v>
      </c>
      <c r="N50" s="353">
        <v>0.0</v>
      </c>
      <c r="O50" s="303">
        <f t="shared" si="90"/>
        <v>0.0</v>
      </c>
      <c r="P50" s="353">
        <v>0.0</v>
      </c>
      <c r="Q50" s="303">
        <f t="shared" si="92"/>
        <v>0.0</v>
      </c>
      <c r="R50" s="276"/>
      <c r="S50" s="276"/>
      <c r="T50" s="277"/>
    </row>
    <row r="51" customHeight="1" ht="17.0">
      <c r="A51" s="5"/>
      <c r="B51" s="98"/>
      <c r="C51" s="356" t="s">
        <v>223</v>
      </c>
      <c r="D51" s="351">
        <v>0.0</v>
      </c>
      <c r="E51" s="30"/>
      <c r="F51" s="351">
        <v>0.0</v>
      </c>
      <c r="G51" s="30"/>
      <c r="H51" s="351">
        <v>0.0</v>
      </c>
      <c r="I51" s="30"/>
      <c r="J51" s="351">
        <v>0.0</v>
      </c>
      <c r="K51" s="38"/>
      <c r="L51" s="5"/>
      <c r="M51" s="357" t="s">
        <v>223</v>
      </c>
      <c r="N51" s="353">
        <v>0.0</v>
      </c>
      <c r="O51" s="303">
        <f t="shared" si="90"/>
        <v>0.0</v>
      </c>
      <c r="P51" s="353">
        <v>0.0</v>
      </c>
      <c r="Q51" s="303">
        <f t="shared" si="92"/>
        <v>0.0</v>
      </c>
      <c r="R51" s="276"/>
      <c r="S51" s="276"/>
      <c r="T51" s="277"/>
    </row>
    <row r="52" customHeight="1" ht="17.0">
      <c r="A52" s="5"/>
      <c r="B52" s="98"/>
      <c r="C52" s="354" t="s">
        <v>224</v>
      </c>
      <c r="D52" s="351">
        <v>0.0</v>
      </c>
      <c r="E52" s="30"/>
      <c r="F52" s="351">
        <v>0.0</v>
      </c>
      <c r="G52" s="30"/>
      <c r="H52" s="351">
        <v>0.0</v>
      </c>
      <c r="I52" s="30"/>
      <c r="J52" s="351">
        <v>0.0</v>
      </c>
      <c r="K52" s="38"/>
      <c r="L52" s="5"/>
      <c r="M52" s="355" t="s">
        <v>224</v>
      </c>
      <c r="N52" s="353">
        <v>0.0</v>
      </c>
      <c r="O52" s="303">
        <f t="shared" si="90"/>
        <v>0.0</v>
      </c>
      <c r="P52" s="353">
        <v>0.0</v>
      </c>
      <c r="Q52" s="303">
        <f t="shared" si="92"/>
        <v>0.0</v>
      </c>
      <c r="R52" s="276"/>
      <c r="S52" s="276"/>
      <c r="T52" s="277"/>
    </row>
    <row r="53" customHeight="1" ht="17.0">
      <c r="A53" s="5"/>
      <c r="B53" s="98"/>
      <c r="C53" s="354" t="s">
        <v>225</v>
      </c>
      <c r="D53" s="358">
        <v>0.0</v>
      </c>
      <c r="E53" s="30"/>
      <c r="F53" s="358">
        <v>0.0</v>
      </c>
      <c r="G53" s="30"/>
      <c r="H53" s="358">
        <v>0.0</v>
      </c>
      <c r="I53" s="30"/>
      <c r="J53" s="358">
        <v>0.0</v>
      </c>
      <c r="K53" s="38"/>
      <c r="L53" s="5"/>
      <c r="M53" s="355" t="s">
        <v>225</v>
      </c>
      <c r="N53" s="359">
        <f>H53</f>
        <v>0.0</v>
      </c>
      <c r="O53" s="303">
        <f t="shared" si="90"/>
        <v>0.0</v>
      </c>
      <c r="P53" s="359">
        <f>H53</f>
        <v>0.0</v>
      </c>
      <c r="Q53" s="303">
        <f t="shared" si="92"/>
        <v>0.0</v>
      </c>
      <c r="R53" s="276"/>
      <c r="S53" s="276"/>
      <c r="T53" s="277"/>
    </row>
    <row r="54" customHeight="1" ht="17.0">
      <c r="A54" s="5"/>
      <c r="B54" s="98"/>
      <c r="C54" s="354"/>
      <c r="D54" s="360"/>
      <c r="E54" s="354"/>
      <c r="F54" s="354"/>
      <c r="G54" s="354"/>
      <c r="H54" s="354"/>
      <c r="I54" s="354"/>
      <c r="J54" s="354"/>
      <c r="K54" s="38"/>
      <c r="L54" s="5"/>
      <c r="M54" s="355"/>
      <c r="N54" s="355"/>
      <c r="O54" s="276"/>
      <c r="P54" s="355"/>
      <c r="Q54" s="276"/>
      <c r="R54" s="276"/>
      <c r="S54" s="276"/>
      <c r="T54" s="277"/>
    </row>
    <row r="55" customHeight="1" ht="17.0">
      <c r="A55" s="5"/>
      <c r="B55" s="98"/>
      <c r="C55" s="354" t="s">
        <v>226</v>
      </c>
      <c r="D55" s="361">
        <f>D43+SUM(D46:D53)</f>
        <v>0.0</v>
      </c>
      <c r="E55" s="362"/>
      <c r="F55" s="361">
        <f>F43+SUM(F46:F53)</f>
        <v>0.0</v>
      </c>
      <c r="G55" s="362"/>
      <c r="H55" s="361">
        <f>H43+SUM(H46:H53)</f>
        <v>0.0</v>
      </c>
      <c r="I55" s="362"/>
      <c r="J55" s="361">
        <f>J43+SUM(J46:J53)</f>
        <v>0.0</v>
      </c>
      <c r="K55" s="38"/>
      <c r="L55" s="5"/>
      <c r="M55" s="355" t="s">
        <v>226</v>
      </c>
      <c r="N55" s="363">
        <f>N40+SUM(N46:N53)</f>
        <v>0.0</v>
      </c>
      <c r="O55" s="303">
        <f>IF(N$14=0,0,N55/N$14)</f>
        <v>0.0</v>
      </c>
      <c r="P55" s="363">
        <f>P40+SUM(P46:P53)</f>
        <v>0.0</v>
      </c>
      <c r="Q55" s="303">
        <f>IF(P$14=0,0,P55/P$14)</f>
        <v>0.0</v>
      </c>
      <c r="R55" s="276"/>
      <c r="S55" s="276"/>
      <c r="T55" s="277"/>
    </row>
    <row r="56" customHeight="1" ht="17.0">
      <c r="A56" s="5"/>
      <c r="B56" s="98"/>
      <c r="C56" s="354"/>
      <c r="D56" s="364"/>
      <c r="E56" s="364"/>
      <c r="F56" s="364"/>
      <c r="G56" s="364"/>
      <c r="H56" s="364"/>
      <c r="I56" s="364"/>
      <c r="J56" s="364"/>
      <c r="K56" s="38"/>
      <c r="L56" s="5"/>
      <c r="M56" s="355"/>
      <c r="N56" s="276"/>
      <c r="O56" s="276"/>
      <c r="P56" s="276"/>
      <c r="Q56" s="276"/>
      <c r="R56" s="276"/>
      <c r="S56" s="276"/>
      <c r="T56" s="277"/>
    </row>
    <row r="57" customHeight="1" ht="17.0">
      <c r="A57" s="5"/>
      <c r="B57" s="98"/>
      <c r="C57" s="68" t="s">
        <v>227</v>
      </c>
      <c r="D57" s="365">
        <f>Table211[[#Totals],[CF Debt Svc]]*D7</f>
        <v>0.0</v>
      </c>
      <c r="E57" s="364"/>
      <c r="F57" s="365">
        <f>Table211[[#Totals],[CF Debt Svc]]*F7</f>
        <v>0.0</v>
      </c>
      <c r="G57" s="364"/>
      <c r="H57" s="365">
        <f>Table211[[#Totals],[CF Debt Svc]]*H7</f>
        <v>0.0</v>
      </c>
      <c r="I57" s="364"/>
      <c r="J57" s="365">
        <f>Table211[[#Totals],[CF Debt Svc]]*J7</f>
        <v>0.0</v>
      </c>
      <c r="K57" s="38"/>
      <c r="L57" s="5"/>
      <c r="M57" s="302" t="s">
        <v>227</v>
      </c>
      <c r="N57" s="308">
        <f>SUMIF(K$68:K$77,"No",E68:F77)*$D$7</f>
        <v>0.0</v>
      </c>
      <c r="O57" s="303">
        <f t="shared" ref="O57:O61" si="122">IF(N$14=0,0,N57/N$14)</f>
        <v>0.0</v>
      </c>
      <c r="P57" s="308">
        <f>SUMIF(K$68:K$77,"No",E68:F77)*$D$7</f>
        <v>0.0</v>
      </c>
      <c r="Q57" s="303">
        <f t="shared" ref="Q57:Q61" si="124">IF(P$14=0,0,P57/P$14)</f>
        <v>0.0</v>
      </c>
      <c r="R57" s="276"/>
      <c r="S57" s="276"/>
      <c r="T57" s="277"/>
    </row>
    <row r="58" customHeight="1" ht="17.0">
      <c r="A58" s="5"/>
      <c r="B58" s="98"/>
      <c r="C58" s="68" t="s">
        <v>228</v>
      </c>
      <c r="D58" s="365">
        <f>IFERROR(INDEX('2. Sources and Uses'!$K$92:$K$94,MATCH('1. Project Structure'!$C$17,'2. Sources and Uses'!B$92:$B$94,0))*D$7,0)</f>
        <v>0.0</v>
      </c>
      <c r="E58" s="364"/>
      <c r="F58" s="365">
        <f>IFERROR(INDEX('2. Sources and Uses'!$K$92:$K$94,MATCH('1. Project Structure'!$C$17,'2. Sources and Uses'!$B$92:D$94,0))*F$7,0)</f>
        <v>0.0</v>
      </c>
      <c r="G58" s="364"/>
      <c r="H58" s="365">
        <f>IFERROR(INDEX('2. Sources and Uses'!$K$92:$K$94,MATCH('1. Project Structure'!$C$17,'2. Sources and Uses'!$B$92:F$94,0))*H$7,0)</f>
        <v>0.0</v>
      </c>
      <c r="I58" s="364"/>
      <c r="J58" s="365">
        <f>IFERROR(INDEX('2. Sources and Uses'!$K$92:$K$94,MATCH('1. Project Structure'!$C$17,'2. Sources and Uses'!$B$92:H$94,0))*J$7,0)</f>
        <v>0.0</v>
      </c>
      <c r="K58" s="38"/>
      <c r="L58" s="5"/>
      <c r="M58" s="302" t="s">
        <f>_xlfn.CONCAT('1. Project Structure'!C$11)</f>
        <v>38</v>
      </c>
      <c r="N58" s="308">
        <f>'1. Project Structure'!C20*D7</f>
        <v>0.0</v>
      </c>
      <c r="O58" s="303">
        <f t="shared" si="122"/>
        <v>0.0</v>
      </c>
      <c r="P58" s="308">
        <f>'1. Project Structure'!C20*D7</f>
        <v>0.0</v>
      </c>
      <c r="Q58" s="303">
        <f t="shared" si="124"/>
        <v>0.0</v>
      </c>
      <c r="R58" s="276"/>
      <c r="S58" s="276"/>
      <c r="T58" s="277"/>
    </row>
    <row r="59" customHeight="1" ht="17.0">
      <c r="A59" s="5"/>
      <c r="B59" s="98"/>
      <c r="C59" s="68" t="s">
        <v>229</v>
      </c>
      <c r="D59" s="365">
        <f>IFERROR(PMT('1. Project Structure'!$E$16/12,'1. Project Structure'!$E$19,-'1. Project Structure'!$E$22),0)*D$7</f>
        <v>0.0</v>
      </c>
      <c r="E59" s="364"/>
      <c r="F59" s="365">
        <f>IFERROR(PMT('1. Project Structure'!$E$16/12,'1. Project Structure'!$E$19,-'1. Project Structure'!$E$22),0)*F$7</f>
        <v>0.0</v>
      </c>
      <c r="G59" s="364"/>
      <c r="H59" s="365">
        <f>IFERROR(PMT('1. Project Structure'!$E$16/12,'1. Project Structure'!$E$19,-'1. Project Structure'!$E$22),0)*H$7</f>
        <v>0.0</v>
      </c>
      <c r="I59" s="364"/>
      <c r="J59" s="365">
        <f>IFERROR(PMT('1. Project Structure'!$E$16/12,'1. Project Structure'!$E$19,-'1. Project Structure'!$E$22),0)*J$7</f>
        <v>0.0</v>
      </c>
      <c r="K59" s="38"/>
      <c r="L59" s="5"/>
      <c r="M59" s="302" t="s">
        <f>_xlfn.CONCAT('1. Project Structure'!E$11)</f>
        <v>40</v>
      </c>
      <c r="N59" s="308">
        <f>IFERROR(PMT('1. Project Structure'!C14/12,'1. Project Structure'!E17,-'2. Sources and Uses'!E20),0)*12</f>
        <v>0.0</v>
      </c>
      <c r="O59" s="303">
        <f t="shared" si="122"/>
        <v>0.0</v>
      </c>
      <c r="P59" s="308">
        <f>IFERROR(PMT('1. Project Structure'!C14/12,'1. Project Structure'!E17,-'2. Sources and Uses'!EE20),0)*12</f>
        <v>0.0</v>
      </c>
      <c r="Q59" s="303">
        <f t="shared" si="124"/>
        <v>0.0</v>
      </c>
      <c r="R59" s="276"/>
      <c r="S59" s="276"/>
      <c r="T59" s="277"/>
    </row>
    <row r="60" customHeight="1" ht="17.0">
      <c r="A60" s="5"/>
      <c r="B60" s="98"/>
      <c r="C60" s="68" t="s">
        <v>230</v>
      </c>
      <c r="D60" s="365">
        <f>IFERROR(PMT('1. Project Structure'!$F$16/12,'1. Project Structure'!$F$19,-'2. Sources and Uses'!$F$22),0)*D$7</f>
        <v>0.0</v>
      </c>
      <c r="E60" s="364"/>
      <c r="F60" s="365">
        <f>IFERROR(PMT('1. Project Structure'!$F$16/12,'1. Project Structure'!$F$19,-'2. Sources and Uses'!$F$22),0)*F$7</f>
        <v>0.0</v>
      </c>
      <c r="G60" s="364"/>
      <c r="H60" s="365">
        <f>IFERROR(PMT('1. Project Structure'!$F$16/12,'1. Project Structure'!$F$19,-'2. Sources and Uses'!$F$22),0)*H$7</f>
        <v>0.0</v>
      </c>
      <c r="I60" s="364"/>
      <c r="J60" s="365">
        <f>IFERROR(PMT('1. Project Structure'!$F$16/12,'1. Project Structure'!$F$19,-'2. Sources and Uses'!$F$22),0)*J$7</f>
        <v>0.0</v>
      </c>
      <c r="K60" s="38"/>
      <c r="L60" s="5"/>
      <c r="M60" s="302" t="s">
        <f>_xlfn.CONCAT('1. Project Structure'!F$11)</f>
        <v>41</v>
      </c>
      <c r="N60" s="308">
        <f>IFERROR(PMT('1. Project Structure'!F14/12,'1. Project Structure'!F17,-'2. Sources and Uses'!F20),0)*12</f>
        <v>0.0</v>
      </c>
      <c r="O60" s="303">
        <f t="shared" si="122"/>
        <v>0.0</v>
      </c>
      <c r="P60" s="308">
        <f>IFERROR(PMT('1. Project Structure'!F14/12,'1. Project Structure'!F17,-'2. Sources and Uses'!F20),0)*12</f>
        <v>0.0</v>
      </c>
      <c r="Q60" s="303">
        <f t="shared" si="124"/>
        <v>0.0</v>
      </c>
      <c r="R60" s="276"/>
      <c r="S60" s="276"/>
      <c r="T60" s="277"/>
    </row>
    <row r="61" customHeight="1" ht="17.0">
      <c r="A61" s="5"/>
      <c r="B61" s="98"/>
      <c r="C61" s="68" t="s">
        <v>231</v>
      </c>
      <c r="D61" s="365">
        <f>SUM(D$57:D$60)</f>
        <v>0.0</v>
      </c>
      <c r="E61" s="364"/>
      <c r="F61" s="365">
        <f>SUM(F$57:F$60)</f>
        <v>0.0</v>
      </c>
      <c r="G61" s="364"/>
      <c r="H61" s="365">
        <f>SUM(H$57:H$60)</f>
        <v>0.0</v>
      </c>
      <c r="I61" s="364"/>
      <c r="J61" s="365">
        <f>SUM(J$57:J$60)</f>
        <v>0.0</v>
      </c>
      <c r="K61" s="38"/>
      <c r="L61" s="5"/>
      <c r="M61" s="302" t="s">
        <v>231</v>
      </c>
      <c r="N61" s="308">
        <f>SUM(N57:N60)</f>
        <v>0.0</v>
      </c>
      <c r="O61" s="303">
        <f t="shared" si="122"/>
        <v>0.0</v>
      </c>
      <c r="P61" s="308">
        <f>SUM(P56:P60)</f>
        <v>0.0</v>
      </c>
      <c r="Q61" s="303">
        <f t="shared" si="124"/>
        <v>0.0</v>
      </c>
      <c r="R61" s="276"/>
      <c r="S61" s="276"/>
      <c r="T61" s="277"/>
    </row>
    <row r="62" customHeight="1" ht="17.0">
      <c r="A62" s="5"/>
      <c r="B62" s="98"/>
      <c r="C62" s="30"/>
      <c r="D62" s="344"/>
      <c r="E62" s="30"/>
      <c r="F62" s="30"/>
      <c r="G62" s="30"/>
      <c r="H62" s="30"/>
      <c r="I62" s="30"/>
      <c r="J62" s="30"/>
      <c r="K62" s="38"/>
      <c r="L62" s="5"/>
      <c r="M62" s="276"/>
      <c r="N62" s="276"/>
      <c r="O62" s="276"/>
      <c r="P62" s="276"/>
      <c r="Q62" s="276"/>
      <c r="R62" s="276"/>
      <c r="S62" s="276"/>
      <c r="T62" s="277"/>
    </row>
    <row r="63" customHeight="1" ht="17.0">
      <c r="A63" s="5"/>
      <c r="B63" s="98"/>
      <c r="C63" s="310" t="s">
        <v>232</v>
      </c>
      <c r="D63" s="366">
        <f>IFERROR(D$55/D$61,0)</f>
        <v>0.0</v>
      </c>
      <c r="E63" s="30"/>
      <c r="F63" s="366">
        <f>IFERROR(F$55/F$61,0)</f>
        <v>0.0</v>
      </c>
      <c r="G63" s="30"/>
      <c r="H63" s="366">
        <f>IFERROR(H$55/H$61,0)</f>
        <v>0.0</v>
      </c>
      <c r="I63" s="30"/>
      <c r="J63" s="366">
        <f>IFERROR(J$55/J$61,0)</f>
        <v>0.0</v>
      </c>
      <c r="K63" s="38"/>
      <c r="L63" s="5"/>
      <c r="M63" s="314" t="s">
        <v>232</v>
      </c>
      <c r="N63" s="366">
        <f>IFERROR(N55/N61,0)</f>
        <v>0.0</v>
      </c>
      <c r="O63" s="303">
        <f>IF(N$14=0,0,N63/N$14)</f>
        <v>0.0</v>
      </c>
      <c r="P63" s="366">
        <f>IFERROR(P55/P61,0)</f>
        <v>0.0</v>
      </c>
      <c r="Q63" s="303">
        <f>IF(P$14=0,0,P63/P$14)</f>
        <v>0.0</v>
      </c>
      <c r="R63" s="276"/>
      <c r="S63" s="276"/>
      <c r="T63" s="277"/>
    </row>
    <row r="64" customHeight="1" ht="17.0">
      <c r="A64" s="5"/>
      <c r="B64" s="72"/>
      <c r="C64" s="367"/>
      <c r="D64" s="368"/>
      <c r="E64" s="73"/>
      <c r="F64" s="368"/>
      <c r="G64" s="73"/>
      <c r="H64" s="368"/>
      <c r="I64" s="73"/>
      <c r="J64" s="368"/>
      <c r="K64" s="74"/>
      <c r="L64" s="5"/>
      <c r="M64" s="369"/>
      <c r="N64" s="369"/>
      <c r="O64" s="369"/>
      <c r="P64" s="369"/>
      <c r="Q64" s="369"/>
      <c r="R64" s="369"/>
      <c r="S64" s="369"/>
      <c r="T64" s="370"/>
    </row>
    <row r="65" customHeight="1" ht="17.0" customFormat="1" s="5">
      <c r="B65" s="6"/>
      <c r="C65" s="371"/>
      <c r="D65" s="372"/>
      <c r="E65" s="6"/>
      <c r="F65" s="372"/>
      <c r="G65" s="6"/>
      <c r="H65" s="372"/>
      <c r="I65" s="6"/>
      <c r="J65" s="372"/>
      <c r="K65" s="6"/>
    </row>
    <row r="66" customHeight="1" ht="17.0">
      <c r="A66" s="5"/>
      <c r="B66" s="9" t="s">
        <v>24</v>
      </c>
      <c r="C66" s="373"/>
      <c r="D66" s="373"/>
      <c r="E66" s="373"/>
      <c r="F66" s="373"/>
      <c r="G66" s="373"/>
      <c r="H66" s="373"/>
      <c r="I66" s="373"/>
      <c r="J66" s="373"/>
      <c r="K66" s="374"/>
      <c r="L66" s="5"/>
    </row>
    <row r="67" customHeight="1" ht="17.0">
      <c r="A67" s="5"/>
      <c r="B67" s="375" t="s">
        <v>233</v>
      </c>
      <c r="C67" s="376" t="s">
        <v>234</v>
      </c>
      <c r="D67" s="376" t="s">
        <v>235</v>
      </c>
      <c r="E67" s="376" t="s">
        <v>236</v>
      </c>
      <c r="F67" s="377" t="s">
        <v>237</v>
      </c>
      <c r="G67" s="376" t="s">
        <v>238</v>
      </c>
      <c r="H67" s="376" t="s">
        <v>239</v>
      </c>
      <c r="I67" s="376" t="s">
        <v>240</v>
      </c>
      <c r="J67" s="376" t="s">
        <v>241</v>
      </c>
      <c r="K67" s="376" t="s">
        <v>242</v>
      </c>
      <c r="L67" s="5"/>
    </row>
    <row r="68" customHeight="1" ht="17.0">
      <c r="A68" s="5"/>
      <c r="B68" s="378"/>
      <c r="C68" s="379">
        <v>0.0</v>
      </c>
      <c r="D68" s="379">
        <v>0.0</v>
      </c>
      <c r="E68" s="380"/>
      <c r="F68" s="381"/>
      <c r="G68" s="382">
        <f>IFERROR(@Table211[[#This Row],[Current Balance]]/'2. Sources and Uses'!$C$22,0)</f>
        <v>0.0</v>
      </c>
      <c r="H68" s="379">
        <f>IFERROR(IF(@Table211[[#This Row],[Refinance?]]="Yes",PMT('1. Project Structure'!$C$16/12,'1. Project Structure'!$C$19,-(@Table211[[#This Row],[Current Balance]])),0),0)</f>
        <v>0.0</v>
      </c>
      <c r="I68" s="383">
        <f>IFERROR((@Table211[[#This Row],[Mthly Pmt]]-@Table211[[#This Row],[Refi Pmt]])/@Table211[[#This Row],[Mthly Pmt]],0)</f>
        <v>0.0</v>
      </c>
      <c r="J68" s="384">
        <f>IF(@Table211[[#This Row],[Refinance?]]="Yes",0,@Table211[[#This Row],[Mthly Pmt]])</f>
        <v>0.0</v>
      </c>
      <c r="K68" s="385"/>
      <c r="L68" s="5"/>
    </row>
    <row r="69" customHeight="1" ht="17.0">
      <c r="A69" s="5"/>
      <c r="B69" s="386"/>
      <c r="C69" s="353">
        <v>0.0</v>
      </c>
      <c r="D69" s="353">
        <v>0.0</v>
      </c>
      <c r="E69" s="387"/>
      <c r="F69" s="388"/>
      <c r="G69" s="389">
        <f>IFERROR(@Table211[[#This Row],[Current Balance]]/'2. Sources and Uses'!$C$22,0)</f>
        <v>0.0</v>
      </c>
      <c r="H69" s="379">
        <f>IFERROR(IF(@Table211[[#This Row],[Refinance?]]="Yes",PMT('1. Project Structure'!$C$16/12,'1. Project Structure'!$C$19,-(@Table211[[#This Row],[Current Balance]])),0),0)</f>
        <v>0.0</v>
      </c>
      <c r="I69" s="390">
        <f>IFERROR((@Table211[[#This Row],[Mthly Pmt]]-@Table211[[#This Row],[Refi Pmt]])/@Table211[[#This Row],[Mthly Pmt]],0)</f>
        <v>0.0</v>
      </c>
      <c r="J69" s="391">
        <f>IF(@Table211[[#This Row],[Refinance?]]="Yes",0,@Table211[[#This Row],[Mthly Pmt]])</f>
        <v>0.0</v>
      </c>
      <c r="K69" s="392"/>
      <c r="L69" s="5"/>
      <c r="O69" s="6"/>
    </row>
    <row r="70" customHeight="1" ht="17.0">
      <c r="A70" s="5"/>
      <c r="B70" s="378"/>
      <c r="C70" s="379">
        <v>0.0</v>
      </c>
      <c r="D70" s="379">
        <v>0.0</v>
      </c>
      <c r="E70" s="393"/>
      <c r="F70" s="381"/>
      <c r="G70" s="382">
        <f>IFERROR(@Table211[[#This Row],[Current Balance]]/'2. Sources and Uses'!$C$22,0)</f>
        <v>0.0</v>
      </c>
      <c r="H70" s="379">
        <f>IFERROR(IF(@Table211[[#This Row],[Refinance?]]="Yes",PMT('1. Project Structure'!$C$16/12,'1. Project Structure'!$C$19,-(@Table211[[#This Row],[Current Balance]])),0),0)</f>
        <v>0.0</v>
      </c>
      <c r="I70" s="394">
        <f>IFERROR((@Table211[[#This Row],[Mthly Pmt]]-@Table211[[#This Row],[Refi Pmt]])/@Table211[[#This Row],[Mthly Pmt]],0)</f>
        <v>0.0</v>
      </c>
      <c r="J70" s="381">
        <f>IF(@Table211[[#This Row],[Refinance?]]="Yes",0,@Table211[[#This Row],[Mthly Pmt]])</f>
        <v>0.0</v>
      </c>
      <c r="K70" s="392"/>
      <c r="L70" s="5"/>
      <c r="O70" s="6"/>
    </row>
    <row r="71" customHeight="1" ht="17.0">
      <c r="A71" s="5"/>
      <c r="B71" s="386"/>
      <c r="C71" s="353">
        <v>0.0</v>
      </c>
      <c r="D71" s="353">
        <v>0.0</v>
      </c>
      <c r="E71" s="387"/>
      <c r="F71" s="388"/>
      <c r="G71" s="389">
        <f>IFERROR(@Table211[[#This Row],[Current Balance]]/'2. Sources and Uses'!$C$22,0)</f>
        <v>0.0</v>
      </c>
      <c r="H71" s="379">
        <f>IFERROR(IF(@Table211[[#This Row],[Refinance?]]="Yes",PMT('1. Project Structure'!$C$16/12,'1. Project Structure'!$C$19,-(@Table211[[#This Row],[Current Balance]])),0),0)</f>
        <v>0.0</v>
      </c>
      <c r="I71" s="390">
        <f>IFERROR((@Table211[[#This Row],[Mthly Pmt]]-@Table211[[#This Row],[Refi Pmt]])/@Table211[[#This Row],[Mthly Pmt]],0)</f>
        <v>0.0</v>
      </c>
      <c r="J71" s="391">
        <f>IF(@Table211[[#This Row],[Refinance?]]="Yes",0,@Table211[[#This Row],[Mthly Pmt]])</f>
        <v>0.0</v>
      </c>
      <c r="K71" s="392"/>
      <c r="L71" s="5"/>
    </row>
    <row r="72" customHeight="1" ht="17.0">
      <c r="A72" s="5"/>
      <c r="B72" s="378"/>
      <c r="C72" s="379">
        <v>0.0</v>
      </c>
      <c r="D72" s="379">
        <v>0.0</v>
      </c>
      <c r="E72" s="393"/>
      <c r="F72" s="381"/>
      <c r="G72" s="382">
        <f>IFERROR(@Table211[[#This Row],[Current Balance]]/'2. Sources and Uses'!$C$22,0)</f>
        <v>0.0</v>
      </c>
      <c r="H72" s="379">
        <f>IFERROR(IF(@Table211[[#This Row],[Refinance?]]="Yes",PMT('1. Project Structure'!$C$16/12,'1. Project Structure'!$C$19,-(@Table211[[#This Row],[Current Balance]])),0),0)</f>
        <v>0.0</v>
      </c>
      <c r="I72" s="394">
        <f>IFERROR((@Table211[[#This Row],[Mthly Pmt]]-@Table211[[#This Row],[Refi Pmt]])/@Table211[[#This Row],[Mthly Pmt]],0)</f>
        <v>0.0</v>
      </c>
      <c r="J72" s="381">
        <f>IF(@Table211[[#This Row],[Refinance?]]="Yes",0,@Table211[[#This Row],[Mthly Pmt]])</f>
        <v>0.0</v>
      </c>
      <c r="K72" s="392"/>
      <c r="L72" s="5"/>
    </row>
    <row r="73" customHeight="1" ht="17.0">
      <c r="A73" s="5"/>
      <c r="B73" s="386"/>
      <c r="C73" s="353">
        <v>0.0</v>
      </c>
      <c r="D73" s="353">
        <v>0.0</v>
      </c>
      <c r="E73" s="387"/>
      <c r="F73" s="388"/>
      <c r="G73" s="389">
        <f>IFERROR(@Table211[[#This Row],[Current Balance]]/'2. Sources and Uses'!$C$22,0)</f>
        <v>0.0</v>
      </c>
      <c r="H73" s="379">
        <f>IFERROR(IF(@Table211[[#This Row],[Refinance?]]="Yes",PMT('1. Project Structure'!$C$16/12,'1. Project Structure'!$C$19,-(@Table211[[#This Row],[Current Balance]])),0),0)</f>
        <v>0.0</v>
      </c>
      <c r="I73" s="390">
        <f>IFERROR((@Table211[[#This Row],[Mthly Pmt]]-@Table211[[#This Row],[Refi Pmt]])/@Table211[[#This Row],[Mthly Pmt]],0)</f>
        <v>0.0</v>
      </c>
      <c r="J73" s="391">
        <f>IF(@Table211[[#This Row],[Refinance?]]="Yes",0,@Table211[[#This Row],[Mthly Pmt]])</f>
        <v>0.0</v>
      </c>
      <c r="K73" s="392"/>
      <c r="L73" s="5"/>
    </row>
    <row r="74" customHeight="1" ht="17.0">
      <c r="A74" s="5"/>
      <c r="B74" s="378"/>
      <c r="C74" s="379">
        <v>0.0</v>
      </c>
      <c r="D74" s="379">
        <v>0.0</v>
      </c>
      <c r="E74" s="393"/>
      <c r="F74" s="381"/>
      <c r="G74" s="382">
        <f>IFERROR(@Table211[[#This Row],[Current Balance]]/'2. Sources and Uses'!$C$22,0)</f>
        <v>0.0</v>
      </c>
      <c r="H74" s="379">
        <f>IFERROR(IF(@Table211[[#This Row],[Refinance?]]="Yes",PMT('1. Project Structure'!$C$16/12,'1. Project Structure'!$C$19,-(@Table211[[#This Row],[Current Balance]])),0),0)</f>
        <v>0.0</v>
      </c>
      <c r="I74" s="394">
        <f>IFERROR((@Table211[[#This Row],[Mthly Pmt]]-@Table211[[#This Row],[Refi Pmt]])/@Table211[[#This Row],[Mthly Pmt]],0)</f>
        <v>0.0</v>
      </c>
      <c r="J74" s="381">
        <f>IF(@Table211[[#This Row],[Refinance?]]="Yes",0,@Table211[[#This Row],[Mthly Pmt]])</f>
        <v>0.0</v>
      </c>
      <c r="K74" s="392"/>
      <c r="L74" s="5"/>
    </row>
    <row r="75" customHeight="1" ht="17.0">
      <c r="A75" s="5"/>
      <c r="B75" s="386"/>
      <c r="C75" s="353">
        <v>0.0</v>
      </c>
      <c r="D75" s="353">
        <v>0.0</v>
      </c>
      <c r="E75" s="387"/>
      <c r="F75" s="388"/>
      <c r="G75" s="389">
        <f>IFERROR(@Table211[[#This Row],[Current Balance]]/'2. Sources and Uses'!$C$22,0)</f>
        <v>0.0</v>
      </c>
      <c r="H75" s="379">
        <f>IFERROR(IF(@Table211[[#This Row],[Refinance?]]="Yes",PMT('1. Project Structure'!$C$16/12,'1. Project Structure'!$C$19,-(@Table211[[#This Row],[Current Balance]])),0),0)</f>
        <v>0.0</v>
      </c>
      <c r="I75" s="390">
        <f>IFERROR((@Table211[[#This Row],[Mthly Pmt]]-@Table211[[#This Row],[Refi Pmt]])/@Table211[[#This Row],[Mthly Pmt]],0)</f>
        <v>0.0</v>
      </c>
      <c r="J75" s="391">
        <f>IF(@Table211[[#This Row],[Refinance?]]="Yes",0,@Table211[[#This Row],[Mthly Pmt]])</f>
        <v>0.0</v>
      </c>
      <c r="K75" s="392"/>
      <c r="L75" s="5"/>
    </row>
    <row r="76" customHeight="1" ht="17.0">
      <c r="A76" s="5"/>
      <c r="B76" s="378"/>
      <c r="C76" s="379">
        <v>0.0</v>
      </c>
      <c r="D76" s="379">
        <v>0.0</v>
      </c>
      <c r="E76" s="393"/>
      <c r="F76" s="381"/>
      <c r="G76" s="382">
        <f>IFERROR(@Table211[[#This Row],[Current Balance]]/'2. Sources and Uses'!$C$22,0)</f>
        <v>0.0</v>
      </c>
      <c r="H76" s="379">
        <f>IFERROR(IF(@Table211[[#This Row],[Refinance?]]="Yes",PMT('1. Project Structure'!$C$16/12,'1. Project Structure'!$C$19,-(@Table211[[#This Row],[Current Balance]])),0),0)</f>
        <v>0.0</v>
      </c>
      <c r="I76" s="394">
        <f>IFERROR((@Table211[[#This Row],[Mthly Pmt]]-@Table211[[#This Row],[Refi Pmt]])/@Table211[[#This Row],[Mthly Pmt]],0)</f>
        <v>0.0</v>
      </c>
      <c r="J76" s="381">
        <f>IF(@Table211[[#This Row],[Refinance?]]="Yes",0,@Table211[[#This Row],[Mthly Pmt]])</f>
        <v>0.0</v>
      </c>
      <c r="K76" s="392"/>
      <c r="L76" s="5"/>
    </row>
    <row r="77" customHeight="1" ht="17.0">
      <c r="A77" s="5"/>
      <c r="B77" s="395"/>
      <c r="C77" s="396">
        <v>0.0</v>
      </c>
      <c r="D77" s="396">
        <v>0.0</v>
      </c>
      <c r="E77" s="397"/>
      <c r="F77" s="398"/>
      <c r="G77" s="399">
        <f>IFERROR(@Table211[[#This Row],[Current Balance]]/'2. Sources and Uses'!$C$22,0)</f>
        <v>0.0</v>
      </c>
      <c r="H77" s="379">
        <f>IFERROR(IF(@Table211[[#This Row],[Refinance?]]="Yes",PMT('1. Project Structure'!$C$16/12,'1. Project Structure'!$C$19,-(@Table211[[#This Row],[Current Balance]])),0),0)</f>
        <v>0.0</v>
      </c>
      <c r="I77" s="400">
        <f>IFERROR((@Table211[[#This Row],[Mthly Pmt]]-@Table211[[#This Row],[Refi Pmt]])/@Table211[[#This Row],[Mthly Pmt]],0)</f>
        <v>0.0</v>
      </c>
      <c r="J77" s="401">
        <f>IF(@Table211[[#This Row],[Refinance?]]="Yes",0,@Table211[[#This Row],[Mthly Pmt]])</f>
        <v>0.0</v>
      </c>
      <c r="K77" s="402"/>
      <c r="L77" s="5"/>
    </row>
    <row r="78" customHeight="1" ht="17.0">
      <c r="A78" s="5"/>
      <c r="B78" s="403" t="s">
        <v>71</v>
      </c>
      <c r="C78" s="404">
        <f>SUBTOTAL(109,Table211[Current Balance])</f>
        <v>0.0</v>
      </c>
      <c r="D78" s="404"/>
      <c r="E78" s="405"/>
      <c r="F78" s="403"/>
      <c r="G78" s="403"/>
      <c r="H78" s="137">
        <f>SUBTOTAL(109,Table211[Refi Pmt])</f>
        <v>0.0</v>
      </c>
      <c r="I78" s="403"/>
      <c r="J78" s="403">
        <f>SUBTOTAL(109,Table211[CF Debt Svc])</f>
        <v>0.0</v>
      </c>
      <c r="K78" s="392"/>
      <c r="L78" s="5"/>
    </row>
    <row r="79" customHeight="1" ht="17.0">
      <c r="A79" s="5"/>
      <c r="B79" s="406"/>
      <c r="C79" s="173"/>
      <c r="D79" s="173"/>
      <c r="E79" s="173"/>
      <c r="F79" s="173"/>
      <c r="G79" s="173"/>
      <c r="H79" s="173"/>
      <c r="I79" s="173"/>
      <c r="J79" s="173"/>
      <c r="K79" s="407"/>
      <c r="L79" s="5"/>
    </row>
    <row r="80" customHeight="1" ht="17.0">
      <c r="A80" s="5"/>
      <c r="B80" s="128" t="s">
        <v>243</v>
      </c>
      <c r="C80" s="404">
        <f>SUMIF(Table211[Refinance?],"Yes",Table211[Mthly Pmt])</f>
        <v>0.0</v>
      </c>
      <c r="D80" s="128" t="s">
        <v>244</v>
      </c>
      <c r="E80" s="404">
        <f>@Table211[[#Totals],[Refi Pmt]]</f>
        <v>0.0</v>
      </c>
      <c r="F80" s="128" t="s">
        <v>245</v>
      </c>
      <c r="G80" s="408">
        <f>IFERROR(C80-E80/C80,0)</f>
        <v>0.0</v>
      </c>
      <c r="H80" s="409"/>
      <c r="I80" s="410"/>
      <c r="J80" s="411"/>
      <c r="K80" s="403"/>
      <c r="L80" s="5"/>
    </row>
    <row r="81" customHeight="1" ht="17.0">
      <c r="A81" s="5"/>
      <c r="B81" s="412"/>
      <c r="C81" s="413"/>
      <c r="D81" s="413"/>
      <c r="E81" s="413"/>
      <c r="F81" s="413"/>
      <c r="G81" s="413"/>
      <c r="H81" s="413"/>
      <c r="I81" s="413"/>
      <c r="J81" s="413"/>
      <c r="K81" s="414"/>
      <c r="L81" s="5"/>
    </row>
    <row r="82" customHeight="1" ht="17.0">
      <c r="B82" s="5"/>
      <c r="C82" s="5"/>
      <c r="D82" s="5"/>
      <c r="E82" s="5"/>
      <c r="F82" s="5"/>
      <c r="G82" s="5"/>
      <c r="H82" s="5"/>
      <c r="I82" s="5"/>
      <c r="J82" s="5"/>
      <c r="K82" s="5"/>
    </row>
    <row r="83" customHeight="1" ht="17.0"/>
  </sheetData>
  <mergeCells count="4">
    <mergeCell ref="B3:K3"/>
    <mergeCell ref="B4:K4"/>
    <mergeCell ref="B66:K66"/>
    <mergeCell ref="M3:T3"/>
  </mergeCells>
  <conditionalFormatting sqref="G80:G80">
    <cfRule dxfId="4" operator="greaterThanOrEqual" type="cellIs" priority="1">
      <formula>0.1</formula>
    </cfRule>
  </conditionalFormatting>
  <conditionalFormatting sqref="G80:G80">
    <cfRule dxfId="5" operator="lessThan" type="cellIs" priority="2">
      <formula>0.1</formula>
    </cfRule>
  </conditionalFormatting>
  <dataValidations count="10">
    <dataValidation allowBlank="1" showErrorMessage="1" errorTitle="The value you entered is not valid." error="The value entered violates data validation rules set in cell" errorStyle="stop" type="list" sqref="D9:D9 F9:F9 H9:H9 J9:J9">
      <formula1>'Lists'!$E$16:$E$20</formula1>
    </dataValidation>
    <dataValidation allowBlank="1" showErrorMessage="1" errorTitle="The value you entered is not valid." error="The value entered violates data validation rules set in cell" errorStyle="stop" type="list" sqref="C5:C5 F68:F77">
      <formula1>'Lists'!$C$2:$C$4</formula1>
    </dataValidation>
    <dataValidation allowBlank="1" showErrorMessage="1" errorTitle="The value you entered is not valid." error="The value entered violates data validation rules set in cell" errorStyle="stop" type="list" sqref="D8:D8 F8:F8 H8:H8 J8:J8">
      <formula1>'Lists'!$D$16:$D$25</formula1>
    </dataValidation>
  </dataValidations>
  <tableParts count="1">
    <tablePart r:id="rId1"/>
  </tableParts>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T85"/>
  <sheetViews>
    <sheetView workbookViewId="0"/>
  </sheetViews>
  <sheetFormatPr defaultRowHeight="17.0" customHeight="1"/>
  <cols>
    <col min="1" max="1" width="10.59"/>
    <col min="2" max="2" width="37.89"/>
    <col min="3" max="3" width="23.31"/>
    <col min="4" max="4" width="10.59"/>
    <col min="5" max="5" width="20.8"/>
    <col min="6" max="6" width="10.59"/>
    <col min="7" max="7" width="20.8"/>
    <col min="8" max="8" width="11.79"/>
    <col min="9" max="9" width="20.8"/>
    <col min="10" max="11" width="10.59"/>
    <col min="12" max="12" width="10.86"/>
    <col min="13" max="13" style="415" width="11.79" outlineLevel="1"/>
    <col min="14" max="14" width="24.9" outlineLevel="1"/>
    <col min="15" max="15" width="9.8" outlineLevel="1"/>
    <col min="16" max="16" width="24.9" outlineLevel="1"/>
    <col min="17" max="17" width="8.21" outlineLevel="1"/>
    <col min="18" max="18" width="24.9" outlineLevel="1"/>
    <col min="19" max="19" width="8.74" outlineLevel="1"/>
    <col min="20" max="20" width="24.9" outlineLevel="1"/>
    <col min="21" max="21" width="7.28" outlineLevel="1"/>
    <col min="22" max="2048" width="10.86"/>
  </cols>
  <sheetData>
    <row r="1" ht="18.0" customFormat="1" s="6">
      <c r="A1" s="5"/>
      <c r="B1" s="416" t="s">
        <v>246</v>
      </c>
      <c r="C1" s="417"/>
      <c r="D1" s="417"/>
      <c r="E1" s="417"/>
      <c r="F1" s="417"/>
      <c r="G1" s="417"/>
      <c r="H1" s="417"/>
      <c r="I1" s="417"/>
      <c r="J1" s="417"/>
      <c r="K1" s="418"/>
      <c r="L1" s="5"/>
      <c r="M1" s="415"/>
      <c r="X1" s="5"/>
    </row>
    <row r="2" customHeight="1" ht="17.0" customFormat="1" s="6">
      <c r="A2" s="5"/>
      <c r="B2" s="419" t="s">
        <v>247</v>
      </c>
      <c r="C2" s="420"/>
      <c r="D2" s="420"/>
      <c r="E2" s="421"/>
      <c r="F2" s="422"/>
      <c r="G2" s="423"/>
      <c r="H2" s="26"/>
      <c r="I2" s="423"/>
      <c r="J2" s="423"/>
      <c r="K2" s="424"/>
      <c r="L2" s="5"/>
      <c r="M2" s="415"/>
      <c r="X2" s="5"/>
    </row>
    <row r="3" ht="33.0" customFormat="1" s="6">
      <c r="B3" s="425"/>
      <c r="C3" s="423"/>
      <c r="D3" s="423"/>
      <c r="E3" s="423"/>
      <c r="F3" s="423"/>
      <c r="G3" s="423"/>
      <c r="H3" s="423"/>
      <c r="I3" s="423"/>
      <c r="J3" s="423"/>
      <c r="K3" s="424"/>
      <c r="M3" s="4"/>
    </row>
    <row r="4" customHeight="1" ht="17.0" customFormat="1" s="6">
      <c r="B4" s="425"/>
      <c r="C4" s="25"/>
      <c r="D4" s="25"/>
      <c r="E4" s="25"/>
      <c r="F4" s="25"/>
      <c r="G4" s="25"/>
      <c r="H4" s="25"/>
      <c r="I4" s="25"/>
      <c r="J4" s="25"/>
      <c r="K4" s="27"/>
      <c r="M4" s="4"/>
    </row>
    <row r="5" customHeight="1" ht="17.0" customFormat="1" s="6">
      <c r="A5" s="5"/>
      <c r="B5" s="426" t="s">
        <v>248</v>
      </c>
      <c r="C5" s="427"/>
      <c r="D5" s="428" t="s">
        <v>249</v>
      </c>
      <c r="E5" s="428"/>
      <c r="F5" s="428" t="s">
        <v>250</v>
      </c>
      <c r="G5" s="428" t="s">
        <v>251</v>
      </c>
      <c r="H5" s="26"/>
      <c r="I5" s="26"/>
      <c r="J5" s="26"/>
      <c r="K5" s="27"/>
      <c r="L5" s="5"/>
      <c r="M5" s="415"/>
      <c r="X5" s="5"/>
    </row>
    <row r="6" customHeight="1" ht="17.0" customFormat="1" s="6">
      <c r="A6" s="5"/>
      <c r="B6" s="429"/>
      <c r="C6" s="429"/>
      <c r="D6" s="430"/>
      <c r="E6" s="431"/>
      <c r="F6" s="432"/>
      <c r="G6" s="433"/>
      <c r="H6" s="26"/>
      <c r="I6" s="43" t="s">
        <v>252</v>
      </c>
      <c r="J6" s="434"/>
      <c r="K6" s="435"/>
      <c r="L6" s="5"/>
      <c r="M6" s="415"/>
      <c r="X6" s="5"/>
    </row>
    <row r="7" customHeight="1" ht="17.0" customFormat="1" s="6">
      <c r="A7" s="5"/>
      <c r="B7" s="436"/>
      <c r="C7" s="437"/>
      <c r="D7" s="430"/>
      <c r="E7" s="431"/>
      <c r="F7" s="432"/>
      <c r="G7" s="433"/>
      <c r="H7" s="26"/>
      <c r="I7" s="43" t="s">
        <v>253</v>
      </c>
      <c r="J7" s="434"/>
      <c r="K7" s="435"/>
      <c r="L7" s="5"/>
      <c r="M7" s="415"/>
      <c r="X7" s="5"/>
    </row>
    <row r="8" ht="18.0" customFormat="1" s="6">
      <c r="A8" s="5"/>
      <c r="B8" s="429"/>
      <c r="C8" s="429"/>
      <c r="D8" s="430"/>
      <c r="E8" s="431"/>
      <c r="F8" s="432"/>
      <c r="G8" s="433"/>
      <c r="H8" s="26"/>
      <c r="I8" s="43" t="s">
        <v>254</v>
      </c>
      <c r="J8" s="436"/>
      <c r="K8" s="437"/>
      <c r="L8" s="5"/>
      <c r="M8" s="415"/>
      <c r="X8" s="5"/>
    </row>
    <row r="9" customHeight="1" ht="17.0" customFormat="1" s="6">
      <c r="A9" s="5"/>
      <c r="B9" s="436"/>
      <c r="C9" s="437"/>
      <c r="D9" s="430"/>
      <c r="E9" s="431"/>
      <c r="F9" s="432"/>
      <c r="G9" s="433"/>
      <c r="H9" s="26"/>
      <c r="I9" s="43" t="s">
        <v>255</v>
      </c>
      <c r="J9" s="52"/>
      <c r="K9" s="27"/>
      <c r="L9" s="5"/>
      <c r="M9" s="415"/>
      <c r="X9" s="5"/>
    </row>
    <row r="10" ht="33.0" customFormat="1" s="6">
      <c r="A10" s="5"/>
      <c r="B10" s="429"/>
      <c r="C10" s="429"/>
      <c r="D10" s="430"/>
      <c r="E10" s="431"/>
      <c r="F10" s="432"/>
      <c r="G10" s="433"/>
      <c r="H10" s="26"/>
      <c r="I10" s="26"/>
      <c r="J10" s="26"/>
      <c r="K10" s="27"/>
      <c r="L10" s="5"/>
      <c r="M10" s="415"/>
      <c r="X10" s="5"/>
    </row>
    <row r="11" customHeight="1" ht="17.0" customFormat="1" s="6">
      <c r="B11" s="438" t="s">
        <v>256</v>
      </c>
      <c r="C11" s="26"/>
      <c r="D11" s="439"/>
      <c r="E11" s="439"/>
      <c r="F11" s="439"/>
      <c r="G11" s="439"/>
      <c r="H11" s="26"/>
      <c r="I11" s="26"/>
      <c r="J11" s="26"/>
      <c r="K11" s="27"/>
      <c r="L11" s="5"/>
      <c r="M11" s="4"/>
    </row>
    <row r="12" customHeight="1" ht="35.0" customFormat="1" s="6">
      <c r="B12" s="426" t="s">
        <v>257</v>
      </c>
      <c r="C12" s="440" t="s">
        <v>258</v>
      </c>
      <c r="D12" s="440" t="s">
        <v>259</v>
      </c>
      <c r="E12" s="440" t="s">
        <v>260</v>
      </c>
      <c r="F12" s="441" t="s">
        <v>261</v>
      </c>
      <c r="G12" s="440" t="s">
        <v>262</v>
      </c>
      <c r="H12" s="440" t="s">
        <v>263</v>
      </c>
      <c r="I12" s="440" t="s">
        <v>264</v>
      </c>
      <c r="J12" s="440" t="s">
        <v>265</v>
      </c>
      <c r="K12" s="27"/>
      <c r="L12" s="5"/>
      <c r="M12" s="4"/>
    </row>
    <row r="13" customHeight="1" ht="17.0" customFormat="1" s="6">
      <c r="B13" s="429"/>
      <c r="C13" s="432"/>
      <c r="D13" s="52"/>
      <c r="E13" s="432"/>
      <c r="F13" s="433"/>
      <c r="G13" s="433"/>
      <c r="H13" s="433"/>
      <c r="I13" s="433"/>
      <c r="J13" s="433"/>
      <c r="K13" s="27"/>
      <c r="L13" s="5"/>
      <c r="M13" s="4"/>
    </row>
    <row r="14" customHeight="1" ht="17.0" customFormat="1" s="6">
      <c r="B14" s="429"/>
      <c r="C14" s="432"/>
      <c r="D14" s="52"/>
      <c r="E14" s="432"/>
      <c r="F14" s="433"/>
      <c r="G14" s="433"/>
      <c r="H14" s="433"/>
      <c r="I14" s="433"/>
      <c r="J14" s="433"/>
      <c r="K14" s="27"/>
      <c r="L14" s="5"/>
      <c r="M14" s="4"/>
    </row>
    <row r="15" customHeight="1" ht="17.0" customFormat="1" s="6">
      <c r="B15" s="429"/>
      <c r="C15" s="432"/>
      <c r="D15" s="52"/>
      <c r="E15" s="432"/>
      <c r="F15" s="433"/>
      <c r="G15" s="433"/>
      <c r="H15" s="433"/>
      <c r="I15" s="433"/>
      <c r="J15" s="433"/>
      <c r="K15" s="27"/>
      <c r="L15" s="5"/>
      <c r="M15" s="4"/>
    </row>
    <row r="16" customHeight="1" ht="17.0" customFormat="1" s="6">
      <c r="B16" s="429"/>
      <c r="C16" s="432"/>
      <c r="D16" s="52"/>
      <c r="E16" s="432"/>
      <c r="F16" s="433"/>
      <c r="G16" s="433"/>
      <c r="H16" s="433"/>
      <c r="I16" s="433"/>
      <c r="J16" s="433"/>
      <c r="K16" s="27"/>
      <c r="L16" s="5"/>
      <c r="M16" s="4"/>
    </row>
    <row r="17" customHeight="1" ht="17.0" customFormat="1" s="6">
      <c r="B17" s="429"/>
      <c r="C17" s="432"/>
      <c r="D17" s="52"/>
      <c r="E17" s="432"/>
      <c r="F17" s="433"/>
      <c r="G17" s="433"/>
      <c r="H17" s="433"/>
      <c r="I17" s="433"/>
      <c r="J17" s="433"/>
      <c r="K17" s="27"/>
      <c r="L17" s="5"/>
      <c r="M17" s="4"/>
    </row>
    <row r="18" customHeight="1" ht="17.0" customFormat="1" s="6">
      <c r="B18" s="429"/>
      <c r="C18" s="432"/>
      <c r="D18" s="52"/>
      <c r="E18" s="432"/>
      <c r="F18" s="433"/>
      <c r="G18" s="433"/>
      <c r="H18" s="433"/>
      <c r="I18" s="433"/>
      <c r="J18" s="433"/>
      <c r="K18" s="27"/>
      <c r="L18" s="5"/>
      <c r="M18" s="4"/>
    </row>
    <row r="19" customHeight="1" ht="17.0" customFormat="1" s="6">
      <c r="B19" s="96"/>
      <c r="C19" s="26"/>
      <c r="D19" s="26"/>
      <c r="E19" s="26"/>
      <c r="F19" s="26"/>
      <c r="G19" s="26"/>
      <c r="H19" s="26"/>
      <c r="I19" s="26"/>
      <c r="J19" s="26"/>
      <c r="K19" s="27"/>
      <c r="L19" s="5"/>
      <c r="M19" s="4"/>
    </row>
    <row r="20" customHeight="1" ht="17.0" customFormat="1" s="6">
      <c r="A20" s="5"/>
      <c r="B20" s="426" t="s">
        <v>266</v>
      </c>
      <c r="C20" s="436"/>
      <c r="D20" s="442"/>
      <c r="E20" s="437"/>
      <c r="F20" s="436"/>
      <c r="G20" s="442"/>
      <c r="H20" s="442"/>
      <c r="I20" s="437"/>
      <c r="J20" s="439"/>
      <c r="K20" s="27"/>
      <c r="L20" s="5"/>
      <c r="M20" s="415"/>
      <c r="X20" s="5"/>
    </row>
    <row r="21" customHeight="1" ht="17.0" customFormat="1" s="6">
      <c r="A21" s="5"/>
      <c r="B21" s="443"/>
      <c r="C21" s="444" t="s">
        <v>267</v>
      </c>
      <c r="D21" s="444"/>
      <c r="E21" s="444"/>
      <c r="F21" s="445" t="s">
        <v>268</v>
      </c>
      <c r="G21" s="445"/>
      <c r="H21" s="445"/>
      <c r="I21" s="445"/>
      <c r="J21" s="445"/>
      <c r="K21" s="92"/>
      <c r="L21" s="5"/>
      <c r="M21" s="415"/>
      <c r="X21" s="5"/>
    </row>
    <row r="22" customHeight="1" ht="17.0">
      <c r="B22" s="5"/>
      <c r="C22" s="5"/>
      <c r="D22" s="5"/>
      <c r="E22" s="5"/>
      <c r="F22" s="5"/>
      <c r="G22" s="5"/>
      <c r="H22" s="5"/>
      <c r="I22" s="5"/>
      <c r="J22" s="5"/>
      <c r="K22" s="5"/>
      <c r="N22" s="5"/>
      <c r="O22" s="5"/>
      <c r="P22" s="5"/>
      <c r="Q22" s="5"/>
      <c r="R22" s="5"/>
      <c r="S22" s="5"/>
      <c r="T22" s="5"/>
      <c r="U22" s="5"/>
      <c r="V22" s="6"/>
    </row>
    <row r="23" ht="18.0">
      <c r="A23" s="5"/>
      <c r="B23" s="267" t="s">
        <v>269</v>
      </c>
      <c r="C23" s="268"/>
      <c r="D23" s="268"/>
      <c r="E23" s="268"/>
      <c r="F23" s="268"/>
      <c r="G23" s="268"/>
      <c r="H23" s="268"/>
      <c r="I23" s="268"/>
      <c r="J23" s="268"/>
      <c r="K23" s="269"/>
      <c r="L23" s="5"/>
      <c r="M23" s="446" t="s">
        <v>270</v>
      </c>
      <c r="N23" s="447"/>
      <c r="O23" s="447"/>
      <c r="P23" s="447"/>
      <c r="Q23" s="447"/>
      <c r="R23" s="447"/>
      <c r="S23" s="447"/>
      <c r="T23" s="447"/>
      <c r="U23" s="448"/>
      <c r="V23" s="5"/>
    </row>
    <row r="24" customHeight="1" ht="17.0">
      <c r="A24" s="5"/>
      <c r="B24" s="45"/>
      <c r="C24" s="30"/>
      <c r="D24" s="30"/>
      <c r="E24" s="30"/>
      <c r="F24" s="30"/>
      <c r="G24" s="30"/>
      <c r="H24" s="30"/>
      <c r="I24" s="30"/>
      <c r="J24" s="30"/>
      <c r="K24" s="38"/>
      <c r="L24" s="5"/>
      <c r="M24" s="449"/>
      <c r="N24" s="30"/>
      <c r="O24" s="30"/>
      <c r="P24" s="30"/>
      <c r="Q24" s="30"/>
      <c r="R24" s="30"/>
      <c r="S24" s="30"/>
      <c r="T24" s="30"/>
      <c r="U24" s="38"/>
      <c r="V24" s="5"/>
    </row>
    <row r="25" customHeight="1" ht="17.0">
      <c r="A25" s="5"/>
      <c r="B25" s="45" t="s">
        <v>271</v>
      </c>
      <c r="C25" s="386"/>
      <c r="D25" s="30"/>
      <c r="E25" s="386"/>
      <c r="F25" s="30"/>
      <c r="G25" s="386"/>
      <c r="H25" s="30"/>
      <c r="I25" s="386"/>
      <c r="J25" s="30"/>
      <c r="K25" s="38"/>
      <c r="L25" s="5"/>
      <c r="M25" s="449"/>
      <c r="N25" s="386"/>
      <c r="O25" s="30"/>
      <c r="P25" s="386"/>
      <c r="Q25" s="30"/>
      <c r="R25" s="386"/>
      <c r="S25" s="30"/>
      <c r="T25" s="386"/>
      <c r="U25" s="38"/>
      <c r="V25" s="5"/>
    </row>
    <row r="26" customHeight="1" ht="17.0">
      <c r="A26" s="5"/>
      <c r="B26" s="45"/>
      <c r="C26" s="30"/>
      <c r="D26" s="30"/>
      <c r="E26" s="30"/>
      <c r="F26" s="30"/>
      <c r="G26" s="30"/>
      <c r="H26" s="30"/>
      <c r="I26" s="30"/>
      <c r="J26" s="30"/>
      <c r="K26" s="38"/>
      <c r="L26" s="5"/>
      <c r="M26" s="449"/>
      <c r="N26" s="30"/>
      <c r="O26" s="30"/>
      <c r="P26" s="30"/>
      <c r="Q26" s="30"/>
      <c r="R26" s="30"/>
      <c r="S26" s="30"/>
      <c r="T26" s="30"/>
      <c r="U26" s="38"/>
      <c r="V26" s="5"/>
    </row>
    <row r="27" customHeight="1" ht="17.0">
      <c r="A27" s="5"/>
      <c r="B27" s="45" t="s">
        <v>272</v>
      </c>
      <c r="C27" s="396">
        <v>0.0</v>
      </c>
      <c r="D27" s="30"/>
      <c r="E27" s="396">
        <v>0.0</v>
      </c>
      <c r="F27" s="30"/>
      <c r="G27" s="396">
        <v>0.0</v>
      </c>
      <c r="H27" s="30"/>
      <c r="I27" s="396">
        <v>0.0</v>
      </c>
      <c r="J27" s="30"/>
      <c r="K27" s="38"/>
      <c r="L27" s="5"/>
      <c r="M27" s="449"/>
      <c r="N27" s="396">
        <v>0.0</v>
      </c>
      <c r="O27" s="30"/>
      <c r="P27" s="396">
        <v>0.0</v>
      </c>
      <c r="Q27" s="30"/>
      <c r="R27" s="396">
        <v>0.0</v>
      </c>
      <c r="S27" s="30"/>
      <c r="T27" s="396">
        <v>0.0</v>
      </c>
      <c r="U27" s="38"/>
      <c r="V27" s="5"/>
    </row>
    <row r="28" customHeight="1" ht="17.0">
      <c r="A28" s="5"/>
      <c r="B28" s="278" t="s">
        <v>176</v>
      </c>
      <c r="C28" s="279"/>
      <c r="D28" s="30"/>
      <c r="E28" s="279"/>
      <c r="F28" s="30"/>
      <c r="G28" s="279"/>
      <c r="H28" s="30"/>
      <c r="I28" s="279"/>
      <c r="J28" s="30"/>
      <c r="K28" s="38"/>
      <c r="L28" s="5"/>
      <c r="M28" s="449"/>
      <c r="N28" s="279"/>
      <c r="O28" s="30"/>
      <c r="P28" s="279"/>
      <c r="Q28" s="30"/>
      <c r="R28" s="279"/>
      <c r="S28" s="30"/>
      <c r="T28" s="279"/>
      <c r="U28" s="38"/>
      <c r="V28" s="5"/>
    </row>
    <row r="29" customHeight="1" ht="17.0">
      <c r="A29" s="5"/>
      <c r="B29" s="278" t="s">
        <v>273</v>
      </c>
      <c r="C29" s="30"/>
      <c r="D29" s="30"/>
      <c r="E29" s="30"/>
      <c r="F29" s="30"/>
      <c r="G29" s="30"/>
      <c r="H29" s="30"/>
      <c r="I29" s="30"/>
      <c r="J29" s="30"/>
      <c r="K29" s="38"/>
      <c r="L29" s="5"/>
      <c r="M29" s="449"/>
      <c r="N29" s="30"/>
      <c r="O29" s="30"/>
      <c r="P29" s="30"/>
      <c r="Q29" s="30"/>
      <c r="R29" s="30"/>
      <c r="S29" s="30"/>
      <c r="T29" s="30"/>
      <c r="U29" s="38"/>
      <c r="V29" s="5"/>
    </row>
    <row r="30" customHeight="1" ht="17.0">
      <c r="A30" s="5"/>
      <c r="B30" s="450" t="s">
        <v>274</v>
      </c>
      <c r="C30" s="301">
        <v>0.0</v>
      </c>
      <c r="D30" s="30"/>
      <c r="E30" s="301">
        <v>0.0</v>
      </c>
      <c r="F30" s="30"/>
      <c r="G30" s="301">
        <v>0.0</v>
      </c>
      <c r="H30" s="30"/>
      <c r="I30" s="301">
        <v>0.0</v>
      </c>
      <c r="J30" s="30"/>
      <c r="K30" s="38"/>
      <c r="L30" s="5"/>
      <c r="M30" s="449"/>
      <c r="N30" s="301">
        <v>0.0</v>
      </c>
      <c r="O30" s="30"/>
      <c r="P30" s="301">
        <v>0.0</v>
      </c>
      <c r="Q30" s="30"/>
      <c r="R30" s="301">
        <v>0.0</v>
      </c>
      <c r="S30" s="30"/>
      <c r="T30" s="301">
        <v>0.0</v>
      </c>
      <c r="U30" s="38"/>
      <c r="V30" s="5"/>
    </row>
    <row r="31" customHeight="1" ht="17.0">
      <c r="A31" s="5"/>
      <c r="B31" s="450" t="s">
        <v>275</v>
      </c>
      <c r="C31" s="326">
        <v>0.0</v>
      </c>
      <c r="D31" s="30"/>
      <c r="E31" s="326">
        <v>0.0</v>
      </c>
      <c r="F31" s="30"/>
      <c r="G31" s="326">
        <v>0.0</v>
      </c>
      <c r="H31" s="30"/>
      <c r="I31" s="326">
        <v>0.0</v>
      </c>
      <c r="J31" s="30"/>
      <c r="K31" s="38"/>
      <c r="L31" s="5"/>
      <c r="M31" s="449"/>
      <c r="N31" s="326">
        <v>0.0</v>
      </c>
      <c r="O31" s="30"/>
      <c r="P31" s="326">
        <v>0.0</v>
      </c>
      <c r="Q31" s="30"/>
      <c r="R31" s="326">
        <v>0.0</v>
      </c>
      <c r="S31" s="30"/>
      <c r="T31" s="326">
        <v>0.0</v>
      </c>
      <c r="U31" s="38"/>
      <c r="V31" s="5"/>
    </row>
    <row r="32" customHeight="1" ht="17.0">
      <c r="A32" s="5"/>
      <c r="B32" s="450" t="s">
        <v>276</v>
      </c>
      <c r="C32" s="326">
        <v>0.0</v>
      </c>
      <c r="D32" s="30"/>
      <c r="E32" s="326">
        <v>0.0</v>
      </c>
      <c r="F32" s="30"/>
      <c r="G32" s="326">
        <v>0.0</v>
      </c>
      <c r="H32" s="30"/>
      <c r="I32" s="326">
        <v>0.0</v>
      </c>
      <c r="J32" s="30"/>
      <c r="K32" s="38"/>
      <c r="L32" s="5"/>
      <c r="M32" s="449"/>
      <c r="N32" s="326">
        <v>0.0</v>
      </c>
      <c r="O32" s="30"/>
      <c r="P32" s="326">
        <v>0.0</v>
      </c>
      <c r="Q32" s="30"/>
      <c r="R32" s="326">
        <v>0.0</v>
      </c>
      <c r="S32" s="30"/>
      <c r="T32" s="326">
        <v>0.0</v>
      </c>
      <c r="U32" s="38"/>
      <c r="V32" s="5"/>
    </row>
    <row r="33" customHeight="1" ht="17.0">
      <c r="A33" s="5"/>
      <c r="B33" s="450" t="s">
        <v>277</v>
      </c>
      <c r="C33" s="326">
        <v>0.0</v>
      </c>
      <c r="D33" s="30"/>
      <c r="E33" s="326">
        <v>0.0</v>
      </c>
      <c r="F33" s="30"/>
      <c r="G33" s="326">
        <v>0.0</v>
      </c>
      <c r="H33" s="30"/>
      <c r="I33" s="326">
        <v>0.0</v>
      </c>
      <c r="J33" s="30"/>
      <c r="K33" s="38"/>
      <c r="L33" s="5"/>
      <c r="M33" s="449"/>
      <c r="N33" s="326">
        <v>0.0</v>
      </c>
      <c r="O33" s="30"/>
      <c r="P33" s="326">
        <v>0.0</v>
      </c>
      <c r="Q33" s="30"/>
      <c r="R33" s="326">
        <v>0.0</v>
      </c>
      <c r="S33" s="30"/>
      <c r="T33" s="326">
        <v>0.0</v>
      </c>
      <c r="U33" s="38"/>
      <c r="V33" s="5"/>
    </row>
    <row r="34" customHeight="1" ht="17.0">
      <c r="A34" s="5"/>
      <c r="B34" s="450" t="s">
        <v>278</v>
      </c>
      <c r="C34" s="326">
        <v>0.0</v>
      </c>
      <c r="D34" s="30"/>
      <c r="E34" s="326">
        <v>0.0</v>
      </c>
      <c r="F34" s="30"/>
      <c r="G34" s="326">
        <v>0.0</v>
      </c>
      <c r="H34" s="30"/>
      <c r="I34" s="326">
        <v>0.0</v>
      </c>
      <c r="J34" s="30"/>
      <c r="K34" s="38"/>
      <c r="L34" s="5"/>
      <c r="M34" s="449"/>
      <c r="N34" s="326">
        <v>0.0</v>
      </c>
      <c r="O34" s="30"/>
      <c r="P34" s="326">
        <v>0.0</v>
      </c>
      <c r="Q34" s="30"/>
      <c r="R34" s="326">
        <v>0.0</v>
      </c>
      <c r="S34" s="30"/>
      <c r="T34" s="326">
        <v>0.0</v>
      </c>
      <c r="U34" s="38"/>
      <c r="V34" s="5"/>
    </row>
    <row r="35" customHeight="1" ht="17.0">
      <c r="A35" s="5"/>
      <c r="B35" s="450" t="s">
        <v>279</v>
      </c>
      <c r="C35" s="326">
        <v>0.0</v>
      </c>
      <c r="D35" s="30"/>
      <c r="E35" s="326">
        <v>0.0</v>
      </c>
      <c r="F35" s="30"/>
      <c r="G35" s="326">
        <v>0.0</v>
      </c>
      <c r="H35" s="30"/>
      <c r="I35" s="326">
        <v>0.0</v>
      </c>
      <c r="J35" s="30"/>
      <c r="K35" s="38"/>
      <c r="L35" s="5"/>
      <c r="M35" s="449"/>
      <c r="N35" s="326">
        <v>0.0</v>
      </c>
      <c r="O35" s="30"/>
      <c r="P35" s="326">
        <v>0.0</v>
      </c>
      <c r="Q35" s="30"/>
      <c r="R35" s="326">
        <v>0.0</v>
      </c>
      <c r="S35" s="30"/>
      <c r="T35" s="326">
        <v>0.0</v>
      </c>
      <c r="U35" s="38"/>
      <c r="V35" s="5"/>
    </row>
    <row r="36" customHeight="1" ht="17.0">
      <c r="A36" s="5"/>
      <c r="B36" s="450" t="s">
        <v>280</v>
      </c>
      <c r="C36" s="451">
        <v>0.0</v>
      </c>
      <c r="D36" s="30"/>
      <c r="E36" s="451">
        <v>0.0</v>
      </c>
      <c r="F36" s="30"/>
      <c r="G36" s="451">
        <v>0.0</v>
      </c>
      <c r="H36" s="30"/>
      <c r="I36" s="451">
        <v>0.0</v>
      </c>
      <c r="J36" s="30"/>
      <c r="K36" s="38"/>
      <c r="L36" s="5"/>
      <c r="M36" s="449"/>
      <c r="N36" s="451">
        <v>0.0</v>
      </c>
      <c r="O36" s="30"/>
      <c r="P36" s="451">
        <v>0.0</v>
      </c>
      <c r="Q36" s="30"/>
      <c r="R36" s="451">
        <v>0.0</v>
      </c>
      <c r="S36" s="30"/>
      <c r="T36" s="451">
        <v>0.0</v>
      </c>
      <c r="U36" s="38"/>
      <c r="V36" s="5"/>
    </row>
    <row r="37" customHeight="1" ht="17.0">
      <c r="A37" s="5"/>
      <c r="B37" s="278" t="s">
        <v>281</v>
      </c>
      <c r="C37" s="452">
        <f>SUM(C30:C36)</f>
        <v>0.0</v>
      </c>
      <c r="D37" s="30"/>
      <c r="E37" s="452">
        <f>SUM(E30:E36)</f>
        <v>0.0</v>
      </c>
      <c r="F37" s="30"/>
      <c r="G37" s="452">
        <f>SUM(G30:G36)</f>
        <v>0.0</v>
      </c>
      <c r="H37" s="30"/>
      <c r="I37" s="452">
        <f>SUM(I30:I36)</f>
        <v>0.0</v>
      </c>
      <c r="J37" s="30"/>
      <c r="K37" s="38"/>
      <c r="L37" s="5"/>
      <c r="M37" s="449"/>
      <c r="N37" s="452">
        <f>SUM(N30:N36)</f>
        <v>0.0</v>
      </c>
      <c r="O37" s="30"/>
      <c r="P37" s="452">
        <f>SUM(P30:P36)</f>
        <v>0.0</v>
      </c>
      <c r="Q37" s="30"/>
      <c r="R37" s="452">
        <f>SUM(R30:R36)</f>
        <v>0.0</v>
      </c>
      <c r="S37" s="30"/>
      <c r="T37" s="452">
        <f>SUM(T30:T36)</f>
        <v>0.0</v>
      </c>
      <c r="U37" s="38"/>
      <c r="V37" s="5"/>
    </row>
    <row r="38" customHeight="1" ht="17.0">
      <c r="A38" s="5"/>
      <c r="B38" s="45"/>
      <c r="C38" s="30"/>
      <c r="D38" s="30"/>
      <c r="E38" s="30"/>
      <c r="F38" s="30"/>
      <c r="G38" s="30"/>
      <c r="H38" s="30"/>
      <c r="I38" s="30"/>
      <c r="J38" s="30"/>
      <c r="K38" s="38"/>
      <c r="L38" s="5"/>
      <c r="M38" s="449"/>
      <c r="N38" s="30"/>
      <c r="O38" s="30"/>
      <c r="P38" s="30"/>
      <c r="Q38" s="30"/>
      <c r="R38" s="30"/>
      <c r="S38" s="30"/>
      <c r="T38" s="30"/>
      <c r="U38" s="38"/>
      <c r="V38" s="5"/>
    </row>
    <row r="39" customHeight="1" ht="17.0">
      <c r="A39" s="5"/>
      <c r="B39" s="278" t="s">
        <v>282</v>
      </c>
      <c r="C39" s="294"/>
      <c r="D39" s="30"/>
      <c r="E39" s="294"/>
      <c r="F39" s="30"/>
      <c r="G39" s="294"/>
      <c r="H39" s="30"/>
      <c r="I39" s="294"/>
      <c r="J39" s="30"/>
      <c r="K39" s="38"/>
      <c r="L39" s="5"/>
      <c r="M39" s="449"/>
      <c r="N39" s="294"/>
      <c r="O39" s="30"/>
      <c r="P39" s="294"/>
      <c r="Q39" s="30"/>
      <c r="R39" s="294"/>
      <c r="S39" s="30"/>
      <c r="T39" s="294"/>
      <c r="U39" s="38"/>
      <c r="V39" s="5"/>
    </row>
    <row r="40" customHeight="1" ht="17.0">
      <c r="A40" s="5"/>
      <c r="B40" s="450" t="s">
        <v>283</v>
      </c>
      <c r="C40" s="301">
        <v>0.0</v>
      </c>
      <c r="D40" s="30"/>
      <c r="E40" s="301">
        <v>0.0</v>
      </c>
      <c r="F40" s="30"/>
      <c r="G40" s="301">
        <v>0.0</v>
      </c>
      <c r="H40" s="30"/>
      <c r="I40" s="301">
        <v>0.0</v>
      </c>
      <c r="J40" s="30"/>
      <c r="K40" s="38"/>
      <c r="L40" s="5"/>
      <c r="M40" s="449"/>
      <c r="N40" s="301">
        <v>0.0</v>
      </c>
      <c r="O40" s="30"/>
      <c r="P40" s="301">
        <v>0.0</v>
      </c>
      <c r="Q40" s="30"/>
      <c r="R40" s="301">
        <v>0.0</v>
      </c>
      <c r="S40" s="30"/>
      <c r="T40" s="301">
        <v>0.0</v>
      </c>
      <c r="U40" s="38"/>
      <c r="V40" s="5"/>
    </row>
    <row r="41" customHeight="1" ht="17.0">
      <c r="A41" s="5"/>
      <c r="B41" s="450" t="s">
        <v>284</v>
      </c>
      <c r="C41" s="326">
        <v>0.0</v>
      </c>
      <c r="D41" s="30"/>
      <c r="E41" s="326">
        <v>0.0</v>
      </c>
      <c r="F41" s="30"/>
      <c r="G41" s="326">
        <v>0.0</v>
      </c>
      <c r="H41" s="30"/>
      <c r="I41" s="326">
        <v>0.0</v>
      </c>
      <c r="J41" s="30"/>
      <c r="K41" s="38"/>
      <c r="L41" s="5"/>
      <c r="M41" s="449"/>
      <c r="N41" s="326">
        <v>0.0</v>
      </c>
      <c r="O41" s="30"/>
      <c r="P41" s="326">
        <v>0.0</v>
      </c>
      <c r="Q41" s="30"/>
      <c r="R41" s="326">
        <v>0.0</v>
      </c>
      <c r="S41" s="30"/>
      <c r="T41" s="326">
        <v>0.0</v>
      </c>
      <c r="U41" s="38"/>
      <c r="V41" s="5"/>
    </row>
    <row r="42" customHeight="1" ht="17.0">
      <c r="A42" s="5"/>
      <c r="B42" s="450" t="s">
        <v>285</v>
      </c>
      <c r="C42" s="326">
        <v>0.0</v>
      </c>
      <c r="D42" s="30"/>
      <c r="E42" s="326">
        <v>0.0</v>
      </c>
      <c r="F42" s="30"/>
      <c r="G42" s="326">
        <v>0.0</v>
      </c>
      <c r="H42" s="30"/>
      <c r="I42" s="326">
        <v>0.0</v>
      </c>
      <c r="J42" s="30"/>
      <c r="K42" s="38"/>
      <c r="L42" s="5"/>
      <c r="M42" s="449"/>
      <c r="N42" s="326">
        <v>0.0</v>
      </c>
      <c r="O42" s="30"/>
      <c r="P42" s="326">
        <v>0.0</v>
      </c>
      <c r="Q42" s="30"/>
      <c r="R42" s="326">
        <v>0.0</v>
      </c>
      <c r="S42" s="30"/>
      <c r="T42" s="326">
        <v>0.0</v>
      </c>
      <c r="U42" s="38"/>
      <c r="V42" s="5"/>
    </row>
    <row r="43" customHeight="1" ht="17.0">
      <c r="A43" s="5"/>
      <c r="B43" s="450" t="s">
        <v>286</v>
      </c>
      <c r="C43" s="326">
        <v>0.0</v>
      </c>
      <c r="D43" s="30"/>
      <c r="E43" s="326">
        <v>0.0</v>
      </c>
      <c r="F43" s="30"/>
      <c r="G43" s="326">
        <v>0.0</v>
      </c>
      <c r="H43" s="30"/>
      <c r="I43" s="326">
        <v>0.0</v>
      </c>
      <c r="J43" s="30"/>
      <c r="K43" s="38"/>
      <c r="L43" s="5"/>
      <c r="M43" s="449"/>
      <c r="N43" s="326">
        <v>0.0</v>
      </c>
      <c r="O43" s="30"/>
      <c r="P43" s="326">
        <v>0.0</v>
      </c>
      <c r="Q43" s="30"/>
      <c r="R43" s="326">
        <v>0.0</v>
      </c>
      <c r="S43" s="30"/>
      <c r="T43" s="326">
        <v>0.0</v>
      </c>
      <c r="U43" s="38"/>
      <c r="V43" s="5"/>
    </row>
    <row r="44" customHeight="1" ht="17.0">
      <c r="A44" s="5"/>
      <c r="B44" s="450" t="s">
        <v>287</v>
      </c>
      <c r="C44" s="326">
        <v>0.0</v>
      </c>
      <c r="D44" s="30"/>
      <c r="E44" s="326">
        <v>0.0</v>
      </c>
      <c r="F44" s="30"/>
      <c r="G44" s="326">
        <v>0.0</v>
      </c>
      <c r="H44" s="30"/>
      <c r="I44" s="326">
        <v>0.0</v>
      </c>
      <c r="J44" s="30"/>
      <c r="K44" s="38"/>
      <c r="L44" s="5"/>
      <c r="M44" s="449"/>
      <c r="N44" s="326">
        <v>0.0</v>
      </c>
      <c r="O44" s="30"/>
      <c r="P44" s="326">
        <v>0.0</v>
      </c>
      <c r="Q44" s="30"/>
      <c r="R44" s="326">
        <v>0.0</v>
      </c>
      <c r="S44" s="30"/>
      <c r="T44" s="326">
        <v>0.0</v>
      </c>
      <c r="U44" s="38"/>
      <c r="V44" s="5"/>
    </row>
    <row r="45" customHeight="1" ht="17.0">
      <c r="A45" s="5"/>
      <c r="B45" s="450" t="s">
        <v>288</v>
      </c>
      <c r="C45" s="451">
        <v>0.0</v>
      </c>
      <c r="D45" s="30"/>
      <c r="E45" s="451">
        <v>0.0</v>
      </c>
      <c r="F45" s="30"/>
      <c r="G45" s="451">
        <v>0.0</v>
      </c>
      <c r="H45" s="30"/>
      <c r="I45" s="451">
        <v>0.0</v>
      </c>
      <c r="J45" s="30"/>
      <c r="K45" s="38"/>
      <c r="L45" s="5"/>
      <c r="M45" s="449"/>
      <c r="N45" s="451">
        <v>0.0</v>
      </c>
      <c r="O45" s="30"/>
      <c r="P45" s="451">
        <v>0.0</v>
      </c>
      <c r="Q45" s="30"/>
      <c r="R45" s="451">
        <v>0.0</v>
      </c>
      <c r="S45" s="30"/>
      <c r="T45" s="451">
        <v>0.0</v>
      </c>
      <c r="U45" s="38"/>
      <c r="V45" s="5"/>
    </row>
    <row r="46" customHeight="1" ht="17.0">
      <c r="A46" s="5"/>
      <c r="B46" s="278" t="s">
        <v>289</v>
      </c>
      <c r="C46" s="453">
        <f>SUM(C40:C45)</f>
        <v>0.0</v>
      </c>
      <c r="D46" s="30"/>
      <c r="E46" s="453">
        <f>SUM(E40:E45)</f>
        <v>0.0</v>
      </c>
      <c r="F46" s="30"/>
      <c r="G46" s="453">
        <f>SUM(G40:G45)</f>
        <v>0.0</v>
      </c>
      <c r="H46" s="30"/>
      <c r="I46" s="453">
        <f>SUM(I40:I45)</f>
        <v>0.0</v>
      </c>
      <c r="J46" s="30"/>
      <c r="K46" s="38"/>
      <c r="L46" s="5"/>
      <c r="M46" s="449"/>
      <c r="N46" s="453">
        <f>SUM(N40:N45)</f>
        <v>0.0</v>
      </c>
      <c r="O46" s="30"/>
      <c r="P46" s="453">
        <f>SUM(P40:P45)</f>
        <v>0.0</v>
      </c>
      <c r="Q46" s="30"/>
      <c r="R46" s="453">
        <f>SUM(R40:R45)</f>
        <v>0.0</v>
      </c>
      <c r="S46" s="30"/>
      <c r="T46" s="453">
        <f>SUM(T40:T45)</f>
        <v>0.0</v>
      </c>
      <c r="U46" s="38"/>
      <c r="V46" s="5"/>
    </row>
    <row r="47" customHeight="1" ht="17.0">
      <c r="A47" s="5"/>
      <c r="B47" s="45"/>
      <c r="C47" s="30"/>
      <c r="D47" s="30"/>
      <c r="E47" s="30"/>
      <c r="F47" s="30"/>
      <c r="G47" s="30"/>
      <c r="H47" s="30"/>
      <c r="I47" s="30"/>
      <c r="J47" s="30"/>
      <c r="K47" s="38"/>
      <c r="L47" s="5"/>
      <c r="M47" s="449"/>
      <c r="N47" s="30"/>
      <c r="O47" s="30"/>
      <c r="P47" s="30"/>
      <c r="Q47" s="30"/>
      <c r="R47" s="30"/>
      <c r="S47" s="30"/>
      <c r="T47" s="30"/>
      <c r="U47" s="38"/>
      <c r="V47" s="5"/>
    </row>
    <row r="48" customHeight="1" ht="17.0">
      <c r="A48" s="5"/>
      <c r="B48" s="278" t="s">
        <v>290</v>
      </c>
      <c r="C48" s="308">
        <f>C46*12</f>
        <v>0.0</v>
      </c>
      <c r="D48" s="30"/>
      <c r="E48" s="308">
        <f>E46*12</f>
        <v>0.0</v>
      </c>
      <c r="F48" s="30"/>
      <c r="G48" s="308">
        <f>G46*12</f>
        <v>0.0</v>
      </c>
      <c r="H48" s="30"/>
      <c r="I48" s="308">
        <f>I46*12</f>
        <v>0.0</v>
      </c>
      <c r="J48" s="30"/>
      <c r="K48" s="38"/>
      <c r="L48" s="5"/>
      <c r="M48" s="449"/>
      <c r="N48" s="308">
        <f>N46*12</f>
        <v>0.0</v>
      </c>
      <c r="O48" s="30"/>
      <c r="P48" s="308">
        <f>P46*12</f>
        <v>0.0</v>
      </c>
      <c r="Q48" s="30"/>
      <c r="R48" s="308">
        <f>R46*12</f>
        <v>0.0</v>
      </c>
      <c r="S48" s="30"/>
      <c r="T48" s="308">
        <f>T46*12</f>
        <v>0.0</v>
      </c>
      <c r="U48" s="38"/>
      <c r="V48" s="5"/>
    </row>
    <row r="49" customHeight="1" ht="17.0">
      <c r="A49" s="5"/>
      <c r="B49" s="278" t="s">
        <v>291</v>
      </c>
      <c r="C49" s="454">
        <f>IF(C37=0,0,C48/C37)</f>
        <v>0.0</v>
      </c>
      <c r="D49" s="30"/>
      <c r="E49" s="454">
        <f>IF(E37=0,0,E48/E37)</f>
        <v>0.0</v>
      </c>
      <c r="F49" s="30"/>
      <c r="G49" s="454">
        <f>IF(G37=0,0,G48/G37)</f>
        <v>0.0</v>
      </c>
      <c r="H49" s="30"/>
      <c r="I49" s="454">
        <f>IF(I37=0,0,I48/I37)</f>
        <v>0.0</v>
      </c>
      <c r="J49" s="30"/>
      <c r="K49" s="38"/>
      <c r="L49" s="5"/>
      <c r="M49" s="449"/>
      <c r="N49" s="454">
        <f>IF(N37=0,0,N48/N37)</f>
        <v>0.0</v>
      </c>
      <c r="O49" s="30"/>
      <c r="P49" s="454">
        <f>IF(P37=0,0,P48/P37)</f>
        <v>0.0</v>
      </c>
      <c r="Q49" s="30"/>
      <c r="R49" s="454">
        <f>IF(R37=0,0,R48/R37)</f>
        <v>0.0</v>
      </c>
      <c r="S49" s="30"/>
      <c r="T49" s="454">
        <f>IF(T37=0,0,T48/T37)</f>
        <v>0.0</v>
      </c>
      <c r="U49" s="38"/>
      <c r="V49" s="5"/>
    </row>
    <row r="50" customHeight="1" ht="17.0">
      <c r="A50" s="5"/>
      <c r="B50" s="278" t="s">
        <v>292</v>
      </c>
      <c r="C50" s="308">
        <f>(C46*12/50)*100</f>
        <v>0.0</v>
      </c>
      <c r="D50" s="30"/>
      <c r="E50" s="308">
        <f>(E46*12/50)*100</f>
        <v>0.0</v>
      </c>
      <c r="F50" s="30"/>
      <c r="G50" s="308">
        <f>(G46*12/50)*100</f>
        <v>0.0</v>
      </c>
      <c r="H50" s="30"/>
      <c r="I50" s="308">
        <f>(I46*12/50)*100</f>
        <v>0.0</v>
      </c>
      <c r="J50" s="30"/>
      <c r="K50" s="38"/>
      <c r="L50" s="5"/>
      <c r="M50" s="449"/>
      <c r="N50" s="308">
        <f>(N46*12/50)*100</f>
        <v>0.0</v>
      </c>
      <c r="O50" s="30"/>
      <c r="P50" s="308">
        <f>(P46*12/50)*100</f>
        <v>0.0</v>
      </c>
      <c r="Q50" s="30"/>
      <c r="R50" s="308">
        <f>(R46*12/50)*100</f>
        <v>0.0</v>
      </c>
      <c r="S50" s="30"/>
      <c r="T50" s="308">
        <f>(T46*12/50)*100</f>
        <v>0.0</v>
      </c>
      <c r="U50" s="38"/>
      <c r="V50" s="5"/>
    </row>
    <row r="51" customHeight="1" ht="17.0">
      <c r="A51" s="5"/>
      <c r="B51" s="45"/>
      <c r="C51" s="30"/>
      <c r="D51" s="30"/>
      <c r="E51" s="30"/>
      <c r="F51" s="30"/>
      <c r="G51" s="30"/>
      <c r="H51" s="30"/>
      <c r="I51" s="30"/>
      <c r="J51" s="30"/>
      <c r="K51" s="38"/>
      <c r="L51" s="5"/>
      <c r="M51" s="449"/>
      <c r="N51" s="30"/>
      <c r="O51" s="30"/>
      <c r="P51" s="30"/>
      <c r="Q51" s="30"/>
      <c r="R51" s="30"/>
      <c r="S51" s="30"/>
      <c r="T51" s="30"/>
      <c r="U51" s="38"/>
      <c r="V51" s="5"/>
    </row>
    <row r="52" ht="18.0">
      <c r="A52" s="5"/>
      <c r="B52" s="278" t="s">
        <v>293</v>
      </c>
      <c r="C52" s="30"/>
      <c r="D52" s="30"/>
      <c r="E52" s="30"/>
      <c r="F52" s="30"/>
      <c r="G52" s="30"/>
      <c r="H52" s="30"/>
      <c r="I52" s="30"/>
      <c r="J52" s="30"/>
      <c r="K52" s="38"/>
      <c r="L52" s="5"/>
      <c r="M52" s="449"/>
      <c r="N52" s="30"/>
      <c r="O52" s="30"/>
      <c r="P52" s="30"/>
      <c r="Q52" s="30"/>
      <c r="R52" s="30"/>
      <c r="S52" s="30"/>
      <c r="T52" s="30"/>
      <c r="U52" s="38"/>
      <c r="V52" s="5"/>
    </row>
    <row r="53" customHeight="1" ht="17.0">
      <c r="A53" s="5"/>
      <c r="B53" s="45" t="s">
        <v>294</v>
      </c>
      <c r="C53" s="455">
        <f>C61</f>
        <v>0.0</v>
      </c>
      <c r="D53" s="30"/>
      <c r="E53" s="455">
        <f>E61</f>
        <v>0.0</v>
      </c>
      <c r="F53" s="30"/>
      <c r="G53" s="455">
        <f>G61</f>
        <v>0.0</v>
      </c>
      <c r="H53" s="30"/>
      <c r="I53" s="455">
        <f>I61</f>
        <v>0.0</v>
      </c>
      <c r="J53" s="30"/>
      <c r="K53" s="38"/>
      <c r="L53" s="5"/>
      <c r="M53" s="449"/>
      <c r="N53" s="455">
        <f>N61</f>
        <v>0.0</v>
      </c>
      <c r="O53" s="30"/>
      <c r="P53" s="455">
        <f>P61</f>
        <v>0.0</v>
      </c>
      <c r="Q53" s="30"/>
      <c r="R53" s="455">
        <f>R61</f>
        <v>0.0</v>
      </c>
      <c r="S53" s="30"/>
      <c r="T53" s="455">
        <f>T61</f>
        <v>0.0</v>
      </c>
      <c r="U53" s="38"/>
      <c r="V53" s="5"/>
    </row>
    <row r="54" customHeight="1" ht="17.0">
      <c r="A54" s="5"/>
      <c r="B54" s="45" t="s">
        <v>295</v>
      </c>
      <c r="C54" s="456">
        <v>0.0</v>
      </c>
      <c r="D54" s="30"/>
      <c r="E54" s="456">
        <v>0.0</v>
      </c>
      <c r="F54" s="30"/>
      <c r="G54" s="456">
        <v>0.0</v>
      </c>
      <c r="H54" s="30"/>
      <c r="I54" s="456">
        <v>0.0</v>
      </c>
      <c r="J54" s="30"/>
      <c r="K54" s="38"/>
      <c r="L54" s="5"/>
      <c r="M54" s="449"/>
      <c r="N54" s="456">
        <v>0.0</v>
      </c>
      <c r="O54" s="30"/>
      <c r="P54" s="456">
        <v>0.0</v>
      </c>
      <c r="Q54" s="30"/>
      <c r="R54" s="456">
        <v>0.0</v>
      </c>
      <c r="S54" s="30"/>
      <c r="T54" s="456">
        <v>0.0</v>
      </c>
      <c r="U54" s="38"/>
      <c r="V54" s="5"/>
    </row>
    <row r="55" customHeight="1" ht="17.0">
      <c r="A55" s="5"/>
      <c r="B55" s="45" t="s">
        <v>296</v>
      </c>
      <c r="C55" s="326">
        <v>0.0</v>
      </c>
      <c r="D55" s="30"/>
      <c r="E55" s="326">
        <v>0.0</v>
      </c>
      <c r="F55" s="30"/>
      <c r="G55" s="326">
        <v>0.0</v>
      </c>
      <c r="H55" s="30"/>
      <c r="I55" s="326">
        <v>0.0</v>
      </c>
      <c r="J55" s="30"/>
      <c r="K55" s="38"/>
      <c r="L55" s="5"/>
      <c r="M55" s="449"/>
      <c r="N55" s="326">
        <v>0.0</v>
      </c>
      <c r="O55" s="30"/>
      <c r="P55" s="326">
        <v>0.0</v>
      </c>
      <c r="Q55" s="30"/>
      <c r="R55" s="326">
        <v>0.0</v>
      </c>
      <c r="S55" s="30"/>
      <c r="T55" s="326">
        <v>0.0</v>
      </c>
      <c r="U55" s="38"/>
      <c r="V55" s="5"/>
    </row>
    <row r="56" customHeight="1" ht="17.0">
      <c r="A56" s="5"/>
      <c r="B56" s="45" t="s">
        <v>208</v>
      </c>
      <c r="C56" s="451">
        <v>0.0</v>
      </c>
      <c r="D56" s="30"/>
      <c r="E56" s="451">
        <v>0.0</v>
      </c>
      <c r="F56" s="30"/>
      <c r="G56" s="451">
        <v>0.0</v>
      </c>
      <c r="H56" s="30"/>
      <c r="I56" s="451">
        <v>0.0</v>
      </c>
      <c r="J56" s="30"/>
      <c r="K56" s="38"/>
      <c r="L56" s="5"/>
      <c r="M56" s="449"/>
      <c r="N56" s="451">
        <v>0.0</v>
      </c>
      <c r="O56" s="30"/>
      <c r="P56" s="451">
        <v>0.0</v>
      </c>
      <c r="Q56" s="30"/>
      <c r="R56" s="451">
        <v>0.0</v>
      </c>
      <c r="S56" s="30"/>
      <c r="T56" s="451">
        <v>0.0</v>
      </c>
      <c r="U56" s="38"/>
      <c r="V56" s="5"/>
    </row>
    <row r="57" customHeight="1" ht="17.0">
      <c r="A57" s="5"/>
      <c r="B57" s="45"/>
      <c r="C57" s="453">
        <f>SUM(C53:C56)</f>
        <v>0.0</v>
      </c>
      <c r="D57" s="30"/>
      <c r="E57" s="453">
        <f>SUM(E53:E56)</f>
        <v>0.0</v>
      </c>
      <c r="F57" s="30"/>
      <c r="G57" s="453">
        <f>SUM(G53:G56)</f>
        <v>0.0</v>
      </c>
      <c r="H57" s="30"/>
      <c r="I57" s="453">
        <f>SUM(I53:I56)</f>
        <v>0.0</v>
      </c>
      <c r="J57" s="30"/>
      <c r="K57" s="38"/>
      <c r="L57" s="5"/>
      <c r="M57" s="449"/>
      <c r="N57" s="453">
        <f>SUM(N53:N56)</f>
        <v>0.0</v>
      </c>
      <c r="O57" s="30"/>
      <c r="P57" s="453">
        <f>SUM(P53:P56)</f>
        <v>0.0</v>
      </c>
      <c r="Q57" s="30"/>
      <c r="R57" s="453">
        <f>SUM(R53:R56)</f>
        <v>0.0</v>
      </c>
      <c r="S57" s="30"/>
      <c r="T57" s="453">
        <f>SUM(T53:T56)</f>
        <v>0.0</v>
      </c>
      <c r="U57" s="38"/>
      <c r="V57" s="5"/>
    </row>
    <row r="58" customHeight="1" ht="17.0">
      <c r="A58" s="5"/>
      <c r="B58" s="45"/>
      <c r="C58" s="457"/>
      <c r="D58" s="30"/>
      <c r="E58" s="457"/>
      <c r="F58" s="30"/>
      <c r="G58" s="457"/>
      <c r="H58" s="30"/>
      <c r="I58" s="457"/>
      <c r="J58" s="30"/>
      <c r="K58" s="38"/>
      <c r="L58" s="5"/>
      <c r="M58" s="449"/>
      <c r="N58" s="457"/>
      <c r="O58" s="30"/>
      <c r="P58" s="457"/>
      <c r="Q58" s="30"/>
      <c r="R58" s="457"/>
      <c r="S58" s="30"/>
      <c r="T58" s="457"/>
      <c r="U58" s="38"/>
      <c r="V58" s="5"/>
    </row>
    <row r="59" customHeight="1" ht="17.0">
      <c r="A59" s="5"/>
      <c r="B59" s="278" t="s">
        <v>297</v>
      </c>
      <c r="C59" s="353">
        <v>0.0</v>
      </c>
      <c r="D59" s="30"/>
      <c r="E59" s="353">
        <v>0.0</v>
      </c>
      <c r="F59" s="30"/>
      <c r="G59" s="353">
        <v>0.0</v>
      </c>
      <c r="H59" s="30"/>
      <c r="I59" s="353">
        <v>0.0</v>
      </c>
      <c r="J59" s="30"/>
      <c r="K59" s="38"/>
      <c r="L59" s="5"/>
      <c r="M59" s="449"/>
      <c r="N59" s="353">
        <v>0.0</v>
      </c>
      <c r="O59" s="30"/>
      <c r="P59" s="353">
        <v>0.0</v>
      </c>
      <c r="Q59" s="30"/>
      <c r="R59" s="353">
        <v>0.0</v>
      </c>
      <c r="S59" s="30"/>
      <c r="T59" s="353">
        <v>0.0</v>
      </c>
      <c r="U59" s="38"/>
      <c r="V59" s="5"/>
    </row>
    <row r="60" customHeight="1" ht="17.0">
      <c r="A60" s="5"/>
      <c r="B60" s="278" t="s">
        <v>298</v>
      </c>
      <c r="C60" s="308">
        <f>C59-C50</f>
        <v>0.0</v>
      </c>
      <c r="D60" s="30"/>
      <c r="E60" s="308">
        <f>E59-E50</f>
        <v>0.0</v>
      </c>
      <c r="F60" s="30"/>
      <c r="G60" s="308">
        <f>G59-G50</f>
        <v>0.0</v>
      </c>
      <c r="H60" s="30"/>
      <c r="I60" s="308">
        <f>I59-I50</f>
        <v>0.0</v>
      </c>
      <c r="J60" s="30"/>
      <c r="K60" s="38"/>
      <c r="L60" s="5"/>
      <c r="M60" s="449"/>
      <c r="N60" s="308">
        <f>N59-N50</f>
        <v>0.0</v>
      </c>
      <c r="O60" s="30"/>
      <c r="P60" s="308">
        <f>P59-P50</f>
        <v>0.0</v>
      </c>
      <c r="Q60" s="30"/>
      <c r="R60" s="308">
        <f>R59-R50</f>
        <v>0.0</v>
      </c>
      <c r="S60" s="30"/>
      <c r="T60" s="308">
        <f>T59-T50</f>
        <v>0.0</v>
      </c>
      <c r="U60" s="38"/>
      <c r="V60" s="5"/>
    </row>
    <row r="61" customHeight="1" ht="17.0">
      <c r="A61" s="5"/>
      <c r="B61" s="278" t="s">
        <v>299</v>
      </c>
      <c r="C61" s="308">
        <f>IF(C50&gt;C59,0,C60/12)</f>
        <v>0.0</v>
      </c>
      <c r="D61" s="30"/>
      <c r="E61" s="308">
        <f>IF(E50&gt;E59,0,E60/12)</f>
        <v>0.0</v>
      </c>
      <c r="F61" s="30"/>
      <c r="G61" s="308">
        <f>IF(G50&gt;G59,0,G60/12)</f>
        <v>0.0</v>
      </c>
      <c r="H61" s="30"/>
      <c r="I61" s="308">
        <f>IF(I50&gt;I59,0,I60/12)</f>
        <v>0.0</v>
      </c>
      <c r="J61" s="30"/>
      <c r="K61" s="38"/>
      <c r="L61" s="5"/>
      <c r="M61" s="449"/>
      <c r="N61" s="308">
        <f>IF(N50&gt;N59,0,N60/12)</f>
        <v>0.0</v>
      </c>
      <c r="O61" s="30"/>
      <c r="P61" s="308">
        <f>IF(P50&gt;P59,0,P60/12)</f>
        <v>0.0</v>
      </c>
      <c r="Q61" s="30"/>
      <c r="R61" s="308">
        <f>IF(R50&gt;R59,0,R60/12)</f>
        <v>0.0</v>
      </c>
      <c r="S61" s="30"/>
      <c r="T61" s="308">
        <f>IF(T50&gt;T59,0,T60/12)</f>
        <v>0.0</v>
      </c>
      <c r="U61" s="38"/>
      <c r="V61" s="5"/>
    </row>
    <row r="62" customHeight="1" ht="17.0">
      <c r="A62" s="5"/>
      <c r="B62" s="458"/>
      <c r="C62" s="459"/>
      <c r="D62" s="30"/>
      <c r="E62" s="459"/>
      <c r="F62" s="30"/>
      <c r="G62" s="459"/>
      <c r="H62" s="30"/>
      <c r="I62" s="459"/>
      <c r="J62" s="30"/>
      <c r="K62" s="38"/>
      <c r="L62" s="5"/>
      <c r="M62" s="449"/>
      <c r="N62" s="459"/>
      <c r="O62" s="30"/>
      <c r="P62" s="459"/>
      <c r="Q62" s="30"/>
      <c r="R62" s="459"/>
      <c r="S62" s="30"/>
      <c r="T62" s="459"/>
      <c r="U62" s="38"/>
      <c r="V62" s="5"/>
    </row>
    <row r="63" customHeight="1" ht="17.0">
      <c r="A63" s="5"/>
      <c r="B63" s="460"/>
      <c r="C63" s="461"/>
      <c r="D63" s="30"/>
      <c r="E63" s="461"/>
      <c r="F63" s="30"/>
      <c r="G63" s="461"/>
      <c r="H63" s="30"/>
      <c r="I63" s="461"/>
      <c r="J63" s="30"/>
      <c r="K63" s="38"/>
      <c r="L63" s="5"/>
      <c r="M63" s="449"/>
      <c r="N63" s="461"/>
      <c r="O63" s="30"/>
      <c r="P63" s="461"/>
      <c r="Q63" s="30"/>
      <c r="R63" s="461"/>
      <c r="S63" s="30"/>
      <c r="T63" s="461"/>
      <c r="U63" s="38"/>
      <c r="V63" s="5"/>
    </row>
    <row r="64" customHeight="1" ht="17.0">
      <c r="A64" s="5"/>
      <c r="B64" s="278" t="s">
        <v>300</v>
      </c>
      <c r="C64" s="462">
        <f>C50+C57*12</f>
        <v>0.0</v>
      </c>
      <c r="D64" s="30"/>
      <c r="E64" s="462">
        <f>E50+E57*12</f>
        <v>0.0</v>
      </c>
      <c r="F64" s="30"/>
      <c r="G64" s="462">
        <f>G50+G57*12</f>
        <v>0.0</v>
      </c>
      <c r="H64" s="30"/>
      <c r="I64" s="462">
        <f>I50+I57*12</f>
        <v>0.0</v>
      </c>
      <c r="J64" s="30"/>
      <c r="K64" s="38"/>
      <c r="L64" s="5"/>
      <c r="M64" s="449"/>
      <c r="N64" s="462">
        <f>N50+N57*12</f>
        <v>0.0</v>
      </c>
      <c r="O64" s="30"/>
      <c r="P64" s="462">
        <f>P50+P57*12</f>
        <v>0.0</v>
      </c>
      <c r="Q64" s="30"/>
      <c r="R64" s="462">
        <f>R50+R57*12</f>
        <v>0.0</v>
      </c>
      <c r="S64" s="30"/>
      <c r="T64" s="462">
        <f>T50+T57*12</f>
        <v>0.0</v>
      </c>
      <c r="U64" s="38"/>
      <c r="V64" s="5"/>
    </row>
    <row r="65" customHeight="1" ht="17.0">
      <c r="A65" s="5"/>
      <c r="B65" s="463" t="s">
        <v>301</v>
      </c>
      <c r="C65" s="462">
        <f>C37</f>
        <v>0.0</v>
      </c>
      <c r="D65" s="30"/>
      <c r="E65" s="462">
        <f>E37</f>
        <v>0.0</v>
      </c>
      <c r="F65" s="30"/>
      <c r="G65" s="462">
        <f>G37</f>
        <v>0.0</v>
      </c>
      <c r="H65" s="30"/>
      <c r="I65" s="462">
        <f>I37</f>
        <v>0.0</v>
      </c>
      <c r="J65" s="30"/>
      <c r="K65" s="38"/>
      <c r="L65" s="5"/>
      <c r="M65" s="449"/>
      <c r="N65" s="462">
        <f>N37</f>
        <v>0.0</v>
      </c>
      <c r="O65" s="30"/>
      <c r="P65" s="462">
        <f>P37</f>
        <v>0.0</v>
      </c>
      <c r="Q65" s="30"/>
      <c r="R65" s="462">
        <f>R37</f>
        <v>0.0</v>
      </c>
      <c r="S65" s="30"/>
      <c r="T65" s="462">
        <f>T37</f>
        <v>0.0</v>
      </c>
      <c r="U65" s="38"/>
      <c r="V65" s="5"/>
    </row>
    <row r="66" customHeight="1" ht="17.0">
      <c r="A66" s="5"/>
      <c r="B66" s="458"/>
      <c r="C66" s="461"/>
      <c r="D66" s="30"/>
      <c r="E66" s="461"/>
      <c r="F66" s="30"/>
      <c r="G66" s="461"/>
      <c r="H66" s="30"/>
      <c r="I66" s="461"/>
      <c r="J66" s="30"/>
      <c r="K66" s="38"/>
      <c r="L66" s="5"/>
      <c r="M66" s="449"/>
      <c r="N66" s="461"/>
      <c r="O66" s="30"/>
      <c r="P66" s="461"/>
      <c r="Q66" s="30"/>
      <c r="R66" s="461"/>
      <c r="S66" s="30"/>
      <c r="T66" s="461"/>
      <c r="U66" s="38"/>
      <c r="V66" s="5"/>
    </row>
    <row r="67" customHeight="1" ht="17.0">
      <c r="A67" s="5"/>
      <c r="B67" s="278" t="s">
        <v>302</v>
      </c>
      <c r="C67" s="464">
        <f>IF(C68="Yes",IF(C64-C65&lt;24000,24000,C64-C65),0)</f>
        <v>0.0</v>
      </c>
      <c r="D67" s="30"/>
      <c r="E67" s="464">
        <f>IF(E68="Yes",IF(E64-E65&lt;24000,24000,E64-E65),0)</f>
        <v>0.0</v>
      </c>
      <c r="F67" s="30"/>
      <c r="G67" s="464">
        <f>IF(G68="Yes",IF(G64-G65&lt;24000,24000,G64-G65),0)</f>
        <v>0.0</v>
      </c>
      <c r="H67" s="30"/>
      <c r="I67" s="464">
        <f>IF(I68="Yes",IF(I64-I65&lt;24000,24000,I64-I65),0)</f>
        <v>0.0</v>
      </c>
      <c r="J67" s="30"/>
      <c r="K67" s="38"/>
      <c r="L67" s="5"/>
      <c r="M67" s="449"/>
      <c r="N67" s="464">
        <f>IF(N68="Yes",IF(N64-N65&lt;24000,24000,N64-N65),0)</f>
        <v>0.0</v>
      </c>
      <c r="O67" s="30"/>
      <c r="P67" s="464">
        <f>IF(P68="Yes",IF(P64-P65&lt;24000,24000,P64-P65),0)</f>
        <v>0.0</v>
      </c>
      <c r="Q67" s="30"/>
      <c r="R67" s="464">
        <f>IF(R68="Yes",IF(R64-R65&lt;24000,24000,R64-R65),0)</f>
        <v>0.0</v>
      </c>
      <c r="S67" s="30"/>
      <c r="T67" s="464">
        <f>IF(T68="Yes",IF(T64-T65&lt;24000,24000,T64-T65),0)</f>
        <v>0.0</v>
      </c>
      <c r="U67" s="38"/>
      <c r="V67" s="5"/>
    </row>
    <row r="68" customHeight="1" ht="17.0">
      <c r="A68" s="5"/>
      <c r="B68" s="465" t="s">
        <v>303</v>
      </c>
      <c r="C68" s="466"/>
      <c r="D68" s="30"/>
      <c r="E68" s="466"/>
      <c r="F68" s="30"/>
      <c r="G68" s="466"/>
      <c r="H68" s="30"/>
      <c r="I68" s="466"/>
      <c r="J68" s="30"/>
      <c r="K68" s="38"/>
      <c r="L68" s="5"/>
      <c r="M68" s="449"/>
      <c r="N68" s="466"/>
      <c r="O68" s="30"/>
      <c r="P68" s="466"/>
      <c r="Q68" s="30"/>
      <c r="R68" s="466"/>
      <c r="S68" s="30"/>
      <c r="T68" s="466"/>
      <c r="U68" s="38"/>
      <c r="V68" s="5"/>
    </row>
    <row r="69" customHeight="1" ht="17.0">
      <c r="A69" s="5"/>
      <c r="B69" s="72"/>
      <c r="C69" s="73"/>
      <c r="D69" s="73"/>
      <c r="E69" s="73"/>
      <c r="F69" s="73"/>
      <c r="G69" s="73"/>
      <c r="H69" s="73"/>
      <c r="I69" s="73"/>
      <c r="J69" s="73"/>
      <c r="K69" s="74"/>
      <c r="L69" s="5"/>
      <c r="M69" s="72"/>
      <c r="N69" s="73"/>
      <c r="O69" s="73"/>
      <c r="P69" s="73"/>
      <c r="Q69" s="73"/>
      <c r="R69" s="73"/>
      <c r="S69" s="73"/>
      <c r="T69" s="73"/>
      <c r="U69" s="74"/>
      <c r="V69" s="5"/>
    </row>
    <row r="70" customHeight="1" ht="17.0">
      <c r="B70" s="5"/>
      <c r="C70" s="5"/>
      <c r="D70" s="5"/>
      <c r="E70" s="5"/>
      <c r="F70" s="5"/>
      <c r="G70" s="5"/>
      <c r="H70" s="5"/>
      <c r="I70" s="5"/>
      <c r="J70" s="5"/>
      <c r="K70" s="5"/>
      <c r="N70" s="5"/>
      <c r="O70" s="5"/>
      <c r="P70" s="5"/>
      <c r="Q70" s="5"/>
      <c r="R70" s="5"/>
      <c r="S70" s="5"/>
      <c r="T70" s="5"/>
      <c r="U70" s="5"/>
      <c r="V70" s="5"/>
    </row>
    <row r="71" customHeight="1" ht="17.0">
      <c r="A71" s="5"/>
      <c r="B71" s="267" t="s">
        <v>32</v>
      </c>
      <c r="C71" s="268"/>
      <c r="D71" s="268"/>
      <c r="E71" s="268"/>
      <c r="F71" s="268"/>
      <c r="G71" s="268"/>
      <c r="H71" s="268"/>
      <c r="I71" s="268"/>
      <c r="J71" s="268"/>
      <c r="K71" s="269"/>
      <c r="L71" s="5"/>
    </row>
    <row r="72" customHeight="1" ht="17.0">
      <c r="A72" s="5"/>
      <c r="B72" s="98"/>
      <c r="C72" s="30"/>
      <c r="D72" s="30"/>
      <c r="E72" s="30"/>
      <c r="F72" s="30"/>
      <c r="G72" s="30"/>
      <c r="H72" s="30"/>
      <c r="I72" s="30"/>
      <c r="J72" s="30"/>
      <c r="K72" s="38"/>
      <c r="L72" s="5"/>
    </row>
    <row r="73" customHeight="1" ht="17.0">
      <c r="A73" s="5"/>
      <c r="B73" s="98"/>
      <c r="C73" s="284" t="s">
        <v>304</v>
      </c>
      <c r="D73" s="284" t="s">
        <v>305</v>
      </c>
      <c r="E73" s="30"/>
      <c r="F73" s="30"/>
      <c r="G73" s="284" t="s">
        <v>304</v>
      </c>
      <c r="H73" s="284" t="s">
        <v>305</v>
      </c>
      <c r="I73" s="30"/>
      <c r="J73" s="30"/>
      <c r="K73" s="38"/>
      <c r="L73" s="5"/>
    </row>
    <row r="74" customHeight="1" ht="17.0">
      <c r="A74" s="5"/>
      <c r="B74" s="45" t="s">
        <v>306</v>
      </c>
      <c r="C74" s="467">
        <v>0.0</v>
      </c>
      <c r="D74" s="468"/>
      <c r="E74" s="30"/>
      <c r="F74" s="68" t="s">
        <v>307</v>
      </c>
      <c r="G74" s="467">
        <v>0.0</v>
      </c>
      <c r="H74" s="468"/>
      <c r="I74" s="30"/>
      <c r="J74" s="30"/>
      <c r="K74" s="38"/>
      <c r="L74" s="5"/>
    </row>
    <row r="75" customHeight="1" ht="17.0">
      <c r="A75" s="5"/>
      <c r="B75" s="45" t="s">
        <v>308</v>
      </c>
      <c r="C75" s="469">
        <f>C$27</f>
        <v>0.0</v>
      </c>
      <c r="D75" s="468"/>
      <c r="E75" s="30"/>
      <c r="F75" s="68" t="s">
        <v>309</v>
      </c>
      <c r="G75" s="467">
        <v>0.0</v>
      </c>
      <c r="H75" s="468"/>
      <c r="I75" s="30"/>
      <c r="J75" s="30"/>
      <c r="K75" s="38"/>
      <c r="L75" s="5"/>
    </row>
    <row r="76" customHeight="1" ht="17.0">
      <c r="A76" s="5"/>
      <c r="B76" s="45" t="s">
        <v>310</v>
      </c>
      <c r="C76" s="469">
        <f>E$27</f>
        <v>0.0</v>
      </c>
      <c r="D76" s="468"/>
      <c r="E76" s="30"/>
      <c r="F76" s="68" t="s">
        <v>311</v>
      </c>
      <c r="G76" s="467">
        <v>0.0</v>
      </c>
      <c r="H76" s="468"/>
      <c r="I76" s="30"/>
      <c r="J76" s="30"/>
      <c r="K76" s="38"/>
      <c r="L76" s="5"/>
    </row>
    <row r="77" customHeight="1" ht="17.0">
      <c r="A77" s="5"/>
      <c r="B77" s="45" t="s">
        <v>312</v>
      </c>
      <c r="C77" s="469">
        <f>G$27</f>
        <v>0.0</v>
      </c>
      <c r="D77" s="468"/>
      <c r="E77" s="30"/>
      <c r="F77" s="68" t="s">
        <v>313</v>
      </c>
      <c r="G77" s="467">
        <v>0.0</v>
      </c>
      <c r="H77" s="468"/>
      <c r="I77" s="30"/>
      <c r="J77" s="30"/>
      <c r="K77" s="38"/>
      <c r="L77" s="5"/>
    </row>
    <row r="78" customHeight="1" ht="17.0">
      <c r="A78" s="5"/>
      <c r="B78" s="45" t="s">
        <v>314</v>
      </c>
      <c r="C78" s="469">
        <f>I$27</f>
        <v>0.0</v>
      </c>
      <c r="D78" s="468"/>
      <c r="E78" s="30"/>
      <c r="F78" s="68" t="s">
        <v>315</v>
      </c>
      <c r="G78" s="467">
        <v>0.0</v>
      </c>
      <c r="H78" s="468"/>
      <c r="I78" s="30"/>
      <c r="J78" s="30"/>
      <c r="K78" s="38"/>
      <c r="L78" s="5"/>
    </row>
    <row r="79" customHeight="1" ht="17.0" outlineLevel="1">
      <c r="A79" s="5"/>
      <c r="B79" s="98"/>
      <c r="C79" s="30"/>
      <c r="D79" s="30"/>
      <c r="E79" s="30"/>
      <c r="F79" s="30"/>
      <c r="G79" s="30"/>
      <c r="H79" s="30"/>
      <c r="I79" s="30"/>
      <c r="J79" s="30"/>
      <c r="K79" s="38"/>
      <c r="L79" s="5"/>
    </row>
    <row r="80" customHeight="1" ht="17.0" outlineLevel="1" customFormat="1" s="6">
      <c r="A80" s="5"/>
      <c r="B80" s="45" t="s">
        <v>316</v>
      </c>
      <c r="C80" s="469">
        <f>C$27</f>
        <v>0.0</v>
      </c>
      <c r="D80" s="468"/>
      <c r="E80" s="30"/>
      <c r="F80" s="30"/>
      <c r="G80" s="30"/>
      <c r="H80" s="30"/>
      <c r="I80" s="30"/>
      <c r="J80" s="30"/>
      <c r="K80" s="38"/>
      <c r="L80" s="5"/>
      <c r="M80" s="415"/>
    </row>
    <row r="81" customHeight="1" ht="17.0" outlineLevel="1" customFormat="1" s="6">
      <c r="A81" s="5"/>
      <c r="B81" s="45" t="s">
        <v>317</v>
      </c>
      <c r="C81" s="469">
        <f>E$27</f>
        <v>0.0</v>
      </c>
      <c r="D81" s="468"/>
      <c r="E81" s="30"/>
      <c r="F81" s="30"/>
      <c r="G81" s="30"/>
      <c r="H81" s="30"/>
      <c r="I81" s="30"/>
      <c r="J81" s="30"/>
      <c r="K81" s="38"/>
      <c r="L81" s="5"/>
      <c r="M81" s="415"/>
    </row>
    <row r="82" customHeight="1" ht="17.0" outlineLevel="1" customFormat="1" s="6">
      <c r="A82" s="5"/>
      <c r="B82" s="45" t="s">
        <v>318</v>
      </c>
      <c r="C82" s="469">
        <f>G$27</f>
        <v>0.0</v>
      </c>
      <c r="D82" s="468"/>
      <c r="E82" s="30"/>
      <c r="F82" s="30"/>
      <c r="G82" s="30"/>
      <c r="H82" s="30"/>
      <c r="I82" s="30"/>
      <c r="J82" s="30"/>
      <c r="K82" s="38"/>
      <c r="L82" s="5"/>
      <c r="M82" s="415"/>
    </row>
    <row r="83" customHeight="1" ht="17.0" outlineLevel="1" customFormat="1" s="6">
      <c r="A83" s="5"/>
      <c r="B83" s="45" t="s">
        <v>319</v>
      </c>
      <c r="C83" s="469">
        <f>I$27</f>
        <v>0.0</v>
      </c>
      <c r="D83" s="468"/>
      <c r="E83" s="30"/>
      <c r="F83" s="30"/>
      <c r="G83" s="30"/>
      <c r="H83" s="30"/>
      <c r="I83" s="30"/>
      <c r="J83" s="30"/>
      <c r="K83" s="38"/>
      <c r="L83" s="5"/>
      <c r="M83" s="415"/>
    </row>
    <row r="84" customHeight="1" ht="17.0">
      <c r="A84" s="5"/>
      <c r="B84" s="470" t="s">
        <v>320</v>
      </c>
      <c r="C84" s="68"/>
      <c r="D84" s="68"/>
      <c r="E84" s="68"/>
      <c r="F84" s="68"/>
      <c r="G84" s="68"/>
      <c r="H84" s="68"/>
      <c r="I84" s="30"/>
      <c r="J84" s="30"/>
      <c r="K84" s="38"/>
      <c r="L84" s="5"/>
    </row>
    <row r="85" customHeight="1" ht="17.0">
      <c r="A85" s="5"/>
      <c r="B85" s="98"/>
      <c r="C85" s="68" t="s">
        <v>321</v>
      </c>
      <c r="D85" s="467">
        <f>SUM(C74:C78,G74:G78)</f>
        <v>0.0</v>
      </c>
      <c r="E85" s="68" t="s">
        <v>322</v>
      </c>
      <c r="F85" s="467">
        <f>'1. Project Structure'!D45</f>
        <v>0.0</v>
      </c>
      <c r="G85" s="68" t="s">
        <v>323</v>
      </c>
      <c r="H85" s="467">
        <f>D85-F85</f>
        <v>0.0</v>
      </c>
      <c r="I85" s="30"/>
      <c r="J85" s="30"/>
      <c r="K85" s="38"/>
      <c r="L85" s="5"/>
    </row>
    <row r="86" customHeight="1" ht="17.0">
      <c r="A86" s="5"/>
      <c r="B86" s="98"/>
      <c r="C86" s="30"/>
      <c r="D86" s="68"/>
      <c r="E86" s="471"/>
      <c r="F86" s="30"/>
      <c r="G86" s="30"/>
      <c r="H86" s="30"/>
      <c r="I86" s="30"/>
      <c r="J86" s="30"/>
      <c r="K86" s="38"/>
      <c r="L86" s="5"/>
    </row>
    <row r="87" customHeight="1" ht="17.0">
      <c r="A87" s="5"/>
      <c r="B87" s="472"/>
      <c r="C87" s="367"/>
      <c r="D87" s="73"/>
      <c r="E87" s="73"/>
      <c r="F87" s="73"/>
      <c r="G87" s="73"/>
      <c r="H87" s="73"/>
      <c r="I87" s="73"/>
      <c r="J87" s="73"/>
      <c r="K87" s="74"/>
      <c r="L87" s="5"/>
    </row>
    <row r="88" customHeight="1" ht="17.0">
      <c r="B88" s="5"/>
      <c r="C88" s="5"/>
      <c r="D88" s="5"/>
      <c r="E88" s="5"/>
      <c r="F88" s="5"/>
      <c r="G88" s="5"/>
      <c r="H88" s="5"/>
      <c r="I88" s="5"/>
      <c r="J88" s="5"/>
      <c r="K88" s="5"/>
    </row>
    <row r="95" customHeight="1" ht="17.0">
      <c r="N95" s="6"/>
    </row>
    <row r="96" customHeight="1" ht="17.0">
      <c r="N96" s="5"/>
    </row>
    <row r="97" customHeight="1" ht="17.0">
      <c r="O97" s="5"/>
    </row>
    <row r="98" customHeight="1" ht="17.0">
      <c r="N98" s="5"/>
    </row>
  </sheetData>
  <mergeCells count="24">
    <mergeCell ref="B8:C8"/>
    <mergeCell ref="B6:C6"/>
    <mergeCell ref="B23:K23"/>
    <mergeCell ref="B10:C10"/>
    <mergeCell ref="B1:K1"/>
    <mergeCell ref="B7:C7"/>
    <mergeCell ref="B9:C9"/>
    <mergeCell ref="B2:E2"/>
    <mergeCell ref="C20:E20"/>
    <mergeCell ref="C21:E21"/>
    <mergeCell ref="D8:E8"/>
    <mergeCell ref="B87:C87"/>
    <mergeCell ref="D9:E9"/>
    <mergeCell ref="D7:E7"/>
    <mergeCell ref="D10:E10"/>
    <mergeCell ref="D6:E6"/>
    <mergeCell ref="D5:E5"/>
    <mergeCell ref="B71:K71"/>
    <mergeCell ref="F20:I20"/>
    <mergeCell ref="F21:I21"/>
    <mergeCell ref="J8:K8"/>
    <mergeCell ref="J7:K7"/>
    <mergeCell ref="J6:K6"/>
    <mergeCell ref="M23:U23"/>
  </mergeCells>
  <conditionalFormatting sqref="H85:H85">
    <cfRule dxfId="5" operator="lessThan" type="cellIs" priority="1">
      <formula>0</formula>
    </cfRule>
  </conditionalFormatting>
  <dataValidations count="21">
    <dataValidation allowBlank="1" showErrorMessage="1" errorTitle="The value you entered is not valid." error="The value entered violates data validation rules set in cell" errorStyle="stop" type="list" sqref="D6:E11">
      <formula1>"Borrower/EPC,Operating Company,Co-Borrower,Corp. Guarantor,Affiliate"</formula1>
    </dataValidation>
    <dataValidation allowBlank="1" showErrorMessage="1" errorTitle="The value you entered is not valid." error="The value entered violates data validation rules set in cell" errorStyle="stop" type="list" sqref="G6:G10 F13:J18">
      <formula1>##REF!:$C$4</formula1>
    </dataValidation>
    <dataValidation allowBlank="1" showErrorMessage="1" errorTitle="The value you entered is not valid." error="The value entered violates data validation rules set in cell" errorStyle="stop" type="list" sqref="J6:J7">
      <formula1>##REF!:$F$18</formula1>
    </dataValidation>
    <dataValidation allowBlank="1" showErrorMessage="1" errorTitle="The value you entered is not valid." error="The value entered violates data validation rules set in cell" errorStyle="stop" type="list" sqref="C28:C28 E28:E28 G28:G28 I28:I28 N28:N28 P28:P28 R28:R28 T28:T28 C68:C68 E68:E68 G68:G68 I68:I68 N68:N68 P68:P68 R68:R68 T68:T68">
      <formula1>'Lists'!$C$2:$C$4</formula1>
    </dataValidation>
    <dataValidation allowBlank="1" showErrorMessage="1" errorTitle="The value you entered is not valid." error="The value entered violates data validation rules set in cell" errorStyle="stop" type="list" sqref="G11:G11">
      <formula1>"No,Yes"</formula1>
    </dataValidation>
  </dataValidations>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1"/>
  <sheetViews>
    <sheetView workbookViewId="0"/>
  </sheetViews>
  <sheetFormatPr defaultRowHeight="17.0" customHeight="1"/>
  <cols>
    <col min="1" max="1" width="10.59"/>
    <col min="2" max="2" width="28.88"/>
    <col min="3" max="3" width="47.69"/>
    <col min="4" max="4" width="14.7"/>
    <col min="5" max="5" width="18.01"/>
    <col min="6" max="6" width="25.04"/>
    <col min="7" max="7" width="40.41"/>
    <col min="8" max="8" width="8.87"/>
    <col min="9" max="9" width="17.35"/>
    <col min="10" max="10" width="17.09"/>
    <col min="11" max="11" width="31.66"/>
    <col min="12" max="12" width="10.59"/>
    <col min="13" max="2048" width="10.59"/>
  </cols>
  <sheetData>
    <row r="1">
      <c r="B1" s="5"/>
      <c r="C1" s="5"/>
      <c r="D1" s="5"/>
      <c r="E1" s="5"/>
      <c r="F1" s="5"/>
      <c r="G1" s="5"/>
      <c r="H1" s="5"/>
      <c r="I1" s="5"/>
      <c r="J1" s="5"/>
      <c r="K1" s="5"/>
    </row>
    <row r="2" customHeight="1" ht="17.0" customFormat="1" s="6">
      <c r="A2" s="5"/>
      <c r="B2" s="9" t="s">
        <v>324</v>
      </c>
      <c r="C2" s="373"/>
      <c r="D2" s="373"/>
      <c r="E2" s="373"/>
      <c r="F2" s="373"/>
      <c r="G2" s="373"/>
      <c r="H2" s="373"/>
      <c r="I2" s="373"/>
      <c r="J2" s="373"/>
      <c r="K2" s="374"/>
      <c r="L2" s="5"/>
      <c r="M2" s="5"/>
      <c r="BB2" s="5"/>
      <c r="BC2" s="5"/>
    </row>
    <row r="3" customHeight="1" ht="17.0" customFormat="1" s="6">
      <c r="A3" s="5"/>
      <c r="B3" s="473" t="s">
        <v>325</v>
      </c>
      <c r="C3" s="474"/>
      <c r="D3" s="474"/>
      <c r="E3" s="474"/>
      <c r="F3" s="474"/>
      <c r="G3" s="474"/>
      <c r="H3" s="474"/>
      <c r="I3" s="474"/>
      <c r="J3" s="474"/>
      <c r="K3" s="475"/>
      <c r="L3" s="5"/>
      <c r="BB3" s="5"/>
      <c r="BC3" s="5"/>
    </row>
    <row r="4" ht="31.0" customFormat="1" s="6">
      <c r="A4" s="5"/>
      <c r="B4" s="476" t="s">
        <v>236</v>
      </c>
      <c r="C4" s="477" t="s">
        <v>326</v>
      </c>
      <c r="D4" s="478" t="s">
        <v>327</v>
      </c>
      <c r="E4" s="478" t="s">
        <v>328</v>
      </c>
      <c r="F4" s="479"/>
      <c r="G4" s="476" t="s">
        <v>329</v>
      </c>
      <c r="H4" s="476" t="s">
        <v>330</v>
      </c>
      <c r="I4" s="476" t="s">
        <v>331</v>
      </c>
      <c r="J4" s="476" t="s">
        <v>332</v>
      </c>
      <c r="K4" s="476" t="s">
        <v>333</v>
      </c>
      <c r="L4" s="5"/>
      <c r="BB4" s="5"/>
      <c r="BC4" s="5"/>
    </row>
    <row r="5" customHeight="1" ht="17.0" customFormat="1" s="6">
      <c r="A5" s="5"/>
      <c r="B5" s="480" t="s">
        <v>334</v>
      </c>
      <c r="C5" s="481"/>
      <c r="D5" s="481"/>
      <c r="E5" s="482" t="s">
        <v>335</v>
      </c>
      <c r="F5" s="483"/>
      <c r="G5" s="484">
        <v>0.0</v>
      </c>
      <c r="H5" s="485">
        <v>0.85</v>
      </c>
      <c r="I5" s="486">
        <f t="shared" ref="I5:I13" si="0">G5*H5</f>
        <v>0.0</v>
      </c>
      <c r="J5" s="484">
        <v>0.0</v>
      </c>
      <c r="K5" s="486">
        <f t="shared" ref="K5:K13" si="1">IF(I5-J5&lt;0,0,I5-J5)</f>
        <v>0.0</v>
      </c>
      <c r="L5" s="5"/>
      <c r="BB5" s="5"/>
      <c r="BC5" s="5"/>
    </row>
    <row r="6" customHeight="1" ht="17.0" customFormat="1" s="6">
      <c r="A6" s="5"/>
      <c r="B6" s="480" t="s">
        <v>336</v>
      </c>
      <c r="C6" s="481"/>
      <c r="D6" s="481"/>
      <c r="E6" s="482"/>
      <c r="F6" s="483"/>
      <c r="G6" s="484">
        <v>0.0</v>
      </c>
      <c r="H6" s="485">
        <v>0.85</v>
      </c>
      <c r="I6" s="486">
        <f t="shared" si="0"/>
        <v>0.0</v>
      </c>
      <c r="J6" s="484">
        <v>0.0</v>
      </c>
      <c r="K6" s="486">
        <f t="shared" si="1"/>
        <v>0.0</v>
      </c>
      <c r="L6" s="5"/>
      <c r="BB6" s="5"/>
      <c r="BC6" s="5"/>
    </row>
    <row r="7" customHeight="1" ht="17.0" customFormat="1" s="6">
      <c r="A7" s="5"/>
      <c r="B7" s="480" t="s">
        <v>336</v>
      </c>
      <c r="C7" s="481"/>
      <c r="D7" s="481"/>
      <c r="E7" s="482"/>
      <c r="F7" s="483"/>
      <c r="G7" s="484">
        <v>0.0</v>
      </c>
      <c r="H7" s="485">
        <v>0.85</v>
      </c>
      <c r="I7" s="486">
        <f t="shared" si="0"/>
        <v>0.0</v>
      </c>
      <c r="J7" s="484">
        <v>0.0</v>
      </c>
      <c r="K7" s="486">
        <f t="shared" si="1"/>
        <v>0.0</v>
      </c>
      <c r="L7" s="5"/>
      <c r="BB7" s="5"/>
      <c r="BC7" s="5"/>
    </row>
    <row r="8" customHeight="1" ht="17.0" customFormat="1" s="6">
      <c r="A8" s="5"/>
      <c r="B8" s="480" t="s">
        <v>337</v>
      </c>
      <c r="C8" s="481"/>
      <c r="D8" s="487"/>
      <c r="E8" s="482" t="s">
        <f t="shared" ref="E8:E13" si="2">IF(G8=0," ","")</f>
        <v>338</v>
      </c>
      <c r="F8" s="483"/>
      <c r="G8" s="484">
        <v>0.0</v>
      </c>
      <c r="H8" s="485">
        <v>0.1</v>
      </c>
      <c r="I8" s="486">
        <f t="shared" si="0"/>
        <v>0.0</v>
      </c>
      <c r="J8" s="484">
        <v>0.0</v>
      </c>
      <c r="K8" s="486">
        <f t="shared" si="1"/>
        <v>0.0</v>
      </c>
      <c r="L8" s="5"/>
      <c r="BB8" s="5"/>
      <c r="BC8" s="5"/>
    </row>
    <row r="9" customHeight="1" ht="17.0" customFormat="1" s="6">
      <c r="A9" s="5"/>
      <c r="B9" s="480" t="s">
        <v>79</v>
      </c>
      <c r="C9" s="481"/>
      <c r="D9" s="487"/>
      <c r="E9" s="482" t="s">
        <f t="shared" si="2"/>
        <v>338</v>
      </c>
      <c r="F9" s="483"/>
      <c r="G9" s="484">
        <v>0.0</v>
      </c>
      <c r="H9" s="485">
        <v>0.5</v>
      </c>
      <c r="I9" s="486">
        <f t="shared" si="0"/>
        <v>0.0</v>
      </c>
      <c r="J9" s="484">
        <v>0.0</v>
      </c>
      <c r="K9" s="486">
        <f t="shared" si="1"/>
        <v>0.0</v>
      </c>
      <c r="L9" s="5"/>
      <c r="BB9" s="5"/>
      <c r="BC9" s="5"/>
    </row>
    <row r="10" customHeight="1" ht="17.0" customFormat="1" s="6">
      <c r="A10" s="5"/>
      <c r="B10" s="480" t="s">
        <v>81</v>
      </c>
      <c r="C10" s="481"/>
      <c r="D10" s="487"/>
      <c r="E10" s="482" t="s">
        <f t="shared" si="2"/>
        <v>338</v>
      </c>
      <c r="F10" s="483"/>
      <c r="G10" s="484">
        <v>0.0</v>
      </c>
      <c r="H10" s="485">
        <v>0.1</v>
      </c>
      <c r="I10" s="486">
        <f t="shared" si="0"/>
        <v>0.0</v>
      </c>
      <c r="J10" s="484">
        <v>0.0</v>
      </c>
      <c r="K10" s="486">
        <f t="shared" si="1"/>
        <v>0.0</v>
      </c>
      <c r="L10" s="5"/>
      <c r="BB10" s="5"/>
      <c r="BC10" s="5"/>
    </row>
    <row r="11" customHeight="1" ht="17.0" customFormat="1" s="6">
      <c r="A11" s="5"/>
      <c r="B11" s="480" t="s">
        <v>339</v>
      </c>
      <c r="C11" s="481"/>
      <c r="D11" s="487"/>
      <c r="E11" s="482" t="s">
        <f t="shared" si="2"/>
        <v>338</v>
      </c>
      <c r="F11" s="483"/>
      <c r="G11" s="484">
        <v>0.0</v>
      </c>
      <c r="H11" s="485">
        <v>0.1</v>
      </c>
      <c r="I11" s="486">
        <f t="shared" si="0"/>
        <v>0.0</v>
      </c>
      <c r="J11" s="484">
        <v>0.0</v>
      </c>
      <c r="K11" s="486">
        <f t="shared" si="1"/>
        <v>0.0</v>
      </c>
      <c r="L11" s="5"/>
      <c r="BB11" s="5"/>
      <c r="BC11" s="5"/>
    </row>
    <row r="12" customHeight="1" ht="17.0" customFormat="1" s="6">
      <c r="A12" s="5"/>
      <c r="B12" s="480" t="s">
        <v>340</v>
      </c>
      <c r="C12" s="481"/>
      <c r="D12" s="487"/>
      <c r="E12" s="482" t="s">
        <f t="shared" si="2"/>
        <v>338</v>
      </c>
      <c r="F12" s="483"/>
      <c r="G12" s="484">
        <v>0.0</v>
      </c>
      <c r="H12" s="485">
        <v>0.05</v>
      </c>
      <c r="I12" s="486">
        <f t="shared" si="0"/>
        <v>0.0</v>
      </c>
      <c r="J12" s="484">
        <v>0.0</v>
      </c>
      <c r="K12" s="486">
        <f t="shared" si="1"/>
        <v>0.0</v>
      </c>
      <c r="L12" s="5"/>
      <c r="BB12" s="5"/>
      <c r="BC12" s="5"/>
    </row>
    <row r="13" customHeight="1" ht="17.0" customFormat="1" s="6">
      <c r="A13" s="5"/>
      <c r="B13" s="488" t="s">
        <v>341</v>
      </c>
      <c r="C13" s="481"/>
      <c r="D13" s="487"/>
      <c r="E13" s="482" t="s">
        <f t="shared" si="2"/>
        <v>338</v>
      </c>
      <c r="F13" s="483"/>
      <c r="G13" s="484">
        <v>0.0</v>
      </c>
      <c r="H13" s="485">
        <v>0.0</v>
      </c>
      <c r="I13" s="486">
        <f t="shared" si="0"/>
        <v>0.0</v>
      </c>
      <c r="J13" s="484">
        <v>0.0</v>
      </c>
      <c r="K13" s="486">
        <f t="shared" si="1"/>
        <v>0.0</v>
      </c>
      <c r="L13" s="5"/>
      <c r="BB13" s="5"/>
      <c r="BC13" s="5"/>
    </row>
    <row r="14" customHeight="1" ht="26.0" customFormat="1" s="6">
      <c r="A14" s="5"/>
      <c r="B14" s="489"/>
      <c r="C14" s="490"/>
      <c r="D14" s="490"/>
      <c r="E14" s="491"/>
      <c r="F14" s="492" t="s">
        <v>342</v>
      </c>
      <c r="G14" s="493"/>
      <c r="H14" s="494"/>
      <c r="I14" s="495">
        <f>SUM(I5:I13)</f>
        <v>0.0</v>
      </c>
      <c r="J14" s="493">
        <f>SUM(J5:J13)</f>
        <v>0.0</v>
      </c>
      <c r="K14" s="493">
        <f>SUM(K5:K13)</f>
        <v>0.0</v>
      </c>
      <c r="L14" s="5"/>
      <c r="BB14" s="5"/>
      <c r="BC14" s="5"/>
    </row>
    <row r="15" customHeight="1" ht="17.0" customFormat="1" s="6">
      <c r="A15" s="5"/>
      <c r="B15" s="496"/>
      <c r="C15" s="497"/>
      <c r="D15" s="497"/>
      <c r="E15" s="498"/>
      <c r="F15" s="498"/>
      <c r="G15" s="499"/>
      <c r="H15" s="500"/>
      <c r="I15" s="500"/>
      <c r="J15" s="500"/>
      <c r="K15" s="501"/>
      <c r="L15" s="5"/>
      <c r="BB15" s="5"/>
      <c r="BC15" s="5"/>
    </row>
    <row r="16" customHeight="1" ht="19.0" customFormat="1" s="6">
      <c r="A16" s="5"/>
      <c r="B16" s="502" t="s">
        <v>148</v>
      </c>
      <c r="C16" s="503">
        <f>'2. Sources and Uses'!C22</f>
        <v>0.0</v>
      </c>
      <c r="D16" s="30"/>
      <c r="E16" s="504" t="s">
        <v>343</v>
      </c>
      <c r="F16" s="505"/>
      <c r="G16" s="506">
        <f>IFERROR((C16+J14)/G14,0)</f>
        <v>0.0</v>
      </c>
      <c r="H16" s="507" t="s">
        <v>344</v>
      </c>
      <c r="I16" s="498"/>
      <c r="J16" s="508" t="s">
        <v>344</v>
      </c>
      <c r="K16" s="506">
        <f>IFERROR((J14+C16)/I14,0)</f>
        <v>0.0</v>
      </c>
      <c r="L16" s="5"/>
      <c r="BB16" s="5"/>
      <c r="BC16" s="5"/>
    </row>
    <row r="17" customHeight="1" ht="17.0" customFormat="1" s="6">
      <c r="A17" s="5"/>
      <c r="B17" s="502" t="s">
        <v>345</v>
      </c>
      <c r="C17" s="509">
        <f>K14</f>
        <v>0.0</v>
      </c>
      <c r="D17" s="30"/>
      <c r="E17" s="504" t="s">
        <v>346</v>
      </c>
      <c r="F17" s="505"/>
      <c r="G17" s="506">
        <f>IFERROR(G14/(C16+J14),0)</f>
        <v>0.0</v>
      </c>
      <c r="H17" s="507" t="s">
        <v>347</v>
      </c>
      <c r="I17" s="498"/>
      <c r="J17" s="508" t="s">
        <v>347</v>
      </c>
      <c r="K17" s="506">
        <f>IFERROR(I14/(J14+C16),0)</f>
        <v>0.0</v>
      </c>
      <c r="L17" s="5"/>
      <c r="BB17" s="5"/>
      <c r="BC17" s="5"/>
    </row>
    <row r="18" customHeight="1" ht="17.0" customFormat="1" s="6">
      <c r="A18" s="5"/>
      <c r="B18" s="502" t="s">
        <v>348</v>
      </c>
      <c r="C18" s="503">
        <f>IF(C16-C17&lt;0,0,C16-C17)</f>
        <v>0.0</v>
      </c>
      <c r="D18" s="497"/>
      <c r="E18" s="498"/>
      <c r="F18" s="498"/>
      <c r="G18" s="499"/>
      <c r="H18" s="500"/>
      <c r="I18" s="500"/>
      <c r="J18" s="500"/>
      <c r="K18" s="501"/>
      <c r="L18" s="5"/>
      <c r="BB18" s="5"/>
      <c r="BC18" s="5"/>
    </row>
    <row r="19" customHeight="1" ht="17.0" customFormat="1" s="6">
      <c r="A19" s="5"/>
      <c r="B19" s="45" t="s">
        <v>46</v>
      </c>
      <c r="C19" s="510">
        <f>'1. Project Structure'!J12</f>
        <v>0.75</v>
      </c>
      <c r="D19" s="497"/>
      <c r="E19" s="504" t="s">
        <v>349</v>
      </c>
      <c r="F19" s="505" t="s">
        <v>350</v>
      </c>
      <c r="G19" s="511">
        <f>C16-(K5+K6+K7)</f>
        <v>0.0</v>
      </c>
      <c r="H19" s="512"/>
      <c r="I19" s="500"/>
      <c r="J19" s="500"/>
      <c r="K19" s="501"/>
      <c r="L19" s="5"/>
      <c r="BB19" s="5"/>
      <c r="BC19" s="5"/>
    </row>
    <row r="20" customHeight="1" ht="17.0" customFormat="1" s="6">
      <c r="A20" s="5"/>
      <c r="B20" s="502" t="s">
        <v>351</v>
      </c>
      <c r="C20" s="503">
        <f>IF(C18&gt;0,C19*C18,0)</f>
        <v>0.0</v>
      </c>
      <c r="D20" s="504"/>
      <c r="E20" s="504"/>
      <c r="F20" s="513"/>
      <c r="G20" s="499"/>
      <c r="H20" s="514"/>
      <c r="I20" s="514"/>
      <c r="J20" s="514"/>
      <c r="K20" s="501"/>
      <c r="L20" s="5"/>
      <c r="BB20" s="5"/>
      <c r="BC20" s="5"/>
    </row>
    <row r="21" customHeight="1" ht="17.0" customFormat="1" s="6">
      <c r="A21" s="5"/>
      <c r="B21" s="502" t="s">
        <v>352</v>
      </c>
      <c r="C21" s="509">
        <f>IF(C20&gt;0,C18-C20,0)</f>
        <v>0.0</v>
      </c>
      <c r="D21" s="504"/>
      <c r="E21" s="504"/>
      <c r="F21" s="515"/>
      <c r="G21" s="499"/>
      <c r="H21" s="514"/>
      <c r="I21" s="514"/>
      <c r="J21" s="514"/>
      <c r="K21" s="501"/>
      <c r="L21" s="5"/>
      <c r="BB21" s="5"/>
      <c r="BC21" s="5"/>
    </row>
    <row r="22" customHeight="1" ht="17.0" customFormat="1" s="6">
      <c r="A22" s="5"/>
      <c r="B22" s="516"/>
      <c r="C22" s="517"/>
      <c r="D22" s="517"/>
      <c r="E22" s="518"/>
      <c r="F22" s="518"/>
      <c r="G22" s="518"/>
      <c r="H22" s="519"/>
      <c r="I22" s="519"/>
      <c r="J22" s="519"/>
      <c r="K22" s="520"/>
      <c r="L22" s="5"/>
      <c r="BB22" s="5"/>
      <c r="BC22" s="5"/>
    </row>
    <row r="23">
      <c r="B23" s="5"/>
      <c r="C23" s="5"/>
      <c r="D23" s="5"/>
      <c r="E23" s="5"/>
      <c r="F23" s="5"/>
      <c r="G23" s="5"/>
      <c r="H23" s="5"/>
      <c r="I23" s="5"/>
      <c r="J23" s="5"/>
      <c r="K23" s="5"/>
    </row>
  </sheetData>
  <mergeCells count="25">
    <mergeCell ref="B3:K3"/>
    <mergeCell ref="B2:K2"/>
    <mergeCell ref="D21:E21"/>
    <mergeCell ref="D20:E20"/>
    <mergeCell ref="E16:F16"/>
    <mergeCell ref="E9:F9"/>
    <mergeCell ref="E6:F6"/>
    <mergeCell ref="E18:F18"/>
    <mergeCell ref="E19:F19"/>
    <mergeCell ref="E4:F4"/>
    <mergeCell ref="E5:F5"/>
    <mergeCell ref="E17:F17"/>
    <mergeCell ref="E15:F15"/>
    <mergeCell ref="E14:F14"/>
    <mergeCell ref="E10:F10"/>
    <mergeCell ref="E11:F11"/>
    <mergeCell ref="E12:F12"/>
    <mergeCell ref="E13:F13"/>
    <mergeCell ref="E8:F8"/>
    <mergeCell ref="E7:F7"/>
    <mergeCell ref="H17:J17"/>
    <mergeCell ref="H18:J18"/>
    <mergeCell ref="H19:J19"/>
    <mergeCell ref="H16:J16"/>
    <mergeCell ref="H15:J15"/>
  </mergeCells>
  <dataValidations count="1">
    <dataValidation allowBlank="1" showErrorMessage="1" errorTitle="The value you entered is not valid." error="The value entered violates data validation rules set in cell" errorStyle="stop" type="list" sqref="D8:D13">
      <formula1>'Lists'!$E$30:$E$38</formula1>
    </dataValidation>
  </dataValidations>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X306"/>
  <sheetViews>
    <sheetView workbookViewId="0"/>
  </sheetViews>
  <sheetFormatPr defaultRowHeight="17.0" customHeight="1"/>
  <cols>
    <col min="1" max="1" style="521" width="9.14"/>
    <col min="2" max="2" style="521" width="25.3"/>
    <col min="3" max="8" style="521" width="13.77"/>
    <col min="9" max="9" style="521" width="25.3"/>
    <col min="10" max="13" style="521" width="13.77"/>
    <col min="14" max="14" style="521" width="25.3"/>
    <col min="15" max="19" style="521" width="13.77"/>
    <col min="20" max="20" style="521" width="25.3"/>
    <col min="21" max="24" style="521" width="13.77"/>
    <col min="25" max="2048" style="521" width="9.14"/>
  </cols>
  <sheetData>
    <row r="3" customHeight="1" ht="17.0">
      <c r="B3" s="522" t="s">
        <v>353</v>
      </c>
      <c r="C3" s="523"/>
      <c r="D3" s="523"/>
      <c r="E3" s="523"/>
      <c r="F3" s="523"/>
      <c r="G3" s="524"/>
      <c r="I3" s="522" t="s">
        <v>353</v>
      </c>
      <c r="J3" s="523"/>
      <c r="K3" s="523"/>
      <c r="L3" s="524"/>
      <c r="N3" s="522" t="s">
        <v>353</v>
      </c>
      <c r="O3" s="523"/>
      <c r="P3" s="523"/>
      <c r="Q3" s="523"/>
      <c r="R3" s="524"/>
      <c r="T3" s="522" t="s">
        <v>353</v>
      </c>
      <c r="U3" s="523"/>
      <c r="V3" s="523"/>
      <c r="W3" s="523"/>
      <c r="X3" s="524"/>
    </row>
    <row r="4" customHeight="1" ht="17.0">
      <c r="B4" s="525"/>
      <c r="C4" s="526"/>
      <c r="D4" s="526"/>
      <c r="E4" s="526"/>
      <c r="F4" s="526"/>
      <c r="G4" s="527"/>
      <c r="I4" s="525"/>
      <c r="J4" s="526"/>
      <c r="K4" s="526"/>
      <c r="L4" s="527"/>
      <c r="N4" s="525"/>
      <c r="O4" s="526"/>
      <c r="P4" s="526"/>
      <c r="Q4" s="526"/>
      <c r="R4" s="527"/>
      <c r="T4" s="528"/>
      <c r="U4" s="529"/>
      <c r="V4" s="529"/>
      <c r="W4" s="529"/>
      <c r="X4" s="530"/>
    </row>
    <row r="5" customHeight="1" ht="17.0">
      <c r="B5" s="531"/>
      <c r="C5" s="532" t="s">
        <f>'2. Sources and Uses'!C4</f>
        <v>38</v>
      </c>
      <c r="D5" s="532" t="s">
        <f>'2. Sources and Uses'!D4</f>
        <v>39</v>
      </c>
      <c r="E5" s="532" t="s">
        <f>'2. Sources and Uses'!E4</f>
        <v>40</v>
      </c>
      <c r="F5" s="532" t="s">
        <f>'2. Sources and Uses'!F4</f>
        <v>41</v>
      </c>
      <c r="G5" s="532" t="s">
        <f>'2. Sources and Uses'!G4</f>
        <v>71</v>
      </c>
      <c r="I5" s="531"/>
      <c r="J5" s="532" t="s">
        <f t="shared" ref="J5:J23" si="5">C5</f>
        <v>38</v>
      </c>
      <c r="K5" s="533" t="s">
        <f t="shared" ref="K5:K23" si="6">D5</f>
        <v>39</v>
      </c>
      <c r="L5" s="534" t="s">
        <f t="shared" ref="L5:L23" si="7">G5</f>
        <v>71</v>
      </c>
      <c r="N5" s="531"/>
      <c r="O5" s="532" t="s">
        <f t="shared" ref="O5:O23" si="8">C5</f>
        <v>38</v>
      </c>
      <c r="P5" s="533" t="s">
        <f t="shared" ref="P5:P23" si="9">D5</f>
        <v>39</v>
      </c>
      <c r="Q5" s="532" t="s">
        <f t="shared" ref="Q5:Q23" si="10">E5</f>
        <v>40</v>
      </c>
      <c r="R5" s="534" t="s">
        <f t="shared" ref="R5:R23" si="11">G5</f>
        <v>71</v>
      </c>
      <c r="T5" s="531"/>
      <c r="U5" s="532" t="s">
        <f t="shared" ref="U5:U23" si="12">C5</f>
        <v>38</v>
      </c>
      <c r="V5" s="533" t="s">
        <f t="shared" ref="V5:V23" si="13">D5</f>
        <v>39</v>
      </c>
      <c r="W5" s="533" t="s">
        <f t="shared" ref="W5:W23" si="14">F5</f>
        <v>41</v>
      </c>
      <c r="X5" s="534" t="s">
        <f t="shared" ref="X5:X23" si="15">G5</f>
        <v>71</v>
      </c>
    </row>
    <row r="6" customHeight="1" ht="17.0">
      <c r="B6" s="535" t="s">
        <f>'2. Sources and Uses'!B6</f>
        <v>76</v>
      </c>
      <c r="C6" s="536">
        <f>'2. Sources and Uses'!C6</f>
        <v>0.0</v>
      </c>
      <c r="D6" s="536">
        <f>'2. Sources and Uses'!D6</f>
        <v>0.0</v>
      </c>
      <c r="E6" s="536">
        <f>'2. Sources and Uses'!E6</f>
        <v>0.0</v>
      </c>
      <c r="F6" s="536">
        <f>'2. Sources and Uses'!F6</f>
        <v>0.0</v>
      </c>
      <c r="G6" s="536">
        <f>'2. Sources and Uses'!G6</f>
        <v>0.0</v>
      </c>
      <c r="I6" s="535" t="s">
        <f t="shared" ref="I6:I23" si="22">B6</f>
        <v>76</v>
      </c>
      <c r="J6" s="537">
        <f t="shared" si="5"/>
        <v>0.0</v>
      </c>
      <c r="K6" s="537">
        <f t="shared" si="6"/>
        <v>0.0</v>
      </c>
      <c r="L6" s="538">
        <f t="shared" si="7"/>
        <v>0.0</v>
      </c>
      <c r="N6" s="535" t="s">
        <f t="shared" ref="N6:N23" si="23">B6</f>
        <v>76</v>
      </c>
      <c r="O6" s="537">
        <f t="shared" si="8"/>
        <v>0.0</v>
      </c>
      <c r="P6" s="537">
        <f t="shared" si="9"/>
        <v>0.0</v>
      </c>
      <c r="Q6" s="537">
        <f t="shared" si="10"/>
        <v>0.0</v>
      </c>
      <c r="R6" s="538">
        <f t="shared" si="11"/>
        <v>0.0</v>
      </c>
      <c r="T6" s="535" t="s">
        <f t="shared" ref="T6:T23" si="24">B6</f>
        <v>76</v>
      </c>
      <c r="U6" s="537">
        <f t="shared" si="12"/>
        <v>0.0</v>
      </c>
      <c r="V6" s="537">
        <f t="shared" si="13"/>
        <v>0.0</v>
      </c>
      <c r="W6" s="537">
        <f t="shared" si="14"/>
        <v>0.0</v>
      </c>
      <c r="X6" s="538">
        <f t="shared" si="15"/>
        <v>0.0</v>
      </c>
    </row>
    <row r="7" customHeight="1" ht="17.0">
      <c r="B7" s="535" t="s">
        <f>'2. Sources and Uses'!B7</f>
        <v>77</v>
      </c>
      <c r="C7" s="536">
        <f>'2. Sources and Uses'!C7</f>
        <v>0.0</v>
      </c>
      <c r="D7" s="536">
        <f>'2. Sources and Uses'!D7</f>
        <v>0.0</v>
      </c>
      <c r="E7" s="536">
        <f>'2. Sources and Uses'!E7</f>
        <v>0.0</v>
      </c>
      <c r="F7" s="536">
        <f>'2. Sources and Uses'!F7</f>
        <v>0.0</v>
      </c>
      <c r="G7" s="536">
        <f>'2. Sources and Uses'!G7</f>
        <v>0.0</v>
      </c>
      <c r="I7" s="535" t="s">
        <f t="shared" si="22"/>
        <v>77</v>
      </c>
      <c r="J7" s="537">
        <f t="shared" si="5"/>
        <v>0.0</v>
      </c>
      <c r="K7" s="537">
        <f t="shared" si="6"/>
        <v>0.0</v>
      </c>
      <c r="L7" s="538">
        <f t="shared" si="7"/>
        <v>0.0</v>
      </c>
      <c r="N7" s="535" t="s">
        <f t="shared" si="23"/>
        <v>77</v>
      </c>
      <c r="O7" s="537">
        <f t="shared" si="8"/>
        <v>0.0</v>
      </c>
      <c r="P7" s="537">
        <f t="shared" si="9"/>
        <v>0.0</v>
      </c>
      <c r="Q7" s="537">
        <f t="shared" si="10"/>
        <v>0.0</v>
      </c>
      <c r="R7" s="538">
        <f t="shared" si="11"/>
        <v>0.0</v>
      </c>
      <c r="T7" s="535" t="s">
        <f t="shared" si="24"/>
        <v>77</v>
      </c>
      <c r="U7" s="537">
        <f t="shared" si="12"/>
        <v>0.0</v>
      </c>
      <c r="V7" s="537">
        <f t="shared" si="13"/>
        <v>0.0</v>
      </c>
      <c r="W7" s="537">
        <f t="shared" si="14"/>
        <v>0.0</v>
      </c>
      <c r="X7" s="538">
        <f t="shared" si="15"/>
        <v>0.0</v>
      </c>
    </row>
    <row r="8" customHeight="1" ht="17.0">
      <c r="B8" s="535" t="s">
        <f>'2. Sources and Uses'!B8</f>
        <v>78</v>
      </c>
      <c r="C8" s="536">
        <f>'2. Sources and Uses'!C8</f>
        <v>0.0</v>
      </c>
      <c r="D8" s="536">
        <f>'2. Sources and Uses'!D8</f>
        <v>0.0</v>
      </c>
      <c r="E8" s="536">
        <f>'2. Sources and Uses'!E8</f>
        <v>0.0</v>
      </c>
      <c r="F8" s="536">
        <f>'2. Sources and Uses'!F8</f>
        <v>0.0</v>
      </c>
      <c r="G8" s="536">
        <f>'2. Sources and Uses'!G8</f>
        <v>0.0</v>
      </c>
      <c r="I8" s="535" t="s">
        <f t="shared" si="22"/>
        <v>78</v>
      </c>
      <c r="J8" s="537">
        <f t="shared" si="5"/>
        <v>0.0</v>
      </c>
      <c r="K8" s="537">
        <f t="shared" si="6"/>
        <v>0.0</v>
      </c>
      <c r="L8" s="538">
        <f t="shared" si="7"/>
        <v>0.0</v>
      </c>
      <c r="N8" s="535" t="s">
        <f t="shared" si="23"/>
        <v>78</v>
      </c>
      <c r="O8" s="537">
        <f t="shared" si="8"/>
        <v>0.0</v>
      </c>
      <c r="P8" s="537">
        <f t="shared" si="9"/>
        <v>0.0</v>
      </c>
      <c r="Q8" s="537">
        <f t="shared" si="10"/>
        <v>0.0</v>
      </c>
      <c r="R8" s="538">
        <f t="shared" si="11"/>
        <v>0.0</v>
      </c>
      <c r="T8" s="535" t="s">
        <f t="shared" si="24"/>
        <v>78</v>
      </c>
      <c r="U8" s="537">
        <f t="shared" si="12"/>
        <v>0.0</v>
      </c>
      <c r="V8" s="537">
        <f t="shared" si="13"/>
        <v>0.0</v>
      </c>
      <c r="W8" s="537">
        <f t="shared" si="14"/>
        <v>0.0</v>
      </c>
      <c r="X8" s="538">
        <f t="shared" si="15"/>
        <v>0.0</v>
      </c>
    </row>
    <row r="9" customHeight="1" ht="17.0">
      <c r="B9" s="535" t="s">
        <f>'2. Sources and Uses'!B9</f>
        <v>79</v>
      </c>
      <c r="C9" s="536">
        <f>'2. Sources and Uses'!C9</f>
        <v>0.0</v>
      </c>
      <c r="D9" s="536">
        <f>'2. Sources and Uses'!D9</f>
        <v>0.0</v>
      </c>
      <c r="E9" s="536">
        <f>'2. Sources and Uses'!E9</f>
        <v>0.0</v>
      </c>
      <c r="F9" s="536">
        <f>'2. Sources and Uses'!F9</f>
        <v>0.0</v>
      </c>
      <c r="G9" s="536">
        <f>'2. Sources and Uses'!G9</f>
        <v>0.0</v>
      </c>
      <c r="I9" s="535" t="s">
        <f t="shared" si="22"/>
        <v>79</v>
      </c>
      <c r="J9" s="537">
        <f t="shared" si="5"/>
        <v>0.0</v>
      </c>
      <c r="K9" s="537">
        <f t="shared" si="6"/>
        <v>0.0</v>
      </c>
      <c r="L9" s="538">
        <f t="shared" si="7"/>
        <v>0.0</v>
      </c>
      <c r="N9" s="535" t="s">
        <f t="shared" si="23"/>
        <v>79</v>
      </c>
      <c r="O9" s="537">
        <f t="shared" si="8"/>
        <v>0.0</v>
      </c>
      <c r="P9" s="537">
        <f t="shared" si="9"/>
        <v>0.0</v>
      </c>
      <c r="Q9" s="537">
        <f t="shared" si="10"/>
        <v>0.0</v>
      </c>
      <c r="R9" s="538">
        <f t="shared" si="11"/>
        <v>0.0</v>
      </c>
      <c r="T9" s="535" t="s">
        <f t="shared" si="24"/>
        <v>79</v>
      </c>
      <c r="U9" s="537">
        <f t="shared" si="12"/>
        <v>0.0</v>
      </c>
      <c r="V9" s="537">
        <f t="shared" si="13"/>
        <v>0.0</v>
      </c>
      <c r="W9" s="537">
        <f t="shared" si="14"/>
        <v>0.0</v>
      </c>
      <c r="X9" s="538">
        <f t="shared" si="15"/>
        <v>0.0</v>
      </c>
    </row>
    <row r="10" customHeight="1" ht="17.0">
      <c r="B10" s="535" t="s">
        <f>'2. Sources and Uses'!B10</f>
        <v>80</v>
      </c>
      <c r="C10" s="536">
        <f>'2. Sources and Uses'!C10</f>
        <v>0.0</v>
      </c>
      <c r="D10" s="536">
        <f>'2. Sources and Uses'!D10</f>
        <v>0.0</v>
      </c>
      <c r="E10" s="536">
        <f>'2. Sources and Uses'!E10</f>
        <v>0.0</v>
      </c>
      <c r="F10" s="536">
        <f>'2. Sources and Uses'!F10</f>
        <v>0.0</v>
      </c>
      <c r="G10" s="536">
        <f>'2. Sources and Uses'!G10</f>
        <v>0.0</v>
      </c>
      <c r="I10" s="535" t="s">
        <f t="shared" si="22"/>
        <v>80</v>
      </c>
      <c r="J10" s="537">
        <f t="shared" si="5"/>
        <v>0.0</v>
      </c>
      <c r="K10" s="537">
        <f t="shared" si="6"/>
        <v>0.0</v>
      </c>
      <c r="L10" s="538">
        <f t="shared" si="7"/>
        <v>0.0</v>
      </c>
      <c r="N10" s="535" t="s">
        <f t="shared" si="23"/>
        <v>80</v>
      </c>
      <c r="O10" s="537">
        <f t="shared" si="8"/>
        <v>0.0</v>
      </c>
      <c r="P10" s="537">
        <f t="shared" si="9"/>
        <v>0.0</v>
      </c>
      <c r="Q10" s="537">
        <f t="shared" si="10"/>
        <v>0.0</v>
      </c>
      <c r="R10" s="538">
        <f t="shared" si="11"/>
        <v>0.0</v>
      </c>
      <c r="T10" s="535" t="s">
        <f t="shared" si="24"/>
        <v>80</v>
      </c>
      <c r="U10" s="537">
        <f t="shared" si="12"/>
        <v>0.0</v>
      </c>
      <c r="V10" s="537">
        <f t="shared" si="13"/>
        <v>0.0</v>
      </c>
      <c r="W10" s="537">
        <f t="shared" si="14"/>
        <v>0.0</v>
      </c>
      <c r="X10" s="538">
        <f t="shared" si="15"/>
        <v>0.0</v>
      </c>
    </row>
    <row r="11" customHeight="1" ht="17.0">
      <c r="B11" s="535" t="s">
        <f>'2. Sources and Uses'!B11</f>
        <v>81</v>
      </c>
      <c r="C11" s="536">
        <f>'2. Sources and Uses'!C11</f>
        <v>0.0</v>
      </c>
      <c r="D11" s="536">
        <f>'2. Sources and Uses'!D11</f>
        <v>0.0</v>
      </c>
      <c r="E11" s="536">
        <f>'2. Sources and Uses'!E11</f>
        <v>0.0</v>
      </c>
      <c r="F11" s="536">
        <f>'2. Sources and Uses'!F11</f>
        <v>0.0</v>
      </c>
      <c r="G11" s="536">
        <f>'2. Sources and Uses'!G11</f>
        <v>0.0</v>
      </c>
      <c r="I11" s="535" t="s">
        <f t="shared" si="22"/>
        <v>81</v>
      </c>
      <c r="J11" s="537">
        <f t="shared" si="5"/>
        <v>0.0</v>
      </c>
      <c r="K11" s="537">
        <f t="shared" si="6"/>
        <v>0.0</v>
      </c>
      <c r="L11" s="538">
        <f t="shared" si="7"/>
        <v>0.0</v>
      </c>
      <c r="N11" s="535" t="s">
        <f t="shared" si="23"/>
        <v>81</v>
      </c>
      <c r="O11" s="537">
        <f t="shared" si="8"/>
        <v>0.0</v>
      </c>
      <c r="P11" s="537">
        <f t="shared" si="9"/>
        <v>0.0</v>
      </c>
      <c r="Q11" s="537">
        <f t="shared" si="10"/>
        <v>0.0</v>
      </c>
      <c r="R11" s="538">
        <f t="shared" si="11"/>
        <v>0.0</v>
      </c>
      <c r="T11" s="535" t="s">
        <f t="shared" si="24"/>
        <v>81</v>
      </c>
      <c r="U11" s="537">
        <f t="shared" si="12"/>
        <v>0.0</v>
      </c>
      <c r="V11" s="537">
        <f t="shared" si="13"/>
        <v>0.0</v>
      </c>
      <c r="W11" s="537">
        <f t="shared" si="14"/>
        <v>0.0</v>
      </c>
      <c r="X11" s="538">
        <f t="shared" si="15"/>
        <v>0.0</v>
      </c>
    </row>
    <row r="12" customHeight="1" ht="17.0">
      <c r="B12" s="535" t="s">
        <f>'2. Sources and Uses'!B12</f>
        <v>82</v>
      </c>
      <c r="C12" s="536">
        <f>'2. Sources and Uses'!C12</f>
        <v>0.0</v>
      </c>
      <c r="D12" s="536">
        <f>'2. Sources and Uses'!D12</f>
        <v>0.0</v>
      </c>
      <c r="E12" s="536">
        <f>'2. Sources and Uses'!E12</f>
        <v>0.0</v>
      </c>
      <c r="F12" s="536">
        <f>'2. Sources and Uses'!F12</f>
        <v>0.0</v>
      </c>
      <c r="G12" s="536">
        <f>'2. Sources and Uses'!G12</f>
        <v>0.0</v>
      </c>
      <c r="I12" s="535" t="s">
        <f t="shared" si="22"/>
        <v>82</v>
      </c>
      <c r="J12" s="537">
        <f t="shared" si="5"/>
        <v>0.0</v>
      </c>
      <c r="K12" s="537">
        <f t="shared" si="6"/>
        <v>0.0</v>
      </c>
      <c r="L12" s="538">
        <f t="shared" si="7"/>
        <v>0.0</v>
      </c>
      <c r="N12" s="535" t="s">
        <f t="shared" si="23"/>
        <v>82</v>
      </c>
      <c r="O12" s="537">
        <f t="shared" si="8"/>
        <v>0.0</v>
      </c>
      <c r="P12" s="537">
        <f t="shared" si="9"/>
        <v>0.0</v>
      </c>
      <c r="Q12" s="537">
        <f t="shared" si="10"/>
        <v>0.0</v>
      </c>
      <c r="R12" s="538">
        <f t="shared" si="11"/>
        <v>0.0</v>
      </c>
      <c r="T12" s="535" t="s">
        <f t="shared" si="24"/>
        <v>82</v>
      </c>
      <c r="U12" s="537">
        <f t="shared" si="12"/>
        <v>0.0</v>
      </c>
      <c r="V12" s="537">
        <f t="shared" si="13"/>
        <v>0.0</v>
      </c>
      <c r="W12" s="537">
        <f t="shared" si="14"/>
        <v>0.0</v>
      </c>
      <c r="X12" s="538">
        <f t="shared" si="15"/>
        <v>0.0</v>
      </c>
    </row>
    <row r="13" customHeight="1" ht="17.0">
      <c r="B13" s="535" t="s">
        <f>'2. Sources and Uses'!B13</f>
        <v>83</v>
      </c>
      <c r="C13" s="536">
        <f>'2. Sources and Uses'!C13</f>
        <v>0.0</v>
      </c>
      <c r="D13" s="536">
        <f>'2. Sources and Uses'!D13</f>
        <v>0.0</v>
      </c>
      <c r="E13" s="536">
        <f>'2. Sources and Uses'!E13</f>
        <v>0.0</v>
      </c>
      <c r="F13" s="536">
        <f>'2. Sources and Uses'!F13</f>
        <v>0.0</v>
      </c>
      <c r="G13" s="536">
        <f>'2. Sources and Uses'!G13</f>
        <v>0.0</v>
      </c>
      <c r="I13" s="535" t="s">
        <f t="shared" si="22"/>
        <v>83</v>
      </c>
      <c r="J13" s="537">
        <f t="shared" si="5"/>
        <v>0.0</v>
      </c>
      <c r="K13" s="537">
        <f t="shared" si="6"/>
        <v>0.0</v>
      </c>
      <c r="L13" s="538">
        <f t="shared" si="7"/>
        <v>0.0</v>
      </c>
      <c r="N13" s="535" t="s">
        <f t="shared" si="23"/>
        <v>83</v>
      </c>
      <c r="O13" s="537">
        <f t="shared" si="8"/>
        <v>0.0</v>
      </c>
      <c r="P13" s="537">
        <f t="shared" si="9"/>
        <v>0.0</v>
      </c>
      <c r="Q13" s="537">
        <f t="shared" si="10"/>
        <v>0.0</v>
      </c>
      <c r="R13" s="538">
        <f t="shared" si="11"/>
        <v>0.0</v>
      </c>
      <c r="T13" s="535" t="s">
        <f t="shared" si="24"/>
        <v>83</v>
      </c>
      <c r="U13" s="537">
        <f t="shared" si="12"/>
        <v>0.0</v>
      </c>
      <c r="V13" s="537">
        <f t="shared" si="13"/>
        <v>0.0</v>
      </c>
      <c r="W13" s="537">
        <f t="shared" si="14"/>
        <v>0.0</v>
      </c>
      <c r="X13" s="538">
        <f t="shared" si="15"/>
        <v>0.0</v>
      </c>
    </row>
    <row r="14" customHeight="1" ht="17.0">
      <c r="B14" s="535" t="s">
        <f>'2. Sources and Uses'!B14</f>
        <v>84</v>
      </c>
      <c r="C14" s="536">
        <f>'2. Sources and Uses'!C14</f>
        <v>0.0</v>
      </c>
      <c r="D14" s="536">
        <f>'2. Sources and Uses'!D14</f>
        <v>0.0</v>
      </c>
      <c r="E14" s="536">
        <f>'2. Sources and Uses'!E14</f>
        <v>0.0</v>
      </c>
      <c r="F14" s="536">
        <f>'2. Sources and Uses'!F14</f>
        <v>0.0</v>
      </c>
      <c r="G14" s="536">
        <f>'2. Sources and Uses'!G14</f>
        <v>0.0</v>
      </c>
      <c r="I14" s="535" t="s">
        <f t="shared" si="22"/>
        <v>84</v>
      </c>
      <c r="J14" s="537">
        <f t="shared" si="5"/>
        <v>0.0</v>
      </c>
      <c r="K14" s="537">
        <f t="shared" si="6"/>
        <v>0.0</v>
      </c>
      <c r="L14" s="538">
        <f t="shared" si="7"/>
        <v>0.0</v>
      </c>
      <c r="N14" s="535" t="s">
        <f t="shared" si="23"/>
        <v>84</v>
      </c>
      <c r="O14" s="537">
        <f t="shared" si="8"/>
        <v>0.0</v>
      </c>
      <c r="P14" s="537">
        <f t="shared" si="9"/>
        <v>0.0</v>
      </c>
      <c r="Q14" s="537">
        <f t="shared" si="10"/>
        <v>0.0</v>
      </c>
      <c r="R14" s="538">
        <f t="shared" si="11"/>
        <v>0.0</v>
      </c>
      <c r="T14" s="535" t="s">
        <f t="shared" si="24"/>
        <v>84</v>
      </c>
      <c r="U14" s="537">
        <f t="shared" si="12"/>
        <v>0.0</v>
      </c>
      <c r="V14" s="537">
        <f t="shared" si="13"/>
        <v>0.0</v>
      </c>
      <c r="W14" s="537">
        <f t="shared" si="14"/>
        <v>0.0</v>
      </c>
      <c r="X14" s="538">
        <f t="shared" si="15"/>
        <v>0.0</v>
      </c>
    </row>
    <row r="15" customHeight="1" ht="17.0">
      <c r="B15" s="535" t="s">
        <f>'2. Sources and Uses'!B15</f>
        <v>85</v>
      </c>
      <c r="C15" s="536">
        <f>'2. Sources and Uses'!C15</f>
        <v>0.0</v>
      </c>
      <c r="D15" s="536">
        <f>'2. Sources and Uses'!D15</f>
        <v>0.0</v>
      </c>
      <c r="E15" s="536">
        <f>'2. Sources and Uses'!E15</f>
        <v>0.0</v>
      </c>
      <c r="F15" s="536">
        <f>'2. Sources and Uses'!F15</f>
        <v>0.0</v>
      </c>
      <c r="G15" s="536">
        <f>'2. Sources and Uses'!G15</f>
        <v>0.0</v>
      </c>
      <c r="I15" s="535" t="s">
        <f t="shared" si="22"/>
        <v>85</v>
      </c>
      <c r="J15" s="537">
        <f t="shared" si="5"/>
        <v>0.0</v>
      </c>
      <c r="K15" s="537">
        <f t="shared" si="6"/>
        <v>0.0</v>
      </c>
      <c r="L15" s="538">
        <f t="shared" si="7"/>
        <v>0.0</v>
      </c>
      <c r="N15" s="535" t="s">
        <f t="shared" si="23"/>
        <v>85</v>
      </c>
      <c r="O15" s="537">
        <f t="shared" si="8"/>
        <v>0.0</v>
      </c>
      <c r="P15" s="537">
        <f t="shared" si="9"/>
        <v>0.0</v>
      </c>
      <c r="Q15" s="537">
        <f t="shared" si="10"/>
        <v>0.0</v>
      </c>
      <c r="R15" s="538">
        <f t="shared" si="11"/>
        <v>0.0</v>
      </c>
      <c r="T15" s="535" t="s">
        <f t="shared" si="24"/>
        <v>85</v>
      </c>
      <c r="U15" s="537">
        <f t="shared" si="12"/>
        <v>0.0</v>
      </c>
      <c r="V15" s="537">
        <f t="shared" si="13"/>
        <v>0.0</v>
      </c>
      <c r="W15" s="537">
        <f t="shared" si="14"/>
        <v>0.0</v>
      </c>
      <c r="X15" s="538">
        <f t="shared" si="15"/>
        <v>0.0</v>
      </c>
    </row>
    <row r="16" customHeight="1" ht="17.0">
      <c r="B16" s="535" t="s">
        <f>'2. Sources and Uses'!B16</f>
        <v>86</v>
      </c>
      <c r="C16" s="536">
        <f>'2. Sources and Uses'!C16</f>
        <v>0.0</v>
      </c>
      <c r="D16" s="536">
        <f>'2. Sources and Uses'!D16</f>
        <v>0.0</v>
      </c>
      <c r="E16" s="536">
        <f>'2. Sources and Uses'!E16</f>
        <v>0.0</v>
      </c>
      <c r="F16" s="536">
        <f>'2. Sources and Uses'!F16</f>
        <v>0.0</v>
      </c>
      <c r="G16" s="536">
        <f>'2. Sources and Uses'!G16</f>
        <v>0.0</v>
      </c>
      <c r="I16" s="535" t="s">
        <f t="shared" si="22"/>
        <v>86</v>
      </c>
      <c r="J16" s="537">
        <f t="shared" si="5"/>
        <v>0.0</v>
      </c>
      <c r="K16" s="537">
        <f t="shared" si="6"/>
        <v>0.0</v>
      </c>
      <c r="L16" s="538">
        <f t="shared" si="7"/>
        <v>0.0</v>
      </c>
      <c r="N16" s="535" t="s">
        <f t="shared" si="23"/>
        <v>86</v>
      </c>
      <c r="O16" s="537">
        <f t="shared" si="8"/>
        <v>0.0</v>
      </c>
      <c r="P16" s="537">
        <f t="shared" si="9"/>
        <v>0.0</v>
      </c>
      <c r="Q16" s="537">
        <f t="shared" si="10"/>
        <v>0.0</v>
      </c>
      <c r="R16" s="538">
        <f t="shared" si="11"/>
        <v>0.0</v>
      </c>
      <c r="T16" s="535" t="s">
        <f t="shared" si="24"/>
        <v>86</v>
      </c>
      <c r="U16" s="537">
        <f t="shared" si="12"/>
        <v>0.0</v>
      </c>
      <c r="V16" s="537">
        <f t="shared" si="13"/>
        <v>0.0</v>
      </c>
      <c r="W16" s="537">
        <f t="shared" si="14"/>
        <v>0.0</v>
      </c>
      <c r="X16" s="538">
        <f t="shared" si="15"/>
        <v>0.0</v>
      </c>
    </row>
    <row r="17" customHeight="1" ht="17.0">
      <c r="B17" s="535" t="s">
        <f>'2. Sources and Uses'!B17</f>
        <v>87</v>
      </c>
      <c r="C17" s="536">
        <f>'2. Sources and Uses'!C17</f>
        <v>0.0</v>
      </c>
      <c r="D17" s="536">
        <f>'2. Sources and Uses'!D17</f>
        <v>0.0</v>
      </c>
      <c r="E17" s="536">
        <f>'2. Sources and Uses'!E17</f>
        <v>0.0</v>
      </c>
      <c r="F17" s="536">
        <f>'2. Sources and Uses'!F17</f>
        <v>0.0</v>
      </c>
      <c r="G17" s="536">
        <f>'2. Sources and Uses'!G17</f>
        <v>0.0</v>
      </c>
      <c r="I17" s="535" t="s">
        <f t="shared" si="22"/>
        <v>87</v>
      </c>
      <c r="J17" s="537">
        <f t="shared" si="5"/>
        <v>0.0</v>
      </c>
      <c r="K17" s="537">
        <f t="shared" si="6"/>
        <v>0.0</v>
      </c>
      <c r="L17" s="538">
        <f t="shared" si="7"/>
        <v>0.0</v>
      </c>
      <c r="N17" s="535" t="s">
        <f t="shared" si="23"/>
        <v>87</v>
      </c>
      <c r="O17" s="537">
        <f t="shared" si="8"/>
        <v>0.0</v>
      </c>
      <c r="P17" s="537">
        <f t="shared" si="9"/>
        <v>0.0</v>
      </c>
      <c r="Q17" s="537">
        <f t="shared" si="10"/>
        <v>0.0</v>
      </c>
      <c r="R17" s="538">
        <f t="shared" si="11"/>
        <v>0.0</v>
      </c>
      <c r="T17" s="535" t="s">
        <f t="shared" si="24"/>
        <v>87</v>
      </c>
      <c r="U17" s="537">
        <f t="shared" si="12"/>
        <v>0.0</v>
      </c>
      <c r="V17" s="537">
        <f t="shared" si="13"/>
        <v>0.0</v>
      </c>
      <c r="W17" s="537">
        <f t="shared" si="14"/>
        <v>0.0</v>
      </c>
      <c r="X17" s="538">
        <f t="shared" si="15"/>
        <v>0.0</v>
      </c>
    </row>
    <row r="18" customHeight="1" ht="17.0">
      <c r="B18" s="535" t="s">
        <f>'2. Sources and Uses'!B18</f>
        <v>89</v>
      </c>
      <c r="C18" s="536">
        <f>'2. Sources and Uses'!C18</f>
        <v>0.0</v>
      </c>
      <c r="D18" s="536">
        <f>'2. Sources and Uses'!D18</f>
        <v>0.0</v>
      </c>
      <c r="E18" s="536">
        <f>'2. Sources and Uses'!E18</f>
        <v>0.0</v>
      </c>
      <c r="F18" s="536">
        <f>'2. Sources and Uses'!F18</f>
        <v>0.0</v>
      </c>
      <c r="G18" s="536">
        <f>'2. Sources and Uses'!G18</f>
        <v>0.0</v>
      </c>
      <c r="I18" s="535" t="s">
        <f t="shared" si="22"/>
        <v>89</v>
      </c>
      <c r="J18" s="537">
        <f t="shared" si="5"/>
        <v>0.0</v>
      </c>
      <c r="K18" s="537">
        <f t="shared" si="6"/>
        <v>0.0</v>
      </c>
      <c r="L18" s="538">
        <f t="shared" si="7"/>
        <v>0.0</v>
      </c>
      <c r="N18" s="535" t="s">
        <f t="shared" si="23"/>
        <v>89</v>
      </c>
      <c r="O18" s="537">
        <f t="shared" si="8"/>
        <v>0.0</v>
      </c>
      <c r="P18" s="537">
        <f t="shared" si="9"/>
        <v>0.0</v>
      </c>
      <c r="Q18" s="537">
        <f t="shared" si="10"/>
        <v>0.0</v>
      </c>
      <c r="R18" s="538">
        <f t="shared" si="11"/>
        <v>0.0</v>
      </c>
      <c r="T18" s="535" t="s">
        <f t="shared" si="24"/>
        <v>89</v>
      </c>
      <c r="U18" s="537">
        <f t="shared" si="12"/>
        <v>0.0</v>
      </c>
      <c r="V18" s="537">
        <f t="shared" si="13"/>
        <v>0.0</v>
      </c>
      <c r="W18" s="537">
        <f t="shared" si="14"/>
        <v>0.0</v>
      </c>
      <c r="X18" s="538">
        <f t="shared" si="15"/>
        <v>0.0</v>
      </c>
    </row>
    <row r="19" customHeight="1" ht="17.0">
      <c r="B19" s="535" t="s">
        <f>'2. Sources and Uses'!B19</f>
        <v>90</v>
      </c>
      <c r="C19" s="536">
        <f>'2. Sources and Uses'!C19</f>
        <v>0.0</v>
      </c>
      <c r="D19" s="536">
        <f>'2. Sources and Uses'!D19</f>
        <v>0.0</v>
      </c>
      <c r="E19" s="536">
        <f>'2. Sources and Uses'!E19</f>
        <v>0.0</v>
      </c>
      <c r="F19" s="536">
        <f>'2. Sources and Uses'!F19</f>
        <v>0.0</v>
      </c>
      <c r="G19" s="536">
        <f>'2. Sources and Uses'!G19</f>
        <v>0.0</v>
      </c>
      <c r="I19" s="535" t="s">
        <f t="shared" si="22"/>
        <v>90</v>
      </c>
      <c r="J19" s="537">
        <f t="shared" si="5"/>
        <v>0.0</v>
      </c>
      <c r="K19" s="537">
        <f t="shared" si="6"/>
        <v>0.0</v>
      </c>
      <c r="L19" s="538">
        <f t="shared" si="7"/>
        <v>0.0</v>
      </c>
      <c r="N19" s="535" t="s">
        <f t="shared" si="23"/>
        <v>90</v>
      </c>
      <c r="O19" s="537">
        <f t="shared" si="8"/>
        <v>0.0</v>
      </c>
      <c r="P19" s="537">
        <f t="shared" si="9"/>
        <v>0.0</v>
      </c>
      <c r="Q19" s="537">
        <f t="shared" si="10"/>
        <v>0.0</v>
      </c>
      <c r="R19" s="538">
        <f t="shared" si="11"/>
        <v>0.0</v>
      </c>
      <c r="T19" s="535" t="s">
        <f t="shared" si="24"/>
        <v>90</v>
      </c>
      <c r="U19" s="537">
        <f t="shared" si="12"/>
        <v>0.0</v>
      </c>
      <c r="V19" s="537">
        <f t="shared" si="13"/>
        <v>0.0</v>
      </c>
      <c r="W19" s="537">
        <f t="shared" si="14"/>
        <v>0.0</v>
      </c>
      <c r="X19" s="538">
        <f t="shared" si="15"/>
        <v>0.0</v>
      </c>
    </row>
    <row r="20" customHeight="1" ht="17.0">
      <c r="B20" s="535" t="s">
        <f>'2. Sources and Uses'!B20</f>
        <v>91</v>
      </c>
      <c r="C20" s="536">
        <f>'2. Sources and Uses'!C20</f>
        <v>0.0</v>
      </c>
      <c r="D20" s="536">
        <f>'2. Sources and Uses'!D20</f>
        <v>0.0</v>
      </c>
      <c r="E20" s="536">
        <f>'2. Sources and Uses'!E20</f>
        <v>0.0</v>
      </c>
      <c r="F20" s="536">
        <f>'2. Sources and Uses'!F20</f>
        <v>0.0</v>
      </c>
      <c r="G20" s="536">
        <f>'2. Sources and Uses'!G20</f>
        <v>0.0</v>
      </c>
      <c r="I20" s="535" t="s">
        <f t="shared" si="22"/>
        <v>91</v>
      </c>
      <c r="J20" s="537">
        <f t="shared" si="5"/>
        <v>0.0</v>
      </c>
      <c r="K20" s="537">
        <f t="shared" si="6"/>
        <v>0.0</v>
      </c>
      <c r="L20" s="538">
        <f t="shared" si="7"/>
        <v>0.0</v>
      </c>
      <c r="N20" s="535" t="s">
        <f t="shared" si="23"/>
        <v>91</v>
      </c>
      <c r="O20" s="537">
        <f t="shared" si="8"/>
        <v>0.0</v>
      </c>
      <c r="P20" s="537">
        <f t="shared" si="9"/>
        <v>0.0</v>
      </c>
      <c r="Q20" s="537">
        <f t="shared" si="10"/>
        <v>0.0</v>
      </c>
      <c r="R20" s="538">
        <f t="shared" si="11"/>
        <v>0.0</v>
      </c>
      <c r="T20" s="535" t="s">
        <f t="shared" si="24"/>
        <v>91</v>
      </c>
      <c r="U20" s="537">
        <f t="shared" si="12"/>
        <v>0.0</v>
      </c>
      <c r="V20" s="537">
        <f t="shared" si="13"/>
        <v>0.0</v>
      </c>
      <c r="W20" s="537">
        <f t="shared" si="14"/>
        <v>0.0</v>
      </c>
      <c r="X20" s="538">
        <f t="shared" si="15"/>
        <v>0.0</v>
      </c>
    </row>
    <row r="21" customHeight="1" ht="17.0">
      <c r="B21" s="535" t="s">
        <f>'2. Sources and Uses'!B21</f>
        <v>92</v>
      </c>
      <c r="C21" s="536">
        <f>'2. Sources and Uses'!C21</f>
        <v>0.0</v>
      </c>
      <c r="D21" s="536">
        <f>'2. Sources and Uses'!D21</f>
        <v>0.0</v>
      </c>
      <c r="E21" s="536">
        <f>'2. Sources and Uses'!E21</f>
      </c>
      <c r="F21" s="536">
        <f>'2. Sources and Uses'!F21</f>
      </c>
      <c r="G21" s="536">
        <f>'2. Sources and Uses'!G21</f>
        <v>0.0</v>
      </c>
      <c r="I21" s="535" t="s">
        <f t="shared" si="22"/>
        <v>92</v>
      </c>
      <c r="J21" s="537">
        <f t="shared" si="5"/>
        <v>0.0</v>
      </c>
      <c r="K21" s="537">
        <f t="shared" si="6"/>
        <v>0.0</v>
      </c>
      <c r="L21" s="538">
        <f t="shared" si="7"/>
        <v>0.0</v>
      </c>
      <c r="N21" s="535" t="s">
        <f t="shared" si="23"/>
        <v>92</v>
      </c>
      <c r="O21" s="537">
        <f t="shared" si="8"/>
        <v>0.0</v>
      </c>
      <c r="P21" s="537">
        <f t="shared" si="9"/>
        <v>0.0</v>
      </c>
      <c r="Q21" s="537">
        <f t="shared" si="10"/>
      </c>
      <c r="R21" s="538">
        <f t="shared" si="11"/>
        <v>0.0</v>
      </c>
      <c r="T21" s="535" t="s">
        <f t="shared" si="24"/>
        <v>92</v>
      </c>
      <c r="U21" s="537">
        <f t="shared" si="12"/>
        <v>0.0</v>
      </c>
      <c r="V21" s="537">
        <f t="shared" si="13"/>
        <v>0.0</v>
      </c>
      <c r="W21" s="537">
        <f t="shared" si="14"/>
      </c>
      <c r="X21" s="538">
        <f t="shared" si="15"/>
        <v>0.0</v>
      </c>
    </row>
    <row r="22" customHeight="1" ht="17.0">
      <c r="B22" s="539" t="s">
        <v>354</v>
      </c>
      <c r="C22" s="540">
        <f>'2. Sources and Uses'!C22</f>
        <v>0.0</v>
      </c>
      <c r="D22" s="540">
        <f>'2. Sources and Uses'!D22</f>
        <v>0.0</v>
      </c>
      <c r="E22" s="540">
        <f>'2. Sources and Uses'!E22</f>
        <v>0.0</v>
      </c>
      <c r="F22" s="540">
        <f>'2. Sources and Uses'!F22</f>
        <v>0.0</v>
      </c>
      <c r="G22" s="540">
        <f>'2. Sources and Uses'!G22</f>
        <v>0.0</v>
      </c>
      <c r="I22" s="539" t="s">
        <f t="shared" si="22"/>
        <v>354</v>
      </c>
      <c r="J22" s="541">
        <f t="shared" si="5"/>
        <v>0.0</v>
      </c>
      <c r="K22" s="541">
        <f t="shared" si="6"/>
        <v>0.0</v>
      </c>
      <c r="L22" s="542">
        <f t="shared" si="7"/>
        <v>0.0</v>
      </c>
      <c r="N22" s="539" t="s">
        <f t="shared" si="23"/>
        <v>354</v>
      </c>
      <c r="O22" s="541">
        <f t="shared" si="8"/>
        <v>0.0</v>
      </c>
      <c r="P22" s="541">
        <f t="shared" si="9"/>
        <v>0.0</v>
      </c>
      <c r="Q22" s="541">
        <f t="shared" si="10"/>
        <v>0.0</v>
      </c>
      <c r="R22" s="542">
        <f t="shared" si="11"/>
        <v>0.0</v>
      </c>
      <c r="T22" s="539" t="s">
        <f t="shared" si="24"/>
        <v>354</v>
      </c>
      <c r="U22" s="541">
        <f t="shared" si="12"/>
        <v>0.0</v>
      </c>
      <c r="V22" s="541">
        <f t="shared" si="13"/>
        <v>0.0</v>
      </c>
      <c r="W22" s="541">
        <f t="shared" si="14"/>
        <v>0.0</v>
      </c>
      <c r="X22" s="542">
        <f t="shared" si="15"/>
        <v>0.0</v>
      </c>
    </row>
    <row r="23" customHeight="1" ht="17.0">
      <c r="B23" s="543" t="s">
        <v>355</v>
      </c>
      <c r="C23" s="544">
        <f>'2. Sources and Uses'!C23</f>
        <v>0.0</v>
      </c>
      <c r="D23" s="544">
        <f>'2. Sources and Uses'!D23</f>
        <v>0.0</v>
      </c>
      <c r="E23" s="544">
        <f>'2. Sources and Uses'!E23</f>
        <v>0.0</v>
      </c>
      <c r="F23" s="544">
        <f>'2. Sources and Uses'!F23</f>
        <v>0.0</v>
      </c>
      <c r="G23" s="544">
        <f>'2. Sources and Uses'!G23</f>
        <v>0.0</v>
      </c>
      <c r="I23" s="543" t="s">
        <f t="shared" si="22"/>
        <v>355</v>
      </c>
      <c r="J23" s="545">
        <f t="shared" si="5"/>
        <v>0.0</v>
      </c>
      <c r="K23" s="545">
        <f t="shared" si="6"/>
        <v>0.0</v>
      </c>
      <c r="L23" s="546">
        <f t="shared" si="7"/>
        <v>0.0</v>
      </c>
      <c r="N23" s="543" t="s">
        <f t="shared" si="23"/>
        <v>355</v>
      </c>
      <c r="O23" s="545">
        <f t="shared" si="8"/>
        <v>0.0</v>
      </c>
      <c r="P23" s="545">
        <f t="shared" si="9"/>
        <v>0.0</v>
      </c>
      <c r="Q23" s="545">
        <f t="shared" si="10"/>
        <v>0.0</v>
      </c>
      <c r="R23" s="546">
        <f t="shared" si="11"/>
        <v>0.0</v>
      </c>
      <c r="T23" s="543" t="s">
        <f t="shared" si="24"/>
        <v>355</v>
      </c>
      <c r="U23" s="545">
        <f t="shared" si="12"/>
        <v>0.0</v>
      </c>
      <c r="V23" s="545">
        <f t="shared" si="13"/>
        <v>0.0</v>
      </c>
      <c r="W23" s="545">
        <f t="shared" si="14"/>
        <v>0.0</v>
      </c>
      <c r="X23" s="546">
        <f t="shared" si="15"/>
        <v>0.0</v>
      </c>
    </row>
    <row r="26" customHeight="1" ht="17.0">
      <c r="B26" s="522" t="s">
        <v>356</v>
      </c>
      <c r="C26" s="523"/>
      <c r="D26" s="523"/>
      <c r="E26" s="524"/>
    </row>
    <row r="27" customHeight="1" ht="17.0">
      <c r="B27" s="525" t="s">
        <v>357</v>
      </c>
      <c r="C27" s="526"/>
      <c r="D27" s="526"/>
      <c r="E27" s="527"/>
    </row>
    <row r="28" customHeight="1" ht="17.0">
      <c r="B28" s="547" t="s">
        <f>'2. Sources and Uses'!B39</f>
        <v>112</v>
      </c>
      <c r="C28" s="548">
        <f>'2. Sources and Uses'!C39</f>
        <v>2500.0</v>
      </c>
      <c r="D28" s="548">
        <f>'2. Sources and Uses'!D39</f>
        <v>1.0</v>
      </c>
      <c r="E28" s="548">
        <f>'2. Sources and Uses'!E39</f>
        <v>2500.0</v>
      </c>
    </row>
    <row r="29" customHeight="1" ht="17.0">
      <c r="B29" s="547" t="s">
        <f>'2. Sources and Uses'!B40</f>
        <v>113</v>
      </c>
      <c r="C29" s="548">
        <f>'2. Sources and Uses'!C40</f>
        <v>0.0</v>
      </c>
      <c r="D29" s="548">
        <f>'2. Sources and Uses'!D40</f>
        <v>0.0</v>
      </c>
      <c r="E29" s="548">
        <f>'2. Sources and Uses'!E40</f>
        <v>0.0</v>
      </c>
    </row>
    <row r="30" customHeight="1" ht="17.0">
      <c r="B30" s="547" t="s">
        <f>'2. Sources and Uses'!B41</f>
        <v>114</v>
      </c>
      <c r="C30" s="548">
        <f>'2. Sources and Uses'!C41</f>
        <v>0.0</v>
      </c>
      <c r="D30" s="548">
        <f>'2. Sources and Uses'!D41</f>
        <v>0.0</v>
      </c>
      <c r="E30" s="548">
        <f>'2. Sources and Uses'!E41</f>
        <v>0.0</v>
      </c>
    </row>
    <row r="31" customHeight="1" ht="17.0">
      <c r="B31" s="547" t="s">
        <f>'2. Sources and Uses'!B42</f>
        <v>115</v>
      </c>
      <c r="C31" s="548">
        <f>'2. Sources and Uses'!C42</f>
        <v>3000.0</v>
      </c>
      <c r="D31" s="548">
        <f>'2. Sources and Uses'!D42</f>
        <v>0.0</v>
      </c>
      <c r="E31" s="548">
        <f>'2. Sources and Uses'!E42</f>
        <v>0.0</v>
      </c>
    </row>
    <row r="32" customHeight="1" ht="17.0">
      <c r="B32" s="547" t="s">
        <f>'2. Sources and Uses'!B43</f>
        <v>116</v>
      </c>
      <c r="C32" s="548">
        <f>'2. Sources and Uses'!C43</f>
        <v>3500.0</v>
      </c>
      <c r="D32" s="548">
        <f>'2. Sources and Uses'!D43</f>
        <v>0.0</v>
      </c>
      <c r="E32" s="548">
        <f>'2. Sources and Uses'!E43</f>
        <v>0.0</v>
      </c>
    </row>
    <row r="33" customHeight="1" ht="17.0">
      <c r="B33" s="547" t="s">
        <f>'2. Sources and Uses'!B44</f>
        <v>117</v>
      </c>
      <c r="C33" s="548">
        <f>'2. Sources and Uses'!C44</f>
        <v>0.0</v>
      </c>
      <c r="D33" s="548">
        <f>'2. Sources and Uses'!D44</f>
        <v>0.0</v>
      </c>
      <c r="E33" s="548">
        <f>'2. Sources and Uses'!E44</f>
        <v>0.0</v>
      </c>
    </row>
    <row r="34" customHeight="1" ht="17.0">
      <c r="B34" s="547" t="s">
        <f>'2. Sources and Uses'!B45</f>
        <v>118</v>
      </c>
      <c r="C34" s="548">
        <f>'2. Sources and Uses'!C45</f>
        <v>0.0</v>
      </c>
      <c r="D34" s="548">
        <f>'2. Sources and Uses'!D45</f>
        <v>0.0</v>
      </c>
      <c r="E34" s="548">
        <f>'2. Sources and Uses'!E45</f>
        <v>0.0</v>
      </c>
    </row>
    <row r="35" customHeight="1" ht="17.0">
      <c r="B35" s="547" t="s">
        <f>'2. Sources and Uses'!B46</f>
        <v>119</v>
      </c>
      <c r="C35" s="548">
        <f>'2. Sources and Uses'!C46</f>
        <v>350.0</v>
      </c>
      <c r="D35" s="548">
        <f>'2. Sources and Uses'!D46</f>
        <v>0.0</v>
      </c>
      <c r="E35" s="548">
        <f>'2. Sources and Uses'!E46</f>
        <v>0.0</v>
      </c>
    </row>
    <row r="36" customHeight="1" ht="17.0">
      <c r="B36" s="547" t="s">
        <f>'2. Sources and Uses'!B47</f>
        <v>120</v>
      </c>
      <c r="C36" s="548">
        <f>'2. Sources and Uses'!C47</f>
        <v>2500.0</v>
      </c>
      <c r="D36" s="548">
        <f>'2. Sources and Uses'!D47</f>
        <v>0.0</v>
      </c>
      <c r="E36" s="548">
        <f>'2. Sources and Uses'!E47</f>
        <v>0.0</v>
      </c>
    </row>
    <row r="37" customHeight="1" ht="17.0">
      <c r="B37" s="547" t="s">
        <f>'2. Sources and Uses'!B48</f>
        <v>58</v>
      </c>
      <c r="C37" s="548">
        <f>'2. Sources and Uses'!C48</f>
        <v>2500.0</v>
      </c>
      <c r="D37" s="548">
        <f>'2. Sources and Uses'!D48</f>
        <v>0.0</v>
      </c>
      <c r="E37" s="548">
        <f>'2. Sources and Uses'!E48</f>
        <v>0.0</v>
      </c>
    </row>
    <row r="38" customHeight="1" ht="17.0">
      <c r="B38" s="547" t="s">
        <f>'2. Sources and Uses'!B49</f>
        <v>121</v>
      </c>
      <c r="C38" s="548">
        <f>'2. Sources and Uses'!C49</f>
        <v>0.0</v>
      </c>
      <c r="D38" s="548">
        <f>'2. Sources and Uses'!D49</f>
        <v>0.0</v>
      </c>
      <c r="E38" s="548">
        <f>'2. Sources and Uses'!E49</f>
        <v>0.0</v>
      </c>
    </row>
    <row r="39" customHeight="1" ht="17.0">
      <c r="B39" s="547" t="s">
        <f>'2. Sources and Uses'!B50</f>
        <v>122</v>
      </c>
      <c r="C39" s="548">
        <f>'2. Sources and Uses'!C50</f>
        <v>6000.0</v>
      </c>
      <c r="D39" s="548">
        <f>'2. Sources and Uses'!D50</f>
        <v>1.0</v>
      </c>
      <c r="E39" s="548">
        <f>'2. Sources and Uses'!E50</f>
        <v>6000.0</v>
      </c>
    </row>
    <row r="40" customHeight="1" ht="17.0">
      <c r="B40" s="547" t="s">
        <f>'2. Sources and Uses'!B51</f>
        <v>123</v>
      </c>
      <c r="C40" s="548">
        <f>'2. Sources and Uses'!C51</f>
        <v>0.0</v>
      </c>
      <c r="D40" s="548">
        <f>'2. Sources and Uses'!D51</f>
        <v>1.0</v>
      </c>
      <c r="E40" s="548">
        <f>'2. Sources and Uses'!E51</f>
        <v>0.0</v>
      </c>
    </row>
    <row r="41" customHeight="1" ht="17.0">
      <c r="B41" s="547" t="s">
        <f>'2. Sources and Uses'!B52</f>
        <v>124</v>
      </c>
      <c r="C41" s="548">
        <f>'2. Sources and Uses'!C52</f>
        <v>0.0</v>
      </c>
      <c r="D41" s="548">
        <f>'2. Sources and Uses'!D52</f>
        <v>1.0</v>
      </c>
      <c r="E41" s="548">
        <f>'2. Sources and Uses'!E52</f>
        <v>0.0</v>
      </c>
    </row>
    <row r="42" customHeight="1" ht="17.0">
      <c r="B42" s="547" t="s">
        <f>'2. Sources and Uses'!B53</f>
        <v>125</v>
      </c>
      <c r="C42" s="548">
        <f>'2. Sources and Uses'!C53</f>
        <v>700.0</v>
      </c>
      <c r="D42" s="548">
        <f>'2. Sources and Uses'!D53</f>
        <v>1.0</v>
      </c>
      <c r="E42" s="548">
        <f>'2. Sources and Uses'!E53</f>
        <v>700.0</v>
      </c>
    </row>
    <row r="43" customHeight="1" ht="17.0">
      <c r="B43" s="547" t="s">
        <f>'2. Sources and Uses'!B54</f>
        <v>126</v>
      </c>
      <c r="C43" s="548">
        <f>'2. Sources and Uses'!C54</f>
      </c>
      <c r="D43" s="548">
        <f>'2. Sources and Uses'!D54</f>
      </c>
      <c r="E43" s="548">
        <f>'2. Sources and Uses'!E54</f>
        <v>800.0</v>
      </c>
    </row>
    <row r="44" customHeight="1" ht="17.0">
      <c r="B44" s="549" t="s">
        <v>127</v>
      </c>
      <c r="C44" s="550"/>
      <c r="D44" s="550"/>
      <c r="E44" s="551">
        <f>'2. Sources and Uses'!E55</f>
        <v>10000.0</v>
      </c>
    </row>
    <row r="47" customHeight="1" ht="17.0">
      <c r="B47" s="522" t="s">
        <v>358</v>
      </c>
      <c r="C47" s="523"/>
      <c r="D47" s="523"/>
      <c r="E47" s="524"/>
    </row>
    <row r="48" customHeight="1" ht="17.0">
      <c r="B48" s="525"/>
      <c r="C48" s="526"/>
      <c r="D48" s="526"/>
      <c r="E48" s="527"/>
    </row>
    <row r="49" customHeight="1" ht="17.0">
      <c r="B49" s="552"/>
      <c r="C49" s="553" t="s">
        <f>'1. Project Structure'!C11</f>
        <v>38</v>
      </c>
      <c r="D49" s="553" t="s">
        <f>'1. Project Structure'!E11</f>
        <v>40</v>
      </c>
      <c r="E49" s="553" t="s">
        <f>'1. Project Structure'!F11</f>
        <v>41</v>
      </c>
    </row>
    <row r="50" customHeight="1" ht="17.0">
      <c r="B50" s="535" t="s">
        <v>148</v>
      </c>
      <c r="C50" s="536">
        <f>'1. Project Structure'!C13</f>
        <v>0.0</v>
      </c>
      <c r="D50" s="536">
        <f>'1. Project Structure'!E13</f>
        <v>0.0</v>
      </c>
      <c r="E50" s="554">
        <f>'1. Project Structure'!F13</f>
        <v>0.0</v>
      </c>
    </row>
    <row r="51" customHeight="1" ht="17.0">
      <c r="B51" s="535" t="s">
        <f>'1. Project Structure'!B14</f>
        <v>47</v>
      </c>
      <c r="C51" s="555">
        <f>'1. Project Structure'!C14</f>
        <v>0.075</v>
      </c>
      <c r="D51" s="555">
        <f>'1. Project Structure'!E14</f>
        <v>0.08</v>
      </c>
      <c r="E51" s="556">
        <f>'1. Project Structure'!F14</f>
        <v>0.0624</v>
      </c>
    </row>
    <row r="52" customHeight="1" ht="17.0">
      <c r="B52" s="535" t="s">
        <f>'1. Project Structure'!B15</f>
        <v>50</v>
      </c>
      <c r="C52" s="555">
        <f>'1. Project Structure'!C15</f>
        <v>0.015</v>
      </c>
      <c r="D52" s="555">
        <f>'1. Project Structure'!E15</f>
        <v>0.0</v>
      </c>
      <c r="E52" s="557">
        <f>'1. Project Structure'!F15</f>
        <v>0.0</v>
      </c>
    </row>
    <row r="53" customHeight="1" ht="17.0">
      <c r="B53" s="535" t="s">
        <f>'1. Project Structure'!B16</f>
        <v>52</v>
      </c>
      <c r="C53" s="555">
        <f>'1. Project Structure'!C16</f>
        <v>0.09</v>
      </c>
      <c r="D53" s="555">
        <f>'1. Project Structure'!E16</f>
        <v>0.08</v>
      </c>
      <c r="E53" s="557">
        <f>'1. Project Structure'!F16</f>
        <v>0.0624</v>
      </c>
    </row>
    <row r="54" customHeight="1" ht="17.0">
      <c r="B54" s="535" t="s">
        <v>359</v>
      </c>
      <c r="C54" s="558" t="s">
        <v>360</v>
      </c>
      <c r="D54" s="559" t="s">
        <v>361</v>
      </c>
      <c r="E54" s="560" t="s">
        <v>361</v>
      </c>
    </row>
    <row r="55" customHeight="1" ht="17.0">
      <c r="B55" s="535" t="s">
        <f>'1. Project Structure'!B18</f>
        <v>57</v>
      </c>
      <c r="C55" s="535">
        <f>'1. Project Structure'!C18</f>
        <v>10.0</v>
      </c>
      <c r="D55" s="535">
        <f>'1. Project Structure'!E18</f>
        <v>10.0</v>
      </c>
      <c r="E55" s="561">
        <f>'1. Project Structure'!F18</f>
        <v>25.0</v>
      </c>
    </row>
    <row r="56" customHeight="1" ht="17.0">
      <c r="B56" s="562" t="s">
        <f>'1. Project Structure'!B20</f>
        <v>63</v>
      </c>
      <c r="C56" s="562">
        <f>'1. Project Structure'!C20</f>
        <v>0.0</v>
      </c>
      <c r="D56" s="563">
        <f>'1. Project Structure'!E20</f>
        <v>0.0</v>
      </c>
      <c r="E56" s="564">
        <f>'1. Project Structure'!F20</f>
        <v>0.0</v>
      </c>
    </row>
    <row r="57" customHeight="1" ht="17.0">
      <c r="B57" s="565"/>
    </row>
    <row r="59" customHeight="1" ht="17.0">
      <c r="B59" s="566" t="s">
        <v>362</v>
      </c>
      <c r="C59" s="567"/>
      <c r="D59" s="568"/>
      <c r="E59" s="568"/>
    </row>
    <row r="60" customHeight="1" ht="17.0">
      <c r="B60" s="569" t="s">
        <v>363</v>
      </c>
      <c r="C60" s="570"/>
      <c r="D60" s="571"/>
      <c r="E60" s="571"/>
    </row>
    <row r="61" customHeight="1" ht="17.0">
      <c r="B61" s="552"/>
      <c r="C61" s="553" t="s">
        <v>364</v>
      </c>
      <c r="D61" s="572" t="s">
        <v>365</v>
      </c>
      <c r="E61" s="572" t="s">
        <v>366</v>
      </c>
    </row>
    <row r="62" customHeight="1" ht="17.0">
      <c r="B62" s="573" t="s">
        <f>'1. Project Structure'!C11</f>
        <v>38</v>
      </c>
      <c r="C62" s="536">
        <f>'1. Project Structure'!C33</f>
        <v>0.0</v>
      </c>
      <c r="D62" s="574">
        <f>'1. Project Structure'!C20</f>
        <v>0.0</v>
      </c>
      <c r="E62" s="575">
        <f>'1. Project Structure'!C16</f>
        <v>0.09</v>
      </c>
    </row>
    <row r="63" customHeight="1" ht="17.0">
      <c r="B63" s="576" t="s">
        <f>'1. Project Structure'!F11</f>
        <v>41</v>
      </c>
      <c r="C63" s="537">
        <f>'1. Project Structure'!F13</f>
        <v>0.0</v>
      </c>
      <c r="D63" s="574">
        <f>'1. Project Structure'!F20</f>
        <v>0.0</v>
      </c>
      <c r="E63" s="575">
        <f>'1. Project Structure'!F16</f>
        <v>0.0624</v>
      </c>
    </row>
    <row r="64" customHeight="1" ht="17.0">
      <c r="B64" s="577" t="s">
        <v>367</v>
      </c>
      <c r="C64" s="578">
        <f>'2. Sources and Uses'!E22+'2. Sources and Uses'!F65</f>
        <v>0.0</v>
      </c>
      <c r="D64" s="579">
        <f>'1. Project Structure'!C20+'1. Project Structure'!F20</f>
        <v>0.0</v>
      </c>
      <c r="E64" s="580" t="e">
        <f>(C62*E62+C63*E63)/C64</f>
        <v>#DIV/0!</v>
      </c>
    </row>
    <row r="67" customHeight="1" ht="17.0">
      <c r="B67" s="522" t="s">
        <v>324</v>
      </c>
      <c r="C67" s="523"/>
      <c r="D67" s="523"/>
      <c r="E67" s="523"/>
      <c r="F67" s="523"/>
      <c r="G67" s="523"/>
      <c r="H67" s="524"/>
    </row>
    <row r="68" customHeight="1" ht="17.0">
      <c r="B68" s="525"/>
      <c r="C68" s="526"/>
      <c r="D68" s="526"/>
      <c r="E68" s="526"/>
      <c r="F68" s="526"/>
      <c r="G68" s="526"/>
      <c r="H68" s="527"/>
    </row>
    <row r="69" ht="27.0">
      <c r="B69" s="581" t="s">
        <v>328</v>
      </c>
      <c r="C69" s="582"/>
      <c r="D69" s="583" t="s">
        <v>329</v>
      </c>
      <c r="E69" s="583" t="s">
        <v>330</v>
      </c>
      <c r="F69" s="583" t="s">
        <v>331</v>
      </c>
      <c r="G69" s="583" t="s">
        <v>332</v>
      </c>
      <c r="H69" s="584" t="s">
        <v>333</v>
      </c>
    </row>
    <row r="70" customHeight="1" ht="17.0">
      <c r="B70" s="585" t="s">
        <f>'5.Collateral'!E5</f>
        <v>335</v>
      </c>
      <c r="C70" s="586"/>
      <c r="D70" s="587">
        <f>'5.Collateral'!G5</f>
        <v>0.0</v>
      </c>
      <c r="E70" s="587">
        <f>'5.Collateral'!H5</f>
        <v>0.85</v>
      </c>
      <c r="F70" s="588">
        <f>'5.Collateral'!I5</f>
        <v>0.0</v>
      </c>
      <c r="G70" s="587">
        <f>'5.Collateral'!J5</f>
        <v>0.0</v>
      </c>
      <c r="H70" s="589">
        <f>'5.Collateral'!K5</f>
        <v>0.0</v>
      </c>
    </row>
    <row r="71" customHeight="1" ht="17.0">
      <c r="B71" s="585">
        <f>'5.Collateral'!E6</f>
      </c>
      <c r="C71" s="586"/>
      <c r="D71" s="587">
        <f>'5.Collateral'!G6</f>
        <v>0.0</v>
      </c>
      <c r="E71" s="587">
        <f>'5.Collateral'!H6</f>
        <v>0.85</v>
      </c>
      <c r="F71" s="588">
        <f>'5.Collateral'!I6</f>
        <v>0.0</v>
      </c>
      <c r="G71" s="587">
        <f>'5.Collateral'!J6</f>
        <v>0.0</v>
      </c>
      <c r="H71" s="589">
        <f>'5.Collateral'!K6</f>
        <v>0.0</v>
      </c>
    </row>
    <row r="72" customHeight="1" ht="17.0">
      <c r="B72" s="585">
        <f>'5.Collateral'!E7</f>
      </c>
      <c r="C72" s="586"/>
      <c r="D72" s="587">
        <f>'5.Collateral'!G7</f>
        <v>0.0</v>
      </c>
      <c r="E72" s="587">
        <f>'5.Collateral'!H7</f>
        <v>0.85</v>
      </c>
      <c r="F72" s="588">
        <f>'5.Collateral'!I7</f>
        <v>0.0</v>
      </c>
      <c r="G72" s="587">
        <f>'5.Collateral'!J7</f>
        <v>0.0</v>
      </c>
      <c r="H72" s="589">
        <f>'5.Collateral'!K7</f>
        <v>0.0</v>
      </c>
    </row>
    <row r="73" customHeight="1" ht="17.0">
      <c r="B73" s="585" t="s">
        <f>'5.Collateral'!E8</f>
        <v>338</v>
      </c>
      <c r="C73" s="586"/>
      <c r="D73" s="587">
        <f>'5.Collateral'!G8</f>
        <v>0.0</v>
      </c>
      <c r="E73" s="587">
        <f>'5.Collateral'!H8</f>
        <v>0.1</v>
      </c>
      <c r="F73" s="588">
        <f>'5.Collateral'!I8</f>
        <v>0.0</v>
      </c>
      <c r="G73" s="587">
        <f>'5.Collateral'!J8</f>
        <v>0.0</v>
      </c>
      <c r="H73" s="589">
        <f>'5.Collateral'!K8</f>
        <v>0.0</v>
      </c>
    </row>
    <row r="74" customHeight="1" ht="17.0">
      <c r="B74" s="585" t="s">
        <f>'5.Collateral'!E9</f>
        <v>338</v>
      </c>
      <c r="C74" s="586"/>
      <c r="D74" s="587">
        <f>'5.Collateral'!G9</f>
        <v>0.0</v>
      </c>
      <c r="E74" s="587">
        <f>'5.Collateral'!H9</f>
        <v>0.5</v>
      </c>
      <c r="F74" s="588">
        <f>'5.Collateral'!I9</f>
        <v>0.0</v>
      </c>
      <c r="G74" s="587">
        <f>'5.Collateral'!J9</f>
        <v>0.0</v>
      </c>
      <c r="H74" s="589">
        <f>'5.Collateral'!K9</f>
        <v>0.0</v>
      </c>
    </row>
    <row r="75" customHeight="1" ht="17.0">
      <c r="B75" s="585" t="s">
        <f>'5.Collateral'!E10</f>
        <v>338</v>
      </c>
      <c r="C75" s="586"/>
      <c r="D75" s="587">
        <f>'5.Collateral'!G10</f>
        <v>0.0</v>
      </c>
      <c r="E75" s="587">
        <f>'5.Collateral'!H10</f>
        <v>0.1</v>
      </c>
      <c r="F75" s="588">
        <f>'5.Collateral'!I10</f>
        <v>0.0</v>
      </c>
      <c r="G75" s="587">
        <f>'5.Collateral'!J10</f>
        <v>0.0</v>
      </c>
      <c r="H75" s="589">
        <f>'5.Collateral'!K10</f>
        <v>0.0</v>
      </c>
    </row>
    <row r="76" customHeight="1" ht="17.0">
      <c r="B76" s="585" t="s">
        <f>'5.Collateral'!E11</f>
        <v>338</v>
      </c>
      <c r="C76" s="586"/>
      <c r="D76" s="587">
        <f>'5.Collateral'!G11</f>
        <v>0.0</v>
      </c>
      <c r="E76" s="587">
        <f>'5.Collateral'!H11</f>
        <v>0.1</v>
      </c>
      <c r="F76" s="588">
        <f>'5.Collateral'!I11</f>
        <v>0.0</v>
      </c>
      <c r="G76" s="587">
        <f>'5.Collateral'!J11</f>
        <v>0.0</v>
      </c>
      <c r="H76" s="589">
        <f>'5.Collateral'!K11</f>
        <v>0.0</v>
      </c>
    </row>
    <row r="77" customHeight="1" ht="17.0">
      <c r="B77" s="585" t="s">
        <f>'5.Collateral'!E12</f>
        <v>338</v>
      </c>
      <c r="C77" s="586"/>
      <c r="D77" s="587">
        <f>'5.Collateral'!G12</f>
        <v>0.0</v>
      </c>
      <c r="E77" s="587">
        <f>'5.Collateral'!H12</f>
        <v>0.05</v>
      </c>
      <c r="F77" s="588">
        <f>'5.Collateral'!I12</f>
        <v>0.0</v>
      </c>
      <c r="G77" s="587">
        <f>'5.Collateral'!J12</f>
        <v>0.0</v>
      </c>
      <c r="H77" s="589">
        <f>'5.Collateral'!K12</f>
        <v>0.0</v>
      </c>
    </row>
    <row r="78" customHeight="1" ht="17.0">
      <c r="B78" s="585" t="s">
        <f>'5.Collateral'!E13</f>
        <v>338</v>
      </c>
      <c r="C78" s="586"/>
      <c r="D78" s="587">
        <f>'5.Collateral'!G13</f>
        <v>0.0</v>
      </c>
      <c r="E78" s="587">
        <f>'5.Collateral'!H13</f>
        <v>0.0</v>
      </c>
      <c r="F78" s="588">
        <f>'5.Collateral'!I13</f>
        <v>0.0</v>
      </c>
      <c r="G78" s="587">
        <f>'5.Collateral'!J13</f>
        <v>0.0</v>
      </c>
      <c r="H78" s="589">
        <f>'5.Collateral'!K13</f>
        <v>0.0</v>
      </c>
    </row>
    <row r="79" customHeight="1" ht="17.0">
      <c r="B79" s="590"/>
      <c r="C79" s="591" t="s">
        <v>342</v>
      </c>
      <c r="D79" s="592">
        <f>'5.Collateral'!G14</f>
      </c>
      <c r="E79" s="593"/>
      <c r="F79" s="594">
        <f>'5.Collateral'!I14</f>
        <v>0.0</v>
      </c>
      <c r="G79" s="592">
        <f>'5.Collateral'!J14</f>
        <v>0.0</v>
      </c>
      <c r="H79" s="595">
        <f>'5.Collateral'!K14</f>
        <v>0.0</v>
      </c>
    </row>
    <row r="80" customHeight="1" ht="17.0">
      <c r="B80" s="596"/>
      <c r="C80" s="597"/>
      <c r="D80" s="598"/>
      <c r="E80" s="599"/>
      <c r="F80" s="599"/>
      <c r="G80" s="599"/>
      <c r="H80" s="600"/>
    </row>
    <row r="81" customHeight="1" ht="17.0">
      <c r="B81" s="601" t="s">
        <v>343</v>
      </c>
      <c r="C81" s="602"/>
      <c r="D81" s="603">
        <f>'5.Collateral'!G16</f>
        <v>0.0</v>
      </c>
      <c r="E81" s="604" t="s">
        <v>344</v>
      </c>
      <c r="F81" s="597"/>
      <c r="G81" s="605" t="s">
        <v>344</v>
      </c>
      <c r="H81" s="606">
        <f>'5.Collateral'!K16</f>
        <v>0.0</v>
      </c>
    </row>
    <row r="82" customHeight="1" ht="17.0">
      <c r="B82" s="607" t="s">
        <v>346</v>
      </c>
      <c r="C82" s="608"/>
      <c r="D82" s="609">
        <f>'5.Collateral'!G17</f>
        <v>0.0</v>
      </c>
      <c r="E82" s="610" t="s">
        <v>347</v>
      </c>
      <c r="F82" s="611"/>
      <c r="G82" s="612" t="s">
        <v>347</v>
      </c>
      <c r="H82" s="606">
        <f>'5.Collateral'!K17</f>
        <v>0.0</v>
      </c>
    </row>
    <row r="85" customHeight="1" ht="17.0">
      <c r="B85" s="522" t="s">
        <v>368</v>
      </c>
      <c r="C85" s="524"/>
    </row>
    <row r="86" customHeight="1" ht="17.0">
      <c r="B86" s="525"/>
      <c r="C86" s="527"/>
    </row>
    <row r="87" customHeight="1" ht="17.0">
      <c r="B87" s="613" t="s">
        <f>'4. PFS '!B74</f>
        <v>306</v>
      </c>
      <c r="C87" s="614">
        <f>'4. PFS '!C74</f>
        <v>0.0</v>
      </c>
    </row>
    <row r="88" customHeight="1" ht="17.0">
      <c r="B88" s="613" t="s">
        <f>'4. PFS '!B75</f>
        <v>308</v>
      </c>
      <c r="C88" s="614">
        <f>'4. PFS '!C75</f>
        <v>0.0</v>
      </c>
    </row>
    <row r="89" customHeight="1" ht="17.0">
      <c r="B89" s="613" t="s">
        <f>'4. PFS '!B76</f>
        <v>310</v>
      </c>
      <c r="C89" s="614">
        <f>'4. PFS '!C76</f>
        <v>0.0</v>
      </c>
    </row>
    <row r="90" customHeight="1" ht="17.0">
      <c r="B90" s="613" t="s">
        <f>'4. PFS '!B77</f>
        <v>312</v>
      </c>
      <c r="C90" s="614">
        <f>'4. PFS '!C77</f>
        <v>0.0</v>
      </c>
    </row>
    <row r="91" customHeight="1" ht="17.0">
      <c r="B91" s="613" t="s">
        <f>'4. PFS '!B78</f>
        <v>314</v>
      </c>
      <c r="C91" s="614">
        <f>'4. PFS '!C78</f>
        <v>0.0</v>
      </c>
    </row>
    <row r="92" customHeight="1" ht="17.0">
      <c r="B92" s="613" t="s">
        <f>'4. PFS '!F74</f>
        <v>307</v>
      </c>
      <c r="C92" s="615">
        <f>'4. PFS '!G74</f>
        <v>0.0</v>
      </c>
    </row>
    <row r="93" customHeight="1" ht="17.0">
      <c r="B93" s="613" t="s">
        <f>'4. PFS '!F75</f>
        <v>309</v>
      </c>
      <c r="C93" s="615">
        <f>'4. PFS '!G75</f>
        <v>0.0</v>
      </c>
    </row>
    <row r="94" customHeight="1" ht="17.0">
      <c r="B94" s="613" t="s">
        <f>'4. PFS '!F76</f>
        <v>311</v>
      </c>
      <c r="C94" s="615">
        <f>'4. PFS '!G76</f>
        <v>0.0</v>
      </c>
    </row>
    <row r="95" customHeight="1" ht="17.0">
      <c r="B95" s="613" t="s">
        <f>'4. PFS '!F77</f>
        <v>313</v>
      </c>
      <c r="C95" s="615">
        <f>'4. PFS '!G77</f>
        <v>0.0</v>
      </c>
    </row>
    <row r="96" customHeight="1" ht="17.0">
      <c r="B96" s="613" t="s">
        <f>'4. PFS '!F78</f>
        <v>315</v>
      </c>
      <c r="C96" s="615">
        <f>'4. PFS '!G78</f>
        <v>0.0</v>
      </c>
    </row>
    <row r="97" customHeight="1" ht="17.0">
      <c r="B97" s="613" t="s">
        <f>'4. PFS '!C85</f>
        <v>321</v>
      </c>
      <c r="C97" s="616">
        <f>'4. PFS '!D85</f>
        <v>0.0</v>
      </c>
    </row>
    <row r="98" customHeight="1" ht="17.0">
      <c r="B98" s="617" t="s">
        <f>'4. PFS '!E85</f>
        <v>322</v>
      </c>
      <c r="C98" s="618">
        <f>'4. PFS '!F85</f>
        <v>0.0</v>
      </c>
    </row>
    <row r="99" customHeight="1" ht="17.0">
      <c r="B99" s="619" t="s">
        <v>369</v>
      </c>
      <c r="C99" s="620">
        <f>'4. PFS '!H85</f>
        <v>0.0</v>
      </c>
    </row>
    <row r="102" customHeight="1" ht="17.0">
      <c r="B102" s="522" t="s">
        <v>370</v>
      </c>
      <c r="C102" s="523"/>
      <c r="D102" s="523"/>
      <c r="E102" s="523"/>
      <c r="F102" s="524"/>
      <c r="G102" s="522"/>
      <c r="H102" s="523"/>
    </row>
    <row r="103" customHeight="1" ht="17.0">
      <c r="B103" s="525"/>
      <c r="C103" s="526"/>
      <c r="D103" s="526"/>
      <c r="E103" s="526"/>
      <c r="F103" s="527"/>
      <c r="G103" s="621"/>
      <c r="H103" s="622"/>
    </row>
    <row r="104" customHeight="1" ht="17.0">
      <c r="B104" s="623" t="s">
        <f>'3. Financials'!B4</f>
        <v>175</v>
      </c>
      <c r="C104" s="624"/>
      <c r="D104" s="624"/>
      <c r="E104" s="624"/>
      <c r="F104" s="625"/>
      <c r="G104" s="626" t="s">
        <v>179</v>
      </c>
      <c r="H104" s="627"/>
    </row>
    <row r="105" customHeight="1" ht="17.0">
      <c r="B105" s="628"/>
      <c r="C105" s="629"/>
      <c r="D105" s="629"/>
      <c r="E105" s="629"/>
      <c r="F105" s="630"/>
      <c r="G105" s="631"/>
      <c r="H105" s="632"/>
    </row>
    <row r="106" customHeight="1" ht="17.0">
      <c r="B106" s="601"/>
      <c r="C106" s="633">
        <f>'3. Financials'!D6</f>
        <v>44926.0</v>
      </c>
      <c r="D106" s="633">
        <f>'3. Financials'!F6</f>
        <v>45291.0</v>
      </c>
      <c r="E106" s="633">
        <f>'3. Financials'!H6</f>
        <v>45657.0</v>
      </c>
      <c r="F106" s="634">
        <f>'3. Financials'!J6</f>
        <v>45747.0</v>
      </c>
      <c r="G106" s="635" t="s">
        <v>371</v>
      </c>
      <c r="H106" s="634" t="s">
        <v>372</v>
      </c>
    </row>
    <row r="107" customHeight="1" ht="17.0">
      <c r="B107" s="636"/>
      <c r="C107" s="637"/>
      <c r="D107" s="637"/>
      <c r="E107" s="637"/>
      <c r="F107" s="638">
        <f>'3. Financials'!J10</f>
      </c>
      <c r="G107" s="639"/>
      <c r="H107" s="640"/>
    </row>
    <row r="108" customHeight="1" ht="17.0">
      <c r="B108" s="601" t="s">
        <f>'3. Financials'!C14</f>
        <v>195</v>
      </c>
      <c r="C108" s="641">
        <f>'3. Financials'!D14</f>
        <v>0.0</v>
      </c>
      <c r="D108" s="641">
        <f>'3. Financials'!F14</f>
        <v>0.0</v>
      </c>
      <c r="E108" s="641">
        <f>'3. Financials'!H14</f>
        <v>0.0</v>
      </c>
      <c r="F108" s="642">
        <f>'3. Financials'!J14</f>
        <v>0.0</v>
      </c>
      <c r="G108" s="643">
        <f>'3. Financials'!N14</f>
        <v>0.0</v>
      </c>
      <c r="H108" s="642">
        <f>'3. Financials'!P14</f>
        <v>0.0</v>
      </c>
    </row>
    <row r="109" customHeight="1" ht="17.0">
      <c r="B109" s="601" t="s">
        <f>'3. Financials'!C15</f>
        <v>196</v>
      </c>
      <c r="C109" s="644">
        <f>'3. Financials'!D15</f>
        <v>0.0</v>
      </c>
      <c r="D109" s="644">
        <f>'3. Financials'!F15</f>
        <v>0.0</v>
      </c>
      <c r="E109" s="644">
        <f>'3. Financials'!H15</f>
        <v>0.0</v>
      </c>
      <c r="F109" s="645">
        <f>'3. Financials'!J15</f>
        <v>0.0</v>
      </c>
      <c r="G109" s="646">
        <f>'3. Financials'!N15</f>
        <v>0.0</v>
      </c>
      <c r="H109" s="645">
        <f>'3. Financials'!P15</f>
        <v>0.0</v>
      </c>
    </row>
    <row r="110" customHeight="1" ht="17.0">
      <c r="B110" s="601" t="s">
        <f>'3. Financials'!C16</f>
        <v>197</v>
      </c>
      <c r="C110" s="647">
        <f>'3. Financials'!D16</f>
        <v>0.0</v>
      </c>
      <c r="D110" s="647">
        <f>'3. Financials'!F16</f>
        <v>0.0</v>
      </c>
      <c r="E110" s="647">
        <f>'3. Financials'!H16</f>
        <v>0.0</v>
      </c>
      <c r="F110" s="648">
        <f>'3. Financials'!J16</f>
        <v>0.0</v>
      </c>
      <c r="G110" s="649">
        <f>'3. Financials'!N16</f>
        <v>0.0</v>
      </c>
      <c r="H110" s="648">
        <f>'3. Financials'!P16</f>
        <v>0.0</v>
      </c>
    </row>
    <row r="111" customHeight="1" ht="17.0">
      <c r="B111" s="601" t="s">
        <f>'3. Financials'!C30</f>
        <v>209</v>
      </c>
      <c r="C111" s="650">
        <f>'3. Financials'!D30</f>
        <v>0.0</v>
      </c>
      <c r="D111" s="650">
        <f>'3. Financials'!F30</f>
        <v>0.0</v>
      </c>
      <c r="E111" s="650">
        <f>'3. Financials'!H30</f>
        <v>0.0</v>
      </c>
      <c r="F111" s="651">
        <f>'3. Financials'!J30</f>
        <v>0.0</v>
      </c>
      <c r="G111" s="652">
        <f>'3. Financials'!N30</f>
        <v>0.0</v>
      </c>
      <c r="H111" s="651">
        <f>'3. Financials'!P30</f>
        <v>0.0</v>
      </c>
    </row>
    <row r="112" customHeight="1" ht="17.0">
      <c r="B112" s="653" t="s">
        <f>'3. Financials'!C32</f>
        <v>210</v>
      </c>
      <c r="C112" s="654">
        <f>'3. Financials'!D32</f>
        <v>0.0</v>
      </c>
      <c r="D112" s="654">
        <f>'3. Financials'!F32</f>
        <v>0.0</v>
      </c>
      <c r="E112" s="654">
        <f>'3. Financials'!H32</f>
        <v>0.0</v>
      </c>
      <c r="F112" s="655">
        <f>'3. Financials'!J32</f>
        <v>0.0</v>
      </c>
      <c r="G112" s="656">
        <f>'3. Financials'!N32</f>
        <v>0.0</v>
      </c>
      <c r="H112" s="655">
        <f>'3. Financials'!P32</f>
        <v>0.0</v>
      </c>
    </row>
    <row r="113" customHeight="1" ht="17.0">
      <c r="B113" s="601" t="s">
        <f>'3. Financials'!C38</f>
        <v>214</v>
      </c>
      <c r="C113" s="650">
        <f>'3. Financials'!D38</f>
        <v>0.0</v>
      </c>
      <c r="D113" s="650">
        <f>'3. Financials'!F38</f>
        <v>0.0</v>
      </c>
      <c r="E113" s="650">
        <f>'3. Financials'!H38</f>
        <v>0.0</v>
      </c>
      <c r="F113" s="651">
        <f>'3. Financials'!J38</f>
        <v>0.0</v>
      </c>
      <c r="G113" s="652">
        <f>'3. Financials'!N38</f>
        <v>0.0</v>
      </c>
      <c r="H113" s="651">
        <f>'3. Financials'!P38</f>
        <v>0.0</v>
      </c>
    </row>
    <row r="114" customHeight="1" ht="17.0">
      <c r="B114" s="601" t="s">
        <f>'3. Financials'!C40</f>
        <v>215</v>
      </c>
      <c r="C114" s="647">
        <f>'3. Financials'!D40</f>
        <v>0.0</v>
      </c>
      <c r="D114" s="647">
        <f>'3. Financials'!F40</f>
        <v>0.0</v>
      </c>
      <c r="E114" s="647">
        <f>'3. Financials'!H40</f>
        <v>0.0</v>
      </c>
      <c r="F114" s="648">
        <f>'3. Financials'!J40</f>
        <v>0.0</v>
      </c>
      <c r="G114" s="649">
        <f>'3. Financials'!N40</f>
        <v>0.0</v>
      </c>
      <c r="H114" s="648">
        <f>'3. Financials'!P40</f>
        <v>0.0</v>
      </c>
    </row>
    <row r="115" customHeight="1" ht="17.0">
      <c r="B115" s="601" t="s">
        <f>'3. Financials'!C41</f>
        <v>216</v>
      </c>
      <c r="C115" s="647">
        <f>'3. Financials'!D41</f>
        <v>0.0</v>
      </c>
      <c r="D115" s="647">
        <f>'3. Financials'!F41</f>
        <v>0.0</v>
      </c>
      <c r="E115" s="647">
        <f>'3. Financials'!H41</f>
        <v>0.0</v>
      </c>
      <c r="F115" s="648">
        <f>'3. Financials'!J41</f>
        <v>0.0</v>
      </c>
      <c r="G115" s="649">
        <f>'3. Financials'!N41</f>
        <v>0.0</v>
      </c>
      <c r="H115" s="648">
        <f>'3. Financials'!P41</f>
        <v>0.0</v>
      </c>
    </row>
    <row r="116" customHeight="1" ht="17.0">
      <c r="B116" s="653" t="s">
        <f>'3. Financials'!C43</f>
        <v>217</v>
      </c>
      <c r="C116" s="654">
        <f>'3. Financials'!D43</f>
        <v>0.0</v>
      </c>
      <c r="D116" s="654">
        <f>'3. Financials'!F43</f>
        <v>0.0</v>
      </c>
      <c r="E116" s="654">
        <f>'3. Financials'!H43</f>
        <v>0.0</v>
      </c>
      <c r="F116" s="655">
        <f>'3. Financials'!J43</f>
        <v>0.0</v>
      </c>
      <c r="G116" s="656">
        <f>'3. Financials'!N43</f>
        <v>0.0</v>
      </c>
      <c r="H116" s="655">
        <f>'3. Financials'!P43</f>
        <v>0.0</v>
      </c>
    </row>
    <row r="117" customHeight="1" ht="17.0">
      <c r="B117" s="601"/>
      <c r="C117" s="657"/>
      <c r="D117" s="657"/>
      <c r="E117" s="657"/>
      <c r="F117" s="658"/>
      <c r="G117" s="659"/>
      <c r="H117" s="660"/>
    </row>
    <row r="118" customHeight="1" ht="17.0">
      <c r="B118" s="661" t="s">
        <v>218</v>
      </c>
      <c r="C118" s="629"/>
      <c r="D118" s="629"/>
      <c r="E118" s="629"/>
      <c r="F118" s="630"/>
      <c r="G118" s="662"/>
      <c r="H118" s="663"/>
    </row>
    <row r="119" customHeight="1" ht="17.0">
      <c r="B119" s="664" t="s">
        <f>'3. Financials'!C46</f>
        <v>219</v>
      </c>
      <c r="C119" s="641">
        <f>'3. Financials'!D46</f>
        <v>0.0</v>
      </c>
      <c r="D119" s="641">
        <f>'3. Financials'!F46</f>
        <v>0.0</v>
      </c>
      <c r="E119" s="641">
        <f>'3. Financials'!H46</f>
        <v>0.0</v>
      </c>
      <c r="F119" s="642">
        <f>'3. Financials'!J46</f>
        <v>0.0</v>
      </c>
      <c r="G119" s="643">
        <f>'3. Financials'!N46</f>
        <v>0.0</v>
      </c>
      <c r="H119" s="642">
        <f>'3. Financials'!P46</f>
        <v>0.0</v>
      </c>
    </row>
    <row r="120" customHeight="1" ht="17.0">
      <c r="B120" s="665" t="s">
        <f>'3. Financials'!C47</f>
        <v>220</v>
      </c>
      <c r="C120" s="666">
        <f>'3. Financials'!D47</f>
        <v>0.0</v>
      </c>
      <c r="D120" s="666">
        <f>'3. Financials'!F47</f>
        <v>0.0</v>
      </c>
      <c r="E120" s="666">
        <f>'3. Financials'!H47</f>
        <v>0.0</v>
      </c>
      <c r="F120" s="667">
        <f>'3. Financials'!J47</f>
        <v>0.0</v>
      </c>
      <c r="G120" s="668">
        <f>'3. Financials'!N47</f>
        <v>0.0</v>
      </c>
      <c r="H120" s="667">
        <f>'3. Financials'!P47</f>
        <v>0.0</v>
      </c>
    </row>
    <row r="121" customHeight="1" ht="17.0">
      <c r="B121" s="665" t="s">
        <f>'3. Financials'!C48</f>
        <v>221</v>
      </c>
      <c r="C121" s="666">
        <f>'3. Financials'!D48</f>
        <v>0.0</v>
      </c>
      <c r="D121" s="666">
        <f>'3. Financials'!F48</f>
        <v>0.0</v>
      </c>
      <c r="E121" s="666">
        <f>'3. Financials'!H48</f>
        <v>0.0</v>
      </c>
      <c r="F121" s="667">
        <f>'3. Financials'!J48</f>
        <v>0.0</v>
      </c>
      <c r="G121" s="668">
        <f>'3. Financials'!N48</f>
        <v>0.0</v>
      </c>
      <c r="H121" s="667">
        <f>'3. Financials'!P48</f>
        <v>0.0</v>
      </c>
    </row>
    <row r="122" customHeight="1" ht="17.0">
      <c r="B122" s="665" t="s">
        <f>'3. Financials'!C49</f>
        <v>222</v>
      </c>
      <c r="C122" s="666">
        <f>'3. Financials'!D49</f>
        <v>0.0</v>
      </c>
      <c r="D122" s="666">
        <f>'3. Financials'!F49</f>
        <v>0.0</v>
      </c>
      <c r="E122" s="666">
        <f>'3. Financials'!H49</f>
        <v>0.0</v>
      </c>
      <c r="F122" s="667">
        <f>'3. Financials'!J49</f>
        <v>0.0</v>
      </c>
      <c r="G122" s="668">
        <f>'3. Financials'!N49</f>
        <v>0.0</v>
      </c>
      <c r="H122" s="667">
        <f>'3. Financials'!P49</f>
        <v>0.0</v>
      </c>
    </row>
    <row r="123" customHeight="1" ht="17.0">
      <c r="B123" s="669" t="s">
        <f>'3. Financials'!C50</f>
        <v>223</v>
      </c>
      <c r="C123" s="666">
        <f>'3. Financials'!D50</f>
        <v>0.0</v>
      </c>
      <c r="D123" s="666">
        <f>'3. Financials'!F50</f>
        <v>0.0</v>
      </c>
      <c r="E123" s="666">
        <f>'3. Financials'!H50</f>
        <v>0.0</v>
      </c>
      <c r="F123" s="667">
        <f>'3. Financials'!J50</f>
        <v>0.0</v>
      </c>
      <c r="G123" s="668">
        <f>'3. Financials'!N50</f>
        <v>0.0</v>
      </c>
      <c r="H123" s="667">
        <f>'3. Financials'!P50</f>
        <v>0.0</v>
      </c>
    </row>
    <row r="124" customHeight="1" ht="17.0">
      <c r="B124" s="669" t="s">
        <f>'3. Financials'!C51</f>
        <v>223</v>
      </c>
      <c r="C124" s="666">
        <f>'3. Financials'!D51</f>
        <v>0.0</v>
      </c>
      <c r="D124" s="666">
        <f>'3. Financials'!F51</f>
        <v>0.0</v>
      </c>
      <c r="E124" s="666">
        <f>'3. Financials'!H51</f>
        <v>0.0</v>
      </c>
      <c r="F124" s="667">
        <f>'3. Financials'!J51</f>
        <v>0.0</v>
      </c>
      <c r="G124" s="668">
        <f>'3. Financials'!N51</f>
        <v>0.0</v>
      </c>
      <c r="H124" s="667">
        <f>'3. Financials'!P51</f>
        <v>0.0</v>
      </c>
    </row>
    <row r="125" customHeight="1" ht="17.0">
      <c r="B125" s="665" t="s">
        <f>'3. Financials'!C52</f>
        <v>224</v>
      </c>
      <c r="C125" s="644">
        <f>'3. Financials'!D52</f>
        <v>0.0</v>
      </c>
      <c r="D125" s="644">
        <f>'3. Financials'!F52</f>
        <v>0.0</v>
      </c>
      <c r="E125" s="644">
        <f>'3. Financials'!H52</f>
        <v>0.0</v>
      </c>
      <c r="F125" s="645">
        <f>'3. Financials'!J52</f>
        <v>0.0</v>
      </c>
      <c r="G125" s="646">
        <f>'3. Financials'!N52</f>
        <v>0.0</v>
      </c>
      <c r="H125" s="645">
        <f>'3. Financials'!P52</f>
        <v>0.0</v>
      </c>
    </row>
    <row r="126" customHeight="1" ht="17.0">
      <c r="B126" s="665" t="s">
        <f>'3. Financials'!C53</f>
        <v>225</v>
      </c>
      <c r="C126" s="670">
        <f>'3. Financials'!D53</f>
        <v>0.0</v>
      </c>
      <c r="D126" s="670">
        <f>'3. Financials'!F53</f>
        <v>0.0</v>
      </c>
      <c r="E126" s="670">
        <f>'3. Financials'!H53</f>
        <v>0.0</v>
      </c>
      <c r="F126" s="671">
        <f>'3. Financials'!J53</f>
        <v>0.0</v>
      </c>
      <c r="G126" s="672">
        <f>'3. Financials'!N53</f>
        <v>0.0</v>
      </c>
      <c r="H126" s="671">
        <f>'3. Financials'!P53</f>
        <v>0.0</v>
      </c>
    </row>
    <row r="127" customHeight="1" ht="17.0">
      <c r="B127" s="665"/>
      <c r="C127" s="673"/>
      <c r="D127" s="673"/>
      <c r="E127" s="673"/>
      <c r="F127" s="674"/>
      <c r="G127" s="675"/>
      <c r="H127" s="676"/>
    </row>
    <row r="128" customHeight="1" ht="17.0">
      <c r="B128" s="665" t="s">
        <f>'3. Financials'!C55</f>
        <v>226</v>
      </c>
      <c r="C128" s="677">
        <f>'3. Financials'!D55</f>
        <v>0.0</v>
      </c>
      <c r="D128" s="677">
        <f>'3. Financials'!F55</f>
        <v>0.0</v>
      </c>
      <c r="E128" s="677">
        <f>'3. Financials'!H55</f>
        <v>0.0</v>
      </c>
      <c r="F128" s="678">
        <f>'3. Financials'!J55</f>
        <v>0.0</v>
      </c>
      <c r="G128" s="679">
        <f>'3. Financials'!N55</f>
        <v>0.0</v>
      </c>
      <c r="H128" s="678">
        <f>'3. Financials'!P55</f>
        <v>0.0</v>
      </c>
    </row>
    <row r="129" customHeight="1" ht="17.0">
      <c r="B129" s="665"/>
      <c r="C129" s="629"/>
      <c r="D129" s="629"/>
      <c r="E129" s="629"/>
      <c r="F129" s="630"/>
      <c r="G129" s="631"/>
      <c r="H129" s="632"/>
    </row>
    <row r="130" customHeight="1" ht="17.0">
      <c r="B130" s="601" t="s">
        <f>'3. Financials'!C57</f>
        <v>227</v>
      </c>
      <c r="C130" s="647">
        <f>'3. Financials'!D57</f>
        <v>0.0</v>
      </c>
      <c r="D130" s="647">
        <f>'3. Financials'!F57</f>
        <v>0.0</v>
      </c>
      <c r="E130" s="647">
        <f>'3. Financials'!H57</f>
        <v>0.0</v>
      </c>
      <c r="F130" s="648">
        <f>'3. Financials'!J57</f>
        <v>0.0</v>
      </c>
      <c r="G130" s="649">
        <f>'3. Financials'!N57</f>
        <v>0.0</v>
      </c>
      <c r="H130" s="648">
        <f>'3. Financials'!P57</f>
        <v>0.0</v>
      </c>
    </row>
    <row r="131" customHeight="1" ht="17.0">
      <c r="B131" s="601" t="s">
        <f>'3. Financials'!C58</f>
        <v>228</v>
      </c>
      <c r="C131" s="647">
        <f>'3. Financials'!D58</f>
        <v>0.0</v>
      </c>
      <c r="D131" s="647">
        <f>'3. Financials'!F58</f>
        <v>0.0</v>
      </c>
      <c r="E131" s="647">
        <f>'3. Financials'!H58</f>
        <v>0.0</v>
      </c>
      <c r="F131" s="648">
        <f>'3. Financials'!J58</f>
        <v>0.0</v>
      </c>
      <c r="G131" s="649">
        <f>'3. Financials'!N58</f>
        <v>0.0</v>
      </c>
      <c r="H131" s="648">
        <f>'3. Financials'!P58</f>
        <v>0.0</v>
      </c>
    </row>
    <row r="132" customHeight="1" ht="17.0">
      <c r="B132" s="601" t="s">
        <f>'3. Financials'!C59</f>
        <v>229</v>
      </c>
      <c r="C132" s="647">
        <f>'3. Financials'!D59</f>
        <v>0.0</v>
      </c>
      <c r="D132" s="647">
        <f>'3. Financials'!F59</f>
        <v>0.0</v>
      </c>
      <c r="E132" s="647">
        <f>'3. Financials'!H59</f>
        <v>0.0</v>
      </c>
      <c r="F132" s="648">
        <f>'3. Financials'!J59</f>
        <v>0.0</v>
      </c>
      <c r="G132" s="649">
        <f>'3. Financials'!N59</f>
        <v>0.0</v>
      </c>
      <c r="H132" s="648">
        <f>'3. Financials'!P59</f>
        <v>0.0</v>
      </c>
    </row>
    <row r="133" customHeight="1" ht="17.0">
      <c r="B133" s="601" t="s">
        <f>'3. Financials'!C60</f>
        <v>230</v>
      </c>
      <c r="C133" s="647">
        <f>'3. Financials'!D60</f>
        <v>0.0</v>
      </c>
      <c r="D133" s="647">
        <f>'3. Financials'!F60</f>
        <v>0.0</v>
      </c>
      <c r="E133" s="647">
        <f>'3. Financials'!H60</f>
        <v>0.0</v>
      </c>
      <c r="F133" s="648">
        <f>'3. Financials'!J60</f>
        <v>0.0</v>
      </c>
      <c r="G133" s="649">
        <f>'3. Financials'!N60</f>
        <v>0.0</v>
      </c>
      <c r="H133" s="648">
        <f>'3. Financials'!P60</f>
        <v>0.0</v>
      </c>
    </row>
    <row r="134" customHeight="1" ht="17.0">
      <c r="B134" s="601" t="s">
        <f>'3. Financials'!C61</f>
        <v>231</v>
      </c>
      <c r="C134" s="647">
        <f>'3. Financials'!D61</f>
        <v>0.0</v>
      </c>
      <c r="D134" s="647">
        <f>'3. Financials'!F61</f>
        <v>0.0</v>
      </c>
      <c r="E134" s="647">
        <f>'3. Financials'!H61</f>
        <v>0.0</v>
      </c>
      <c r="F134" s="648">
        <f>'3. Financials'!J61</f>
        <v>0.0</v>
      </c>
      <c r="G134" s="649">
        <f>'3. Financials'!N61</f>
        <v>0.0</v>
      </c>
      <c r="H134" s="648">
        <f>'3. Financials'!P61</f>
        <v>0.0</v>
      </c>
    </row>
    <row r="135" customHeight="1" ht="17.0">
      <c r="B135" s="628"/>
      <c r="C135" s="629"/>
      <c r="D135" s="629"/>
      <c r="E135" s="629"/>
      <c r="F135" s="630"/>
      <c r="G135" s="631"/>
      <c r="H135" s="632"/>
    </row>
    <row r="136" customHeight="1" ht="17.0">
      <c r="B136" s="653" t="s">
        <f>'3. Financials'!C63</f>
        <v>232</v>
      </c>
      <c r="C136" s="680">
        <f>'3. Financials'!D63</f>
        <v>0.0</v>
      </c>
      <c r="D136" s="680">
        <f>'3. Financials'!F63</f>
        <v>0.0</v>
      </c>
      <c r="E136" s="680">
        <f>'3. Financials'!H63</f>
        <v>0.0</v>
      </c>
      <c r="F136" s="681">
        <f>'3. Financials'!J63</f>
        <v>0.0</v>
      </c>
      <c r="G136" s="682">
        <f>'3. Financials'!N63</f>
        <v>0.0</v>
      </c>
      <c r="H136" s="681">
        <f>'3. Financials'!P63</f>
        <v>0.0</v>
      </c>
    </row>
    <row r="137" customHeight="1" ht="17.0">
      <c r="B137" s="683"/>
      <c r="C137" s="684"/>
      <c r="D137" s="684"/>
      <c r="E137" s="684"/>
      <c r="F137" s="685"/>
      <c r="G137" s="686"/>
      <c r="H137" s="687"/>
    </row>
    <row r="140" customHeight="1" ht="17.0">
      <c r="B140" s="522" t="s">
        <v>373</v>
      </c>
      <c r="C140" s="523"/>
      <c r="D140" s="523"/>
      <c r="E140" s="523"/>
      <c r="F140" s="524"/>
    </row>
    <row r="141" customHeight="1" ht="17.0">
      <c r="B141" s="525"/>
      <c r="C141" s="526"/>
      <c r="D141" s="526"/>
      <c r="E141" s="526"/>
      <c r="F141" s="527"/>
    </row>
    <row r="142" customHeight="1" ht="17.0">
      <c r="B142" s="623" t="s">
        <f>'6. Affiliates'!B4</f>
        <v>374</v>
      </c>
      <c r="C142" s="624"/>
      <c r="D142" s="624"/>
      <c r="E142" s="624"/>
      <c r="F142" s="625"/>
    </row>
    <row r="143" customHeight="1" ht="17.0">
      <c r="B143" s="628"/>
      <c r="C143" s="629"/>
      <c r="D143" s="629"/>
      <c r="E143" s="629"/>
      <c r="F143" s="630"/>
    </row>
    <row r="144" customHeight="1" ht="17.0">
      <c r="B144" s="601"/>
      <c r="C144" s="633">
        <f>'6. Affiliates'!D6</f>
        <v>44926.0</v>
      </c>
      <c r="D144" s="633">
        <f>'6. Affiliates'!F6</f>
        <v>45291.0</v>
      </c>
      <c r="E144" s="633">
        <f>'6. Affiliates'!H6</f>
        <v>45657.0</v>
      </c>
      <c r="F144" s="634">
        <f>'6. Affiliates'!J6</f>
        <v>45747.0</v>
      </c>
    </row>
    <row r="145" customHeight="1" ht="17.0">
      <c r="B145" s="636"/>
      <c r="C145" s="637"/>
      <c r="D145" s="637"/>
      <c r="E145" s="637"/>
      <c r="F145" s="638">
        <f>'6. Affiliates'!J10</f>
        <v>0.0</v>
      </c>
    </row>
    <row r="146" customHeight="1" ht="17.0">
      <c r="B146" s="601" t="s">
        <f>'6. Affiliates'!C20</f>
        <v>195</v>
      </c>
      <c r="C146" s="641">
        <f>'6. Affiliates'!D20</f>
        <v>0.0</v>
      </c>
      <c r="D146" s="641">
        <f>'6. Affiliates'!F20</f>
        <v>0.0</v>
      </c>
      <c r="E146" s="641">
        <f>'6. Affiliates'!H20</f>
        <v>0.0</v>
      </c>
      <c r="F146" s="642">
        <f>'6. Affiliates'!J20</f>
        <v>0.0</v>
      </c>
    </row>
    <row r="147" customHeight="1" ht="17.0">
      <c r="B147" s="601" t="s">
        <f>'6. Affiliates'!C21</f>
        <v>196</v>
      </c>
      <c r="C147" s="644">
        <f>'6. Affiliates'!D21</f>
        <v>0.0</v>
      </c>
      <c r="D147" s="644">
        <f>'6. Affiliates'!F21</f>
        <v>0.0</v>
      </c>
      <c r="E147" s="644">
        <f>'6. Affiliates'!H21</f>
        <v>0.0</v>
      </c>
      <c r="F147" s="645">
        <f>'6. Affiliates'!J21</f>
        <v>0.0</v>
      </c>
    </row>
    <row r="148" customHeight="1" ht="17.0">
      <c r="B148" s="601" t="s">
        <f>'6. Affiliates'!C22</f>
        <v>197</v>
      </c>
      <c r="C148" s="647">
        <f>'6. Affiliates'!D22</f>
        <v>0.0</v>
      </c>
      <c r="D148" s="647">
        <f>'6. Affiliates'!F22</f>
        <v>0.0</v>
      </c>
      <c r="E148" s="647">
        <f>'6. Affiliates'!H22</f>
        <v>0.0</v>
      </c>
      <c r="F148" s="648">
        <f>'6. Affiliates'!J22</f>
        <v>0.0</v>
      </c>
    </row>
    <row r="149" customHeight="1" ht="17.0">
      <c r="B149" s="601" t="s">
        <f>'6. Affiliates'!C49</f>
        <v>209</v>
      </c>
      <c r="C149" s="650">
        <f>'6. Affiliates'!D49</f>
        <v>0.0</v>
      </c>
      <c r="D149" s="650">
        <f>'6. Affiliates'!F49</f>
        <v>0.0</v>
      </c>
      <c r="E149" s="650">
        <f>'6. Affiliates'!H49</f>
        <v>0.0</v>
      </c>
      <c r="F149" s="651">
        <f>'6. Affiliates'!J49</f>
        <v>0.0</v>
      </c>
    </row>
    <row r="150" customHeight="1" ht="17.0">
      <c r="B150" s="653" t="s">
        <f>'6. Affiliates'!C51</f>
        <v>210</v>
      </c>
      <c r="C150" s="654">
        <f>'6. Affiliates'!D51</f>
        <v>0.0</v>
      </c>
      <c r="D150" s="654">
        <f>'6. Affiliates'!F51</f>
        <v>0.0</v>
      </c>
      <c r="E150" s="654">
        <f>'6. Affiliates'!H51</f>
        <v>0.0</v>
      </c>
      <c r="F150" s="655">
        <f>'6. Affiliates'!J51</f>
        <v>0.0</v>
      </c>
    </row>
    <row r="151" customHeight="1" ht="17.0">
      <c r="B151" s="601" t="s">
        <f>'6. Affiliates'!C57</f>
        <v>214</v>
      </c>
      <c r="C151" s="650">
        <f>'6. Affiliates'!D57</f>
        <v>0.0</v>
      </c>
      <c r="D151" s="650">
        <f>'6. Affiliates'!F57</f>
        <v>0.0</v>
      </c>
      <c r="E151" s="650">
        <f>'6. Affiliates'!H57</f>
        <v>0.0</v>
      </c>
      <c r="F151" s="651">
        <f>'6. Affiliates'!J57</f>
        <v>0.0</v>
      </c>
    </row>
    <row r="152" customHeight="1" ht="17.0">
      <c r="B152" s="601" t="s">
        <f>'6. Affiliates'!C59</f>
        <v>215</v>
      </c>
      <c r="C152" s="647">
        <f>'6. Affiliates'!D59</f>
        <v>0.0</v>
      </c>
      <c r="D152" s="647">
        <f>'6. Affiliates'!F59</f>
        <v>0.0</v>
      </c>
      <c r="E152" s="647">
        <f>'6. Affiliates'!H59</f>
        <v>0.0</v>
      </c>
      <c r="F152" s="648">
        <f>'6. Affiliates'!J59</f>
        <v>0.0</v>
      </c>
    </row>
    <row r="153" customHeight="1" ht="17.0">
      <c r="B153" s="601" t="s">
        <f>'6. Affiliates'!C60</f>
        <v>216</v>
      </c>
      <c r="C153" s="647">
        <f>'6. Affiliates'!D60</f>
        <v>0.0</v>
      </c>
      <c r="D153" s="647">
        <f>'6. Affiliates'!F60</f>
        <v>0.0</v>
      </c>
      <c r="E153" s="647">
        <f>'6. Affiliates'!H60</f>
        <v>0.0</v>
      </c>
      <c r="F153" s="648">
        <f>'6. Affiliates'!J60</f>
        <v>0.0</v>
      </c>
    </row>
    <row r="154" customHeight="1" ht="17.0">
      <c r="B154" s="653" t="s">
        <f>'6. Affiliates'!C62</f>
        <v>217</v>
      </c>
      <c r="C154" s="654">
        <f>'6. Affiliates'!D62</f>
        <v>0.0</v>
      </c>
      <c r="D154" s="654">
        <f>'6. Affiliates'!F62</f>
        <v>0.0</v>
      </c>
      <c r="E154" s="654">
        <f>'6. Affiliates'!H62</f>
        <v>0.0</v>
      </c>
      <c r="F154" s="655">
        <f>'6. Affiliates'!J62</f>
        <v>0.0</v>
      </c>
    </row>
    <row r="155" customHeight="1" ht="17.0">
      <c r="B155" s="601"/>
      <c r="C155" s="657"/>
      <c r="D155" s="657"/>
      <c r="E155" s="657"/>
      <c r="F155" s="658"/>
    </row>
    <row r="156" customHeight="1" ht="17.0">
      <c r="B156" s="661" t="s">
        <f>'6. Affiliates'!C64</f>
        <v>218</v>
      </c>
      <c r="C156" s="629"/>
      <c r="D156" s="629"/>
      <c r="E156" s="629"/>
      <c r="F156" s="630"/>
    </row>
    <row r="157" customHeight="1" ht="17.0">
      <c r="B157" s="664" t="s">
        <f>'6. Affiliates'!C65</f>
        <v>219</v>
      </c>
      <c r="C157" s="641">
        <f>'6. Affiliates'!D65</f>
        <v>0.0</v>
      </c>
      <c r="D157" s="641">
        <f>'6. Affiliates'!F65</f>
        <v>0.0</v>
      </c>
      <c r="E157" s="641">
        <f>'6. Affiliates'!H65</f>
        <v>0.0</v>
      </c>
      <c r="F157" s="642">
        <f>'6. Affiliates'!J65</f>
        <v>0.0</v>
      </c>
    </row>
    <row r="158" customHeight="1" ht="17.0">
      <c r="B158" s="665" t="s">
        <f>'6. Affiliates'!C66</f>
        <v>220</v>
      </c>
      <c r="C158" s="666">
        <f>'6. Affiliates'!D66</f>
        <v>0.0</v>
      </c>
      <c r="D158" s="666">
        <f>'6. Affiliates'!F66</f>
        <v>0.0</v>
      </c>
      <c r="E158" s="666">
        <f>'6. Affiliates'!H66</f>
        <v>0.0</v>
      </c>
      <c r="F158" s="667">
        <f>'6. Affiliates'!J66</f>
        <v>0.0</v>
      </c>
    </row>
    <row r="159" customHeight="1" ht="17.0">
      <c r="B159" s="665" t="s">
        <f>'6. Affiliates'!C67</f>
        <v>221</v>
      </c>
      <c r="C159" s="666">
        <f>'6. Affiliates'!D67</f>
        <v>0.0</v>
      </c>
      <c r="D159" s="666">
        <f>'6. Affiliates'!F67</f>
        <v>0.0</v>
      </c>
      <c r="E159" s="666">
        <f>'6. Affiliates'!H67</f>
        <v>0.0</v>
      </c>
      <c r="F159" s="667">
        <f>'6. Affiliates'!J67</f>
        <v>0.0</v>
      </c>
    </row>
    <row r="160" customHeight="1" ht="17.0">
      <c r="B160" s="665" t="s">
        <f>'6. Affiliates'!C68</f>
        <v>222</v>
      </c>
      <c r="C160" s="666">
        <f>'6. Affiliates'!D68</f>
        <v>0.0</v>
      </c>
      <c r="D160" s="666">
        <f>'6. Affiliates'!F68</f>
        <v>0.0</v>
      </c>
      <c r="E160" s="666">
        <f>'6. Affiliates'!H68</f>
        <v>0.0</v>
      </c>
      <c r="F160" s="667">
        <f>'6. Affiliates'!J68</f>
        <v>0.0</v>
      </c>
    </row>
    <row r="161" customHeight="1" ht="17.0">
      <c r="B161" s="669" t="s">
        <f>'6. Affiliates'!C69</f>
        <v>223</v>
      </c>
      <c r="C161" s="666">
        <f>'6. Affiliates'!D69</f>
        <v>0.0</v>
      </c>
      <c r="D161" s="666">
        <f>'6. Affiliates'!F69</f>
        <v>0.0</v>
      </c>
      <c r="E161" s="666">
        <f>'6. Affiliates'!H69</f>
        <v>0.0</v>
      </c>
      <c r="F161" s="667">
        <f>'6. Affiliates'!J69</f>
        <v>0.0</v>
      </c>
    </row>
    <row r="162" customHeight="1" ht="17.0">
      <c r="B162" s="669" t="s">
        <f>'6. Affiliates'!C70</f>
        <v>223</v>
      </c>
      <c r="C162" s="666">
        <f>'6. Affiliates'!D70</f>
        <v>0.0</v>
      </c>
      <c r="D162" s="666">
        <f>'6. Affiliates'!F70</f>
        <v>0.0</v>
      </c>
      <c r="E162" s="666">
        <f>'6. Affiliates'!H70</f>
        <v>0.0</v>
      </c>
      <c r="F162" s="667">
        <f>'6. Affiliates'!J70</f>
        <v>0.0</v>
      </c>
    </row>
    <row r="163" customHeight="1" ht="17.0">
      <c r="B163" s="665" t="s">
        <f>'6. Affiliates'!C71</f>
        <v>224</v>
      </c>
      <c r="C163" s="644">
        <f>'6. Affiliates'!D71</f>
        <v>0.0</v>
      </c>
      <c r="D163" s="644">
        <f>'6. Affiliates'!F71</f>
        <v>0.0</v>
      </c>
      <c r="E163" s="644">
        <f>'6. Affiliates'!H71</f>
        <v>0.0</v>
      </c>
      <c r="F163" s="645">
        <f>'6. Affiliates'!J71</f>
        <v>0.0</v>
      </c>
    </row>
    <row r="164" customHeight="1" ht="17.0">
      <c r="B164" s="665"/>
      <c r="C164" s="629"/>
      <c r="D164" s="629"/>
      <c r="E164" s="629"/>
      <c r="F164" s="630"/>
    </row>
    <row r="165" customHeight="1" ht="17.0">
      <c r="B165" s="665" t="s">
        <f>'6. Affiliates'!C74</f>
        <v>226</v>
      </c>
      <c r="C165" s="677">
        <f>'6. Affiliates'!D74</f>
        <v>0.0</v>
      </c>
      <c r="D165" s="677">
        <f>'6. Affiliates'!F74</f>
        <v>0.0</v>
      </c>
      <c r="E165" s="677">
        <f>'6. Affiliates'!H74</f>
        <v>0.0</v>
      </c>
      <c r="F165" s="678">
        <f>'6. Affiliates'!J74</f>
        <v>0.0</v>
      </c>
    </row>
    <row r="166" customHeight="1" ht="17.0">
      <c r="B166" s="665"/>
      <c r="C166" s="629"/>
      <c r="D166" s="629"/>
      <c r="E166" s="629"/>
      <c r="F166" s="630"/>
    </row>
    <row r="167" customHeight="1" ht="17.0">
      <c r="B167" s="601" t="s">
        <f>'6. Affiliates'!C76</f>
        <v>375</v>
      </c>
      <c r="C167" s="587">
        <f>'6. Affiliates'!D76</f>
        <v>0.0</v>
      </c>
      <c r="D167" s="587">
        <f>'6. Affiliates'!F76</f>
        <v>0.0</v>
      </c>
      <c r="E167" s="587">
        <f>'6. Affiliates'!H76</f>
        <v>0.0</v>
      </c>
      <c r="F167" s="688">
        <f>'6. Affiliates'!J76</f>
        <v>0.0</v>
      </c>
    </row>
    <row r="168" customHeight="1" ht="17.0">
      <c r="B168" s="601" t="s">
        <f>'6. Affiliates'!C77</f>
        <v>227</v>
      </c>
      <c r="C168" s="647">
        <f>'6. Affiliates'!D77</f>
        <v>0.0</v>
      </c>
      <c r="D168" s="647">
        <f>'6. Affiliates'!F77</f>
        <v>0.0</v>
      </c>
      <c r="E168" s="647">
        <f>'6. Affiliates'!H77</f>
        <v>0.0</v>
      </c>
      <c r="F168" s="648">
        <f>'6. Affiliates'!J77</f>
        <v>0.0</v>
      </c>
    </row>
    <row r="169" customHeight="1" ht="17.0">
      <c r="B169" s="628"/>
      <c r="C169" s="629"/>
      <c r="D169" s="629"/>
      <c r="E169" s="629"/>
      <c r="F169" s="630"/>
    </row>
    <row r="170" customHeight="1" ht="17.0">
      <c r="B170" s="653" t="s">
        <f>'6. Affiliates'!C79</f>
        <v>232</v>
      </c>
      <c r="C170" s="680">
        <f>'6. Affiliates'!D79</f>
        <v>0.0</v>
      </c>
      <c r="D170" s="680">
        <f>'6. Affiliates'!F79</f>
        <v>0.0</v>
      </c>
      <c r="E170" s="680">
        <f>'6. Affiliates'!H79</f>
        <v>0.0</v>
      </c>
      <c r="F170" s="681">
        <f>'6. Affiliates'!J79</f>
        <v>0.0</v>
      </c>
    </row>
    <row r="171" customHeight="1" ht="17.0">
      <c r="B171" s="683"/>
      <c r="C171" s="684"/>
      <c r="D171" s="684"/>
      <c r="E171" s="684"/>
      <c r="F171" s="685"/>
    </row>
    <row r="172" customHeight="1" ht="17.0">
      <c r="B172" s="689"/>
      <c r="C172" s="689"/>
      <c r="D172" s="689"/>
      <c r="E172" s="689"/>
      <c r="F172" s="689"/>
    </row>
    <row r="173" customHeight="1" ht="17.0">
      <c r="B173" s="689"/>
      <c r="C173" s="689"/>
      <c r="D173" s="689"/>
      <c r="E173" s="689"/>
      <c r="F173" s="689"/>
    </row>
    <row r="174" customHeight="1" ht="17.0">
      <c r="B174" s="522" t="s">
        <v>376</v>
      </c>
      <c r="C174" s="523"/>
      <c r="D174" s="523"/>
      <c r="E174" s="523"/>
      <c r="F174" s="524"/>
    </row>
    <row r="175" customHeight="1" ht="17.0">
      <c r="B175" s="525"/>
      <c r="C175" s="526"/>
      <c r="D175" s="526"/>
      <c r="E175" s="526"/>
      <c r="F175" s="527"/>
    </row>
    <row r="176" customHeight="1" ht="17.0">
      <c r="B176" s="623" t="s">
        <f>'6. Affiliates'!B83</f>
        <v>377</v>
      </c>
      <c r="C176" s="624"/>
      <c r="D176" s="624"/>
      <c r="E176" s="624"/>
      <c r="F176" s="625"/>
    </row>
    <row r="177" customHeight="1" ht="17.0">
      <c r="B177" s="628"/>
      <c r="C177" s="629"/>
      <c r="D177" s="629"/>
      <c r="E177" s="629"/>
      <c r="F177" s="630"/>
    </row>
    <row r="178" customHeight="1" ht="17.0">
      <c r="B178" s="601"/>
      <c r="C178" s="633">
        <f>'6. Affiliates'!D85</f>
        <v>44926.0</v>
      </c>
      <c r="D178" s="633">
        <f>'6. Affiliates'!F85</f>
        <v>45291.0</v>
      </c>
      <c r="E178" s="633">
        <f>'6. Affiliates'!H85</f>
        <v>45657.0</v>
      </c>
      <c r="F178" s="634">
        <f>'6. Affiliates'!J85</f>
        <v>45747.0</v>
      </c>
    </row>
    <row r="179" customHeight="1" ht="17.0">
      <c r="B179" s="636"/>
      <c r="C179" s="637"/>
      <c r="D179" s="637"/>
      <c r="E179" s="637"/>
      <c r="F179" s="638">
        <f>'6. Affiliates'!J89</f>
        <v>0.0</v>
      </c>
    </row>
    <row r="180" customHeight="1" ht="17.0">
      <c r="B180" s="601" t="s">
        <f>'6. Affiliates'!C99</f>
        <v>195</v>
      </c>
      <c r="C180" s="641">
        <f>'6. Affiliates'!D99</f>
        <v>0.0</v>
      </c>
      <c r="D180" s="641">
        <f>'6. Affiliates'!F99</f>
        <v>0.0</v>
      </c>
      <c r="E180" s="641">
        <f>'6. Affiliates'!H99</f>
        <v>0.0</v>
      </c>
      <c r="F180" s="642">
        <f>'6. Affiliates'!J99</f>
        <v>0.0</v>
      </c>
    </row>
    <row r="181" customHeight="1" ht="17.0">
      <c r="B181" s="601" t="s">
        <f>'6. Affiliates'!C100</f>
        <v>196</v>
      </c>
      <c r="C181" s="644">
        <f>'6. Affiliates'!D100</f>
        <v>0.0</v>
      </c>
      <c r="D181" s="644">
        <f>'6. Affiliates'!F100</f>
        <v>0.0</v>
      </c>
      <c r="E181" s="644">
        <f>'6. Affiliates'!H100</f>
        <v>0.0</v>
      </c>
      <c r="F181" s="645">
        <f>'6. Affiliates'!J100</f>
        <v>0.0</v>
      </c>
    </row>
    <row r="182" customHeight="1" ht="17.0">
      <c r="B182" s="601" t="s">
        <f>'6. Affiliates'!C101</f>
        <v>197</v>
      </c>
      <c r="C182" s="647">
        <f>'6. Affiliates'!D101</f>
        <v>0.0</v>
      </c>
      <c r="D182" s="647">
        <f>'6. Affiliates'!F101</f>
        <v>0.0</v>
      </c>
      <c r="E182" s="647">
        <f>'6. Affiliates'!H101</f>
        <v>0.0</v>
      </c>
      <c r="F182" s="648">
        <f>'6. Affiliates'!J101</f>
        <v>0.0</v>
      </c>
    </row>
    <row r="183" customHeight="1" ht="17.0">
      <c r="B183" s="601" t="s">
        <f>'6. Affiliates'!C128</f>
        <v>209</v>
      </c>
      <c r="C183" s="650">
        <f>'6. Affiliates'!D128</f>
        <v>0.0</v>
      </c>
      <c r="D183" s="650">
        <f>'6. Affiliates'!F128</f>
        <v>0.0</v>
      </c>
      <c r="E183" s="650">
        <f>'6. Affiliates'!H128</f>
        <v>0.0</v>
      </c>
      <c r="F183" s="651">
        <f>'6. Affiliates'!J128</f>
        <v>0.0</v>
      </c>
    </row>
    <row r="184" customHeight="1" ht="17.0">
      <c r="B184" s="653" t="s">
        <f>'6. Affiliates'!C130</f>
        <v>210</v>
      </c>
      <c r="C184" s="654">
        <f>'6. Affiliates'!D130</f>
        <v>0.0</v>
      </c>
      <c r="D184" s="654">
        <f>'6. Affiliates'!F130</f>
        <v>0.0</v>
      </c>
      <c r="E184" s="654">
        <f>'6. Affiliates'!H130</f>
        <v>0.0</v>
      </c>
      <c r="F184" s="655">
        <f>'6. Affiliates'!J130</f>
        <v>0.0</v>
      </c>
    </row>
    <row r="185" customHeight="1" ht="17.0">
      <c r="B185" s="601" t="s">
        <f>'6. Affiliates'!C136</f>
        <v>214</v>
      </c>
      <c r="C185" s="650">
        <f>'6. Affiliates'!D136</f>
        <v>0.0</v>
      </c>
      <c r="D185" s="650">
        <f>'6. Affiliates'!F136</f>
        <v>0.0</v>
      </c>
      <c r="E185" s="650">
        <f>'6. Affiliates'!H136</f>
        <v>0.0</v>
      </c>
      <c r="F185" s="651">
        <f>'6. Affiliates'!J136</f>
        <v>0.0</v>
      </c>
    </row>
    <row r="186" customHeight="1" ht="17.0">
      <c r="B186" s="601" t="s">
        <f>'6. Affiliates'!C138</f>
        <v>215</v>
      </c>
      <c r="C186" s="647">
        <f>'6. Affiliates'!D138</f>
        <v>0.0</v>
      </c>
      <c r="D186" s="647">
        <f>'6. Affiliates'!F138</f>
        <v>0.0</v>
      </c>
      <c r="E186" s="647">
        <f>'6. Affiliates'!H138</f>
        <v>0.0</v>
      </c>
      <c r="F186" s="648">
        <f>'6. Affiliates'!J138</f>
        <v>0.0</v>
      </c>
    </row>
    <row r="187" customHeight="1" ht="17.0">
      <c r="B187" s="601" t="s">
        <f>'6. Affiliates'!C139</f>
        <v>216</v>
      </c>
      <c r="C187" s="650">
        <f>'6. Affiliates'!D139</f>
        <v>0.0</v>
      </c>
      <c r="D187" s="650">
        <f>'6. Affiliates'!F139</f>
        <v>0.0</v>
      </c>
      <c r="E187" s="650">
        <f>'6. Affiliates'!H139</f>
        <v>0.0</v>
      </c>
      <c r="F187" s="651">
        <f>'6. Affiliates'!J139</f>
        <v>0.0</v>
      </c>
    </row>
    <row r="188" customHeight="1" ht="17.0">
      <c r="B188" s="653" t="s">
        <f>'6. Affiliates'!C141</f>
        <v>217</v>
      </c>
      <c r="C188" s="654">
        <f>'6. Affiliates'!D141</f>
        <v>0.0</v>
      </c>
      <c r="D188" s="654">
        <f>'6. Affiliates'!F141</f>
        <v>0.0</v>
      </c>
      <c r="E188" s="654">
        <f>'6. Affiliates'!H141</f>
        <v>0.0</v>
      </c>
      <c r="F188" s="655">
        <f>'6. Affiliates'!J141</f>
        <v>0.0</v>
      </c>
    </row>
    <row r="189" customHeight="1" ht="17.0">
      <c r="B189" s="601"/>
      <c r="C189" s="657"/>
      <c r="D189" s="657"/>
      <c r="E189" s="657"/>
      <c r="F189" s="658"/>
    </row>
    <row r="190" customHeight="1" ht="17.0">
      <c r="B190" s="661" t="s">
        <f>'6. Affiliates'!C143</f>
        <v>218</v>
      </c>
      <c r="C190" s="629"/>
      <c r="D190" s="629"/>
      <c r="E190" s="629"/>
      <c r="F190" s="630"/>
    </row>
    <row r="191" customHeight="1" ht="17.0">
      <c r="B191" s="664" t="s">
        <f>'6. Affiliates'!C144</f>
        <v>219</v>
      </c>
      <c r="C191" s="641">
        <f>'6. Affiliates'!D144</f>
        <v>0.0</v>
      </c>
      <c r="D191" s="641">
        <f>'6. Affiliates'!F144</f>
        <v>0.0</v>
      </c>
      <c r="E191" s="641">
        <f>'6. Affiliates'!H144</f>
        <v>0.0</v>
      </c>
      <c r="F191" s="642">
        <f>'6. Affiliates'!J144</f>
        <v>0.0</v>
      </c>
    </row>
    <row r="192" customHeight="1" ht="17.0">
      <c r="B192" s="665" t="s">
        <f>'6. Affiliates'!C145</f>
        <v>220</v>
      </c>
      <c r="C192" s="666">
        <f>'6. Affiliates'!D145</f>
        <v>0.0</v>
      </c>
      <c r="D192" s="666">
        <f>'6. Affiliates'!F145</f>
        <v>0.0</v>
      </c>
      <c r="E192" s="666">
        <f>'6. Affiliates'!H145</f>
        <v>0.0</v>
      </c>
      <c r="F192" s="667">
        <f>'6. Affiliates'!J145</f>
        <v>0.0</v>
      </c>
    </row>
    <row r="193" customHeight="1" ht="17.0">
      <c r="B193" s="665" t="s">
        <f>'6. Affiliates'!C146</f>
        <v>221</v>
      </c>
      <c r="C193" s="666">
        <f>'6. Affiliates'!D146</f>
        <v>0.0</v>
      </c>
      <c r="D193" s="666">
        <f>'6. Affiliates'!F146</f>
        <v>0.0</v>
      </c>
      <c r="E193" s="666">
        <f>'6. Affiliates'!H146</f>
        <v>0.0</v>
      </c>
      <c r="F193" s="667">
        <f>'6. Affiliates'!J146</f>
        <v>0.0</v>
      </c>
    </row>
    <row r="194" customHeight="1" ht="17.0">
      <c r="B194" s="665" t="s">
        <f>'6. Affiliates'!C147</f>
        <v>222</v>
      </c>
      <c r="C194" s="666">
        <f>'6. Affiliates'!D147</f>
        <v>0.0</v>
      </c>
      <c r="D194" s="666">
        <f>'6. Affiliates'!F147</f>
        <v>0.0</v>
      </c>
      <c r="E194" s="666">
        <f>'6. Affiliates'!H147</f>
        <v>0.0</v>
      </c>
      <c r="F194" s="667">
        <f>'6. Affiliates'!J147</f>
        <v>0.0</v>
      </c>
    </row>
    <row r="195" customHeight="1" ht="17.0">
      <c r="B195" s="669" t="s">
        <f>'6. Affiliates'!C148</f>
        <v>223</v>
      </c>
      <c r="C195" s="666">
        <f>'6. Affiliates'!D148</f>
        <v>0.0</v>
      </c>
      <c r="D195" s="666">
        <f>'6. Affiliates'!F148</f>
        <v>0.0</v>
      </c>
      <c r="E195" s="666">
        <f>'6. Affiliates'!H148</f>
        <v>0.0</v>
      </c>
      <c r="F195" s="667">
        <f>'6. Affiliates'!J148</f>
        <v>0.0</v>
      </c>
    </row>
    <row r="196" customHeight="1" ht="17.0">
      <c r="B196" s="669" t="s">
        <f>'6. Affiliates'!C149</f>
        <v>223</v>
      </c>
      <c r="C196" s="666">
        <f>'6. Affiliates'!D149</f>
        <v>0.0</v>
      </c>
      <c r="D196" s="666">
        <f>'6. Affiliates'!F149</f>
        <v>0.0</v>
      </c>
      <c r="E196" s="666">
        <f>'6. Affiliates'!H149</f>
        <v>0.0</v>
      </c>
      <c r="F196" s="667">
        <f>'6. Affiliates'!J149</f>
        <v>0.0</v>
      </c>
    </row>
    <row r="197" customHeight="1" ht="17.0">
      <c r="B197" s="665" t="s">
        <f>'6. Affiliates'!C150</f>
        <v>224</v>
      </c>
      <c r="C197" s="644">
        <f>'6. Affiliates'!D150</f>
        <v>0.0</v>
      </c>
      <c r="D197" s="644">
        <f>'6. Affiliates'!F150</f>
        <v>0.0</v>
      </c>
      <c r="E197" s="644">
        <f>'6. Affiliates'!H150</f>
        <v>0.0</v>
      </c>
      <c r="F197" s="645">
        <f>'6. Affiliates'!J150</f>
        <v>0.0</v>
      </c>
    </row>
    <row r="198" customHeight="1" ht="17.0">
      <c r="B198" s="665"/>
      <c r="C198" s="629"/>
      <c r="D198" s="629"/>
      <c r="E198" s="629"/>
      <c r="F198" s="630"/>
    </row>
    <row r="199" customHeight="1" ht="17.0">
      <c r="B199" s="665" t="s">
        <f>'6. Affiliates'!C153</f>
        <v>226</v>
      </c>
      <c r="C199" s="677">
        <f>'6. Affiliates'!D153</f>
        <v>0.0</v>
      </c>
      <c r="D199" s="677">
        <f>'6. Affiliates'!F153</f>
        <v>0.0</v>
      </c>
      <c r="E199" s="677">
        <f>'6. Affiliates'!H153</f>
        <v>0.0</v>
      </c>
      <c r="F199" s="678">
        <f>'6. Affiliates'!J153</f>
        <v>0.0</v>
      </c>
    </row>
    <row r="200" customHeight="1" ht="17.0">
      <c r="B200" s="665"/>
      <c r="C200" s="629"/>
      <c r="D200" s="629"/>
      <c r="E200" s="629"/>
      <c r="F200" s="630"/>
    </row>
    <row r="201" customHeight="1" ht="17.0">
      <c r="B201" s="601" t="s">
        <f>'6. Affiliates'!C155</f>
        <v>375</v>
      </c>
      <c r="C201" s="587">
        <f>'6. Affiliates'!D155</f>
        <v>0.0</v>
      </c>
      <c r="D201" s="587">
        <f>'6. Affiliates'!F155</f>
        <v>0.0</v>
      </c>
      <c r="E201" s="587">
        <f>'6. Affiliates'!H155</f>
        <v>0.0</v>
      </c>
      <c r="F201" s="688">
        <f>'6. Affiliates'!J155</f>
        <v>0.0</v>
      </c>
    </row>
    <row r="202" customHeight="1" ht="17.0">
      <c r="B202" s="601" t="s">
        <f>'6. Affiliates'!C156</f>
        <v>227</v>
      </c>
      <c r="C202" s="647">
        <f>'6. Affiliates'!D156</f>
        <v>0.0</v>
      </c>
      <c r="D202" s="647">
        <f>'6. Affiliates'!F156</f>
        <v>0.0</v>
      </c>
      <c r="E202" s="647">
        <f>'6. Affiliates'!H156</f>
        <v>0.0</v>
      </c>
      <c r="F202" s="648">
        <f>'6. Affiliates'!J156</f>
        <v>0.0</v>
      </c>
    </row>
    <row r="203" customHeight="1" ht="17.0">
      <c r="B203" s="628"/>
      <c r="C203" s="629"/>
      <c r="D203" s="629"/>
      <c r="E203" s="629"/>
      <c r="F203" s="630"/>
    </row>
    <row r="204" customHeight="1" ht="17.0">
      <c r="B204" s="653" t="s">
        <f>'6. Affiliates'!C158</f>
        <v>232</v>
      </c>
      <c r="C204" s="680">
        <f>'6. Affiliates'!D158</f>
        <v>0.0</v>
      </c>
      <c r="D204" s="680">
        <f>'6. Affiliates'!F158</f>
        <v>0.0</v>
      </c>
      <c r="E204" s="680">
        <f>'6. Affiliates'!H158</f>
        <v>0.0</v>
      </c>
      <c r="F204" s="681">
        <f>'6. Affiliates'!J158</f>
        <v>0.0</v>
      </c>
    </row>
    <row r="205" customHeight="1" ht="17.0">
      <c r="B205" s="683"/>
      <c r="C205" s="684"/>
      <c r="D205" s="684"/>
      <c r="E205" s="684"/>
      <c r="F205" s="685"/>
    </row>
    <row r="206" customHeight="1" ht="17.0">
      <c r="B206" s="689"/>
      <c r="C206" s="689"/>
      <c r="D206" s="689"/>
      <c r="E206" s="689"/>
      <c r="F206" s="689"/>
    </row>
    <row r="207" customHeight="1" ht="17.0">
      <c r="B207" s="689"/>
      <c r="C207" s="689"/>
      <c r="D207" s="689"/>
      <c r="E207" s="689"/>
      <c r="F207" s="689"/>
    </row>
    <row r="208" customHeight="1" ht="17.0">
      <c r="B208" s="522" t="s">
        <v>378</v>
      </c>
      <c r="C208" s="523"/>
      <c r="D208" s="523"/>
      <c r="E208" s="523"/>
      <c r="F208" s="524"/>
    </row>
    <row r="209" customHeight="1" ht="17.0">
      <c r="B209" s="525"/>
      <c r="C209" s="526"/>
      <c r="D209" s="526"/>
      <c r="E209" s="526"/>
      <c r="F209" s="527"/>
    </row>
    <row r="210" customHeight="1" ht="17.0">
      <c r="B210" s="623" t="s">
        <f>'6. Affiliates'!B162</f>
        <v>379</v>
      </c>
      <c r="C210" s="624"/>
      <c r="D210" s="624"/>
      <c r="E210" s="624"/>
      <c r="F210" s="625"/>
    </row>
    <row r="211" customHeight="1" ht="17.0">
      <c r="B211" s="628"/>
      <c r="C211" s="629"/>
      <c r="D211" s="629"/>
      <c r="E211" s="629"/>
      <c r="F211" s="630"/>
    </row>
    <row r="212" customHeight="1" ht="17.0">
      <c r="B212" s="601"/>
      <c r="C212" s="633">
        <f>'6. Affiliates'!D164</f>
        <v>44926.0</v>
      </c>
      <c r="D212" s="633">
        <f>'6. Affiliates'!F164</f>
        <v>45291.0</v>
      </c>
      <c r="E212" s="633">
        <f>'6. Affiliates'!H164</f>
        <v>45657.0</v>
      </c>
      <c r="F212" s="634">
        <f>'6. Affiliates'!J164</f>
        <v>45747.0</v>
      </c>
    </row>
    <row r="213" customHeight="1" ht="17.0">
      <c r="B213" s="636"/>
      <c r="C213" s="637"/>
      <c r="D213" s="637"/>
      <c r="E213" s="637"/>
      <c r="F213" s="638">
        <f>'6. Affiliates'!J168</f>
        <v>0.0</v>
      </c>
    </row>
    <row r="214" customHeight="1" ht="17.0">
      <c r="B214" s="601" t="s">
        <f>'6. Affiliates'!C178</f>
        <v>195</v>
      </c>
      <c r="C214" s="641">
        <f>'6. Affiliates'!D178</f>
        <v>0.0</v>
      </c>
      <c r="D214" s="641">
        <f>'6. Affiliates'!F178</f>
        <v>0.0</v>
      </c>
      <c r="E214" s="641">
        <f>'6. Affiliates'!H178</f>
        <v>0.0</v>
      </c>
      <c r="F214" s="642">
        <f>'6. Affiliates'!J178</f>
        <v>0.0</v>
      </c>
    </row>
    <row r="215" customHeight="1" ht="17.0">
      <c r="B215" s="601" t="s">
        <f>'6. Affiliates'!C179</f>
        <v>196</v>
      </c>
      <c r="C215" s="644">
        <f>'6. Affiliates'!D179</f>
        <v>0.0</v>
      </c>
      <c r="D215" s="644">
        <f>'6. Affiliates'!F179</f>
        <v>0.0</v>
      </c>
      <c r="E215" s="644">
        <f>'6. Affiliates'!H179</f>
        <v>0.0</v>
      </c>
      <c r="F215" s="645">
        <f>'6. Affiliates'!J179</f>
        <v>0.0</v>
      </c>
    </row>
    <row r="216" customHeight="1" ht="17.0">
      <c r="B216" s="601" t="s">
        <f>'6. Affiliates'!C180</f>
        <v>197</v>
      </c>
      <c r="C216" s="647">
        <f>'6. Affiliates'!D180</f>
        <v>0.0</v>
      </c>
      <c r="D216" s="647">
        <f>'6. Affiliates'!F180</f>
        <v>0.0</v>
      </c>
      <c r="E216" s="647">
        <f>'6. Affiliates'!H180</f>
        <v>0.0</v>
      </c>
      <c r="F216" s="648">
        <f>'6. Affiliates'!J180</f>
        <v>0.0</v>
      </c>
    </row>
    <row r="217" customHeight="1" ht="17.0">
      <c r="B217" s="601" t="s">
        <f>'6. Affiliates'!C207</f>
        <v>209</v>
      </c>
      <c r="C217" s="650">
        <f>'6. Affiliates'!D207</f>
        <v>0.0</v>
      </c>
      <c r="D217" s="650">
        <f>'6. Affiliates'!F207</f>
        <v>0.0</v>
      </c>
      <c r="E217" s="650">
        <f>'6. Affiliates'!H207</f>
        <v>0.0</v>
      </c>
      <c r="F217" s="651">
        <f>'6. Affiliates'!J207</f>
        <v>0.0</v>
      </c>
    </row>
    <row r="218" customHeight="1" ht="17.0">
      <c r="B218" s="653" t="s">
        <f>'6. Affiliates'!C209</f>
        <v>210</v>
      </c>
      <c r="C218" s="654">
        <f>'6. Affiliates'!D209</f>
        <v>0.0</v>
      </c>
      <c r="D218" s="654">
        <f>'6. Affiliates'!F209</f>
        <v>0.0</v>
      </c>
      <c r="E218" s="654">
        <f>'6. Affiliates'!H209</f>
        <v>0.0</v>
      </c>
      <c r="F218" s="655">
        <f>'6. Affiliates'!J209</f>
        <v>0.0</v>
      </c>
    </row>
    <row r="219" customHeight="1" ht="17.0">
      <c r="B219" s="601" t="s">
        <f>'6. Affiliates'!C215</f>
        <v>214</v>
      </c>
      <c r="C219" s="650">
        <f>'6. Affiliates'!D215</f>
        <v>0.0</v>
      </c>
      <c r="D219" s="650">
        <f>'6. Affiliates'!F215</f>
        <v>0.0</v>
      </c>
      <c r="E219" s="650">
        <f>'6. Affiliates'!H215</f>
        <v>0.0</v>
      </c>
      <c r="F219" s="651">
        <f>'6. Affiliates'!J215</f>
        <v>0.0</v>
      </c>
    </row>
    <row r="220" customHeight="1" ht="17.0">
      <c r="B220" s="601" t="s">
        <f>'6. Affiliates'!C217</f>
        <v>215</v>
      </c>
      <c r="C220" s="647">
        <f>'6. Affiliates'!D217</f>
        <v>0.0</v>
      </c>
      <c r="D220" s="647">
        <f>'6. Affiliates'!F217</f>
        <v>0.0</v>
      </c>
      <c r="E220" s="647">
        <f>'6. Affiliates'!H217</f>
        <v>0.0</v>
      </c>
      <c r="F220" s="648">
        <f>'6. Affiliates'!J217</f>
        <v>0.0</v>
      </c>
    </row>
    <row r="221" customHeight="1" ht="17.0">
      <c r="B221" s="601" t="s">
        <f>'6. Affiliates'!C218</f>
        <v>216</v>
      </c>
      <c r="C221" s="650">
        <f>'6. Affiliates'!D218</f>
        <v>0.0</v>
      </c>
      <c r="D221" s="650">
        <f>'6. Affiliates'!F218</f>
        <v>0.0</v>
      </c>
      <c r="E221" s="650">
        <f>'6. Affiliates'!H218</f>
        <v>0.0</v>
      </c>
      <c r="F221" s="651">
        <f>'6. Affiliates'!J218</f>
        <v>0.0</v>
      </c>
    </row>
    <row r="222" customHeight="1" ht="17.0">
      <c r="B222" s="653" t="s">
        <f>'6. Affiliates'!C220</f>
        <v>217</v>
      </c>
      <c r="C222" s="654">
        <f>'6. Affiliates'!D220</f>
        <v>0.0</v>
      </c>
      <c r="D222" s="654">
        <f>'6. Affiliates'!F220</f>
        <v>0.0</v>
      </c>
      <c r="E222" s="654">
        <f>'6. Affiliates'!H220</f>
        <v>0.0</v>
      </c>
      <c r="F222" s="655">
        <f>'6. Affiliates'!J220</f>
        <v>0.0</v>
      </c>
    </row>
    <row r="223" customHeight="1" ht="17.0">
      <c r="B223" s="601"/>
      <c r="C223" s="657"/>
      <c r="D223" s="657"/>
      <c r="E223" s="657"/>
      <c r="F223" s="658"/>
    </row>
    <row r="224" customHeight="1" ht="17.0">
      <c r="B224" s="661" t="s">
        <f>'6. Affiliates'!C222</f>
        <v>218</v>
      </c>
      <c r="C224" s="629"/>
      <c r="D224" s="629"/>
      <c r="E224" s="629"/>
      <c r="F224" s="630"/>
    </row>
    <row r="225" customHeight="1" ht="17.0">
      <c r="B225" s="664" t="s">
        <f>'6. Affiliates'!C223</f>
        <v>219</v>
      </c>
      <c r="C225" s="641">
        <f>'6. Affiliates'!D223</f>
        <v>0.0</v>
      </c>
      <c r="D225" s="641">
        <f>'6. Affiliates'!F223</f>
        <v>0.0</v>
      </c>
      <c r="E225" s="641">
        <f>'6. Affiliates'!H223</f>
        <v>0.0</v>
      </c>
      <c r="F225" s="642">
        <f>'6. Affiliates'!J223</f>
        <v>0.0</v>
      </c>
    </row>
    <row r="226" customHeight="1" ht="17.0">
      <c r="B226" s="665" t="s">
        <f>'6. Affiliates'!C224</f>
        <v>220</v>
      </c>
      <c r="C226" s="666">
        <f>'6. Affiliates'!D224</f>
        <v>0.0</v>
      </c>
      <c r="D226" s="666">
        <f>'6. Affiliates'!F224</f>
        <v>0.0</v>
      </c>
      <c r="E226" s="666">
        <f>'6. Affiliates'!H224</f>
        <v>0.0</v>
      </c>
      <c r="F226" s="667">
        <f>'6. Affiliates'!J224</f>
        <v>0.0</v>
      </c>
    </row>
    <row r="227" customHeight="1" ht="17.0">
      <c r="B227" s="665" t="s">
        <f>'6. Affiliates'!C225</f>
        <v>221</v>
      </c>
      <c r="C227" s="666">
        <f>'6. Affiliates'!D225</f>
        <v>0.0</v>
      </c>
      <c r="D227" s="666">
        <f>'6. Affiliates'!F225</f>
        <v>0.0</v>
      </c>
      <c r="E227" s="666">
        <f>'6. Affiliates'!H225</f>
        <v>0.0</v>
      </c>
      <c r="F227" s="667">
        <f>'6. Affiliates'!J225</f>
        <v>0.0</v>
      </c>
    </row>
    <row r="228" customHeight="1" ht="17.0">
      <c r="B228" s="665" t="s">
        <f>'6. Affiliates'!C226</f>
        <v>222</v>
      </c>
      <c r="C228" s="666">
        <f>'6. Affiliates'!D226</f>
        <v>0.0</v>
      </c>
      <c r="D228" s="666">
        <f>'6. Affiliates'!F226</f>
        <v>0.0</v>
      </c>
      <c r="E228" s="666">
        <f>'6. Affiliates'!H226</f>
        <v>0.0</v>
      </c>
      <c r="F228" s="667">
        <f>'6. Affiliates'!J226</f>
        <v>0.0</v>
      </c>
    </row>
    <row r="229" customHeight="1" ht="17.0">
      <c r="B229" s="669" t="s">
        <f>'6. Affiliates'!C227</f>
        <v>223</v>
      </c>
      <c r="C229" s="666">
        <f>'6. Affiliates'!D227</f>
        <v>0.0</v>
      </c>
      <c r="D229" s="666">
        <f>'6. Affiliates'!F227</f>
        <v>0.0</v>
      </c>
      <c r="E229" s="666">
        <f>'6. Affiliates'!H227</f>
        <v>0.0</v>
      </c>
      <c r="F229" s="667">
        <f>'6. Affiliates'!J227</f>
        <v>0.0</v>
      </c>
    </row>
    <row r="230" customHeight="1" ht="17.0">
      <c r="B230" s="669" t="s">
        <f>'6. Affiliates'!C228</f>
        <v>223</v>
      </c>
      <c r="C230" s="666">
        <f>'6. Affiliates'!D228</f>
        <v>0.0</v>
      </c>
      <c r="D230" s="666">
        <f>'6. Affiliates'!F228</f>
        <v>0.0</v>
      </c>
      <c r="E230" s="666">
        <f>'6. Affiliates'!H228</f>
        <v>0.0</v>
      </c>
      <c r="F230" s="667">
        <f>'6. Affiliates'!J228</f>
        <v>0.0</v>
      </c>
    </row>
    <row r="231" customHeight="1" ht="17.0">
      <c r="B231" s="665" t="s">
        <f>'6. Affiliates'!C229</f>
        <v>224</v>
      </c>
      <c r="C231" s="644">
        <f>'6. Affiliates'!D229</f>
        <v>0.0</v>
      </c>
      <c r="D231" s="644">
        <f>'6. Affiliates'!F229</f>
        <v>0.0</v>
      </c>
      <c r="E231" s="644">
        <f>'6. Affiliates'!H229</f>
        <v>0.0</v>
      </c>
      <c r="F231" s="645">
        <f>'6. Affiliates'!J229</f>
        <v>0.0</v>
      </c>
    </row>
    <row r="232" customHeight="1" ht="17.0">
      <c r="B232" s="665"/>
      <c r="C232" s="629"/>
      <c r="D232" s="629"/>
      <c r="E232" s="629"/>
      <c r="F232" s="630"/>
    </row>
    <row r="233" customHeight="1" ht="17.0">
      <c r="B233" s="665" t="s">
        <f>'6. Affiliates'!C232</f>
        <v>226</v>
      </c>
      <c r="C233" s="677">
        <f>'6. Affiliates'!D232</f>
        <v>0.0</v>
      </c>
      <c r="D233" s="677">
        <f>'6. Affiliates'!F232</f>
        <v>0.0</v>
      </c>
      <c r="E233" s="677">
        <f>'6. Affiliates'!H232</f>
        <v>0.0</v>
      </c>
      <c r="F233" s="678">
        <f>'6. Affiliates'!J232</f>
        <v>0.0</v>
      </c>
    </row>
    <row r="234" customHeight="1" ht="17.0">
      <c r="B234" s="665"/>
      <c r="C234" s="629"/>
      <c r="D234" s="629"/>
      <c r="E234" s="629"/>
      <c r="F234" s="630"/>
    </row>
    <row r="235" customHeight="1" ht="17.0">
      <c r="B235" s="601" t="s">
        <f>'6. Affiliates'!C234</f>
        <v>375</v>
      </c>
      <c r="C235" s="587">
        <f>'6. Affiliates'!D234</f>
        <v>0.0</v>
      </c>
      <c r="D235" s="587">
        <f>'6. Affiliates'!F234</f>
        <v>0.0</v>
      </c>
      <c r="E235" s="587">
        <f>'6. Affiliates'!H234</f>
        <v>0.0</v>
      </c>
      <c r="F235" s="688">
        <f>'6. Affiliates'!J234</f>
        <v>0.0</v>
      </c>
    </row>
    <row r="236" customHeight="1" ht="17.0">
      <c r="B236" s="601" t="s">
        <f>'6. Affiliates'!C235</f>
        <v>227</v>
      </c>
      <c r="C236" s="647">
        <f>'6. Affiliates'!D235</f>
        <v>0.0</v>
      </c>
      <c r="D236" s="647">
        <f>'6. Affiliates'!F235</f>
        <v>0.0</v>
      </c>
      <c r="E236" s="647">
        <f>'6. Affiliates'!H235</f>
        <v>0.0</v>
      </c>
      <c r="F236" s="648">
        <f>'6. Affiliates'!J235</f>
        <v>0.0</v>
      </c>
    </row>
    <row r="237" customHeight="1" ht="17.0">
      <c r="B237" s="628"/>
      <c r="C237" s="629"/>
      <c r="D237" s="629"/>
      <c r="E237" s="629"/>
      <c r="F237" s="630"/>
    </row>
    <row r="238" customHeight="1" ht="17.0">
      <c r="B238" s="653" t="s">
        <f>'6. Affiliates'!C237</f>
        <v>232</v>
      </c>
      <c r="C238" s="680">
        <f>'6. Affiliates'!D237</f>
        <v>0.0</v>
      </c>
      <c r="D238" s="680">
        <f>'6. Affiliates'!F237</f>
        <v>0.0</v>
      </c>
      <c r="E238" s="680">
        <f>'6. Affiliates'!H237</f>
        <v>0.0</v>
      </c>
      <c r="F238" s="681">
        <f>'6. Affiliates'!J237</f>
        <v>0.0</v>
      </c>
    </row>
    <row r="239" customHeight="1" ht="17.0">
      <c r="B239" s="683"/>
      <c r="C239" s="684"/>
      <c r="D239" s="684"/>
      <c r="E239" s="684"/>
      <c r="F239" s="685"/>
    </row>
    <row r="240" customHeight="1" ht="17.0">
      <c r="B240" s="689"/>
      <c r="C240" s="689"/>
      <c r="D240" s="689"/>
      <c r="E240" s="689"/>
      <c r="F240" s="689"/>
    </row>
    <row r="241" customHeight="1" ht="17.0">
      <c r="B241" s="689"/>
      <c r="C241" s="689"/>
      <c r="D241" s="689"/>
      <c r="E241" s="689"/>
      <c r="F241" s="689"/>
    </row>
    <row r="242" customHeight="1" ht="17.0">
      <c r="B242" s="522" t="s">
        <v>380</v>
      </c>
      <c r="C242" s="523"/>
      <c r="D242" s="523"/>
      <c r="E242" s="523"/>
      <c r="F242" s="524"/>
    </row>
    <row r="243" customHeight="1" ht="17.0">
      <c r="B243" s="525"/>
      <c r="C243" s="526"/>
      <c r="D243" s="526"/>
      <c r="E243" s="526"/>
      <c r="F243" s="527"/>
    </row>
    <row r="244" customHeight="1" ht="17.0">
      <c r="B244" s="623" t="s">
        <f>'6. Affiliates'!B241</f>
        <v>381</v>
      </c>
      <c r="C244" s="624"/>
      <c r="D244" s="624"/>
      <c r="E244" s="624"/>
      <c r="F244" s="625"/>
    </row>
    <row r="245" customHeight="1" ht="17.0">
      <c r="B245" s="628"/>
      <c r="C245" s="629"/>
      <c r="D245" s="629"/>
      <c r="E245" s="629"/>
      <c r="F245" s="630"/>
    </row>
    <row r="246" customHeight="1" ht="17.0">
      <c r="B246" s="601"/>
      <c r="C246" s="633">
        <f>'6. Affiliates'!D243</f>
        <v>44926.0</v>
      </c>
      <c r="D246" s="633">
        <f>'6. Affiliates'!F243</f>
        <v>45291.0</v>
      </c>
      <c r="E246" s="633">
        <f>'6. Affiliates'!H243</f>
        <v>45657.0</v>
      </c>
      <c r="F246" s="634">
        <f>'6. Affiliates'!J243</f>
        <v>45747.0</v>
      </c>
    </row>
    <row r="247" customHeight="1" ht="17.0">
      <c r="B247" s="636"/>
      <c r="C247" s="637"/>
      <c r="D247" s="637"/>
      <c r="E247" s="637"/>
      <c r="F247" s="638">
        <f>'6. Affiliates'!J247</f>
        <v>0.0</v>
      </c>
    </row>
    <row r="248" customHeight="1" ht="17.0">
      <c r="B248" s="601" t="s">
        <f>'6. Affiliates'!C257</f>
        <v>195</v>
      </c>
      <c r="C248" s="641">
        <f>'6. Affiliates'!D257</f>
        <v>0.0</v>
      </c>
      <c r="D248" s="641">
        <f>'6. Affiliates'!F257</f>
        <v>0.0</v>
      </c>
      <c r="E248" s="641">
        <f>'6. Affiliates'!H257</f>
        <v>0.0</v>
      </c>
      <c r="F248" s="642">
        <f>'6. Affiliates'!J257</f>
        <v>0.0</v>
      </c>
    </row>
    <row r="249" customHeight="1" ht="17.0">
      <c r="B249" s="601" t="s">
        <f>'6. Affiliates'!C258</f>
        <v>196</v>
      </c>
      <c r="C249" s="644">
        <f>'6. Affiliates'!D258</f>
        <v>0.0</v>
      </c>
      <c r="D249" s="644">
        <f>'6. Affiliates'!F258</f>
        <v>0.0</v>
      </c>
      <c r="E249" s="644">
        <f>'6. Affiliates'!H258</f>
        <v>0.0</v>
      </c>
      <c r="F249" s="645">
        <f>'6. Affiliates'!J258</f>
        <v>0.0</v>
      </c>
    </row>
    <row r="250" customHeight="1" ht="17.0">
      <c r="B250" s="601" t="s">
        <f>'6. Affiliates'!C259</f>
        <v>197</v>
      </c>
      <c r="C250" s="647">
        <f>'6. Affiliates'!D259</f>
        <v>0.0</v>
      </c>
      <c r="D250" s="647">
        <f>'6. Affiliates'!F259</f>
        <v>0.0</v>
      </c>
      <c r="E250" s="647">
        <f>'6. Affiliates'!H259</f>
        <v>0.0</v>
      </c>
      <c r="F250" s="648">
        <f>'6. Affiliates'!J259</f>
        <v>0.0</v>
      </c>
    </row>
    <row r="251" customHeight="1" ht="17.0">
      <c r="B251" s="601" t="s">
        <f>'6. Affiliates'!C286</f>
        <v>209</v>
      </c>
      <c r="C251" s="650">
        <f>'6. Affiliates'!D286</f>
        <v>0.0</v>
      </c>
      <c r="D251" s="650">
        <f>'6. Affiliates'!F286</f>
        <v>0.0</v>
      </c>
      <c r="E251" s="650">
        <f>'6. Affiliates'!H286</f>
        <v>0.0</v>
      </c>
      <c r="F251" s="651">
        <f>'6. Affiliates'!J286</f>
        <v>0.0</v>
      </c>
    </row>
    <row r="252" customHeight="1" ht="17.0">
      <c r="B252" s="653" t="s">
        <f>'6. Affiliates'!C288</f>
        <v>210</v>
      </c>
      <c r="C252" s="654">
        <f>'6. Affiliates'!D288</f>
        <v>0.0</v>
      </c>
      <c r="D252" s="654">
        <f>'6. Affiliates'!F288</f>
        <v>0.0</v>
      </c>
      <c r="E252" s="654">
        <f>'6. Affiliates'!H288</f>
        <v>0.0</v>
      </c>
      <c r="F252" s="655">
        <f>'6. Affiliates'!J288</f>
        <v>0.0</v>
      </c>
    </row>
    <row r="253" customHeight="1" ht="17.0">
      <c r="B253" s="601" t="s">
        <f>'6. Affiliates'!C294</f>
        <v>214</v>
      </c>
      <c r="C253" s="650">
        <f>'6. Affiliates'!D294</f>
        <v>0.0</v>
      </c>
      <c r="D253" s="650">
        <f>'6. Affiliates'!F294</f>
        <v>0.0</v>
      </c>
      <c r="E253" s="650">
        <f>'6. Affiliates'!H294</f>
        <v>0.0</v>
      </c>
      <c r="F253" s="651">
        <f>'6. Affiliates'!J294</f>
        <v>0.0</v>
      </c>
    </row>
    <row r="254" customHeight="1" ht="17.0">
      <c r="B254" s="601" t="s">
        <f>'6. Affiliates'!C296</f>
        <v>215</v>
      </c>
      <c r="C254" s="647">
        <f>'6. Affiliates'!D296</f>
        <v>0.0</v>
      </c>
      <c r="D254" s="647">
        <f>'6. Affiliates'!F296</f>
        <v>0.0</v>
      </c>
      <c r="E254" s="647">
        <f>'6. Affiliates'!H296</f>
        <v>0.0</v>
      </c>
      <c r="F254" s="648">
        <f>'6. Affiliates'!J296</f>
        <v>0.0</v>
      </c>
    </row>
    <row r="255" customHeight="1" ht="17.0">
      <c r="B255" s="601" t="s">
        <f>'6. Affiliates'!C297</f>
        <v>216</v>
      </c>
      <c r="C255" s="650">
        <f>'6. Affiliates'!D297</f>
        <v>0.0</v>
      </c>
      <c r="D255" s="650">
        <f>'6. Affiliates'!F297</f>
        <v>0.0</v>
      </c>
      <c r="E255" s="650">
        <f>'6. Affiliates'!H297</f>
        <v>0.0</v>
      </c>
      <c r="F255" s="651">
        <f>'6. Affiliates'!J297</f>
        <v>0.0</v>
      </c>
    </row>
    <row r="256" customHeight="1" ht="17.0">
      <c r="B256" s="653" t="s">
        <f>'6. Affiliates'!C299</f>
        <v>217</v>
      </c>
      <c r="C256" s="654">
        <f>'6. Affiliates'!D299</f>
        <v>0.0</v>
      </c>
      <c r="D256" s="654">
        <f>'6. Affiliates'!F299</f>
        <v>0.0</v>
      </c>
      <c r="E256" s="654">
        <f>'6. Affiliates'!H299</f>
        <v>0.0</v>
      </c>
      <c r="F256" s="655">
        <f>'6. Affiliates'!J299</f>
        <v>0.0</v>
      </c>
    </row>
    <row r="257" customHeight="1" ht="17.0">
      <c r="B257" s="601"/>
      <c r="C257" s="657"/>
      <c r="D257" s="657"/>
      <c r="E257" s="657"/>
      <c r="F257" s="658"/>
    </row>
    <row r="258" customHeight="1" ht="17.0">
      <c r="B258" s="661" t="s">
        <f>'6. Affiliates'!C301</f>
        <v>218</v>
      </c>
      <c r="C258" s="629"/>
      <c r="D258" s="629"/>
      <c r="E258" s="629"/>
      <c r="F258" s="630"/>
    </row>
    <row r="259" customHeight="1" ht="17.0">
      <c r="B259" s="664" t="s">
        <f>'6. Affiliates'!C302</f>
        <v>219</v>
      </c>
      <c r="C259" s="641">
        <f>'6. Affiliates'!D302</f>
        <v>0.0</v>
      </c>
      <c r="D259" s="641">
        <f>'6. Affiliates'!F302</f>
        <v>0.0</v>
      </c>
      <c r="E259" s="641">
        <f>'6. Affiliates'!H302</f>
        <v>0.0</v>
      </c>
      <c r="F259" s="642">
        <f>'6. Affiliates'!J302</f>
        <v>0.0</v>
      </c>
    </row>
    <row r="260" customHeight="1" ht="17.0">
      <c r="B260" s="665" t="s">
        <f>'6. Affiliates'!C303</f>
        <v>220</v>
      </c>
      <c r="C260" s="666">
        <f>'6. Affiliates'!D303</f>
        <v>0.0</v>
      </c>
      <c r="D260" s="666">
        <f>'6. Affiliates'!F303</f>
        <v>0.0</v>
      </c>
      <c r="E260" s="666">
        <f>'6. Affiliates'!H303</f>
        <v>0.0</v>
      </c>
      <c r="F260" s="667">
        <f>'6. Affiliates'!J303</f>
        <v>0.0</v>
      </c>
    </row>
    <row r="261" customHeight="1" ht="17.0">
      <c r="B261" s="665" t="s">
        <f>'6. Affiliates'!C304</f>
        <v>221</v>
      </c>
      <c r="C261" s="666">
        <f>'6. Affiliates'!D304</f>
        <v>0.0</v>
      </c>
      <c r="D261" s="666">
        <f>'6. Affiliates'!F304</f>
        <v>0.0</v>
      </c>
      <c r="E261" s="666">
        <f>'6. Affiliates'!H304</f>
        <v>0.0</v>
      </c>
      <c r="F261" s="667">
        <f>'6. Affiliates'!J304</f>
        <v>0.0</v>
      </c>
    </row>
    <row r="262" customHeight="1" ht="17.0">
      <c r="B262" s="665" t="s">
        <f>'6. Affiliates'!C305</f>
        <v>222</v>
      </c>
      <c r="C262" s="666">
        <f>'6. Affiliates'!D305</f>
        <v>0.0</v>
      </c>
      <c r="D262" s="666">
        <f>'6. Affiliates'!F305</f>
        <v>0.0</v>
      </c>
      <c r="E262" s="666">
        <f>'6. Affiliates'!H305</f>
        <v>0.0</v>
      </c>
      <c r="F262" s="667">
        <f>'6. Affiliates'!J305</f>
        <v>0.0</v>
      </c>
    </row>
    <row r="263" customHeight="1" ht="17.0">
      <c r="B263" s="669" t="s">
        <f>'6. Affiliates'!C306</f>
        <v>223</v>
      </c>
      <c r="C263" s="666">
        <f>'6. Affiliates'!D306</f>
        <v>0.0</v>
      </c>
      <c r="D263" s="666">
        <f>'6. Affiliates'!F306</f>
        <v>0.0</v>
      </c>
      <c r="E263" s="666">
        <f>'6. Affiliates'!H306</f>
        <v>0.0</v>
      </c>
      <c r="F263" s="667">
        <f>'6. Affiliates'!J306</f>
        <v>0.0</v>
      </c>
    </row>
    <row r="264" customHeight="1" ht="17.0">
      <c r="B264" s="669" t="s">
        <f>'6. Affiliates'!C307</f>
        <v>223</v>
      </c>
      <c r="C264" s="666">
        <f>'6. Affiliates'!D307</f>
        <v>0.0</v>
      </c>
      <c r="D264" s="666">
        <f>'6. Affiliates'!F307</f>
        <v>0.0</v>
      </c>
      <c r="E264" s="666">
        <f>'6. Affiliates'!H307</f>
        <v>0.0</v>
      </c>
      <c r="F264" s="667">
        <f>'6. Affiliates'!J307</f>
        <v>0.0</v>
      </c>
    </row>
    <row r="265" customHeight="1" ht="17.0">
      <c r="B265" s="665" t="s">
        <f>'6. Affiliates'!C308</f>
        <v>224</v>
      </c>
      <c r="C265" s="644">
        <f>'6. Affiliates'!D308</f>
        <v>0.0</v>
      </c>
      <c r="D265" s="644">
        <f>'6. Affiliates'!F308</f>
        <v>0.0</v>
      </c>
      <c r="E265" s="644">
        <f>'6. Affiliates'!H308</f>
        <v>0.0</v>
      </c>
      <c r="F265" s="645">
        <f>'6. Affiliates'!J308</f>
        <v>0.0</v>
      </c>
    </row>
    <row r="266" customHeight="1" ht="17.0">
      <c r="B266" s="665"/>
      <c r="C266" s="629"/>
      <c r="D266" s="629"/>
      <c r="E266" s="629"/>
      <c r="F266" s="630"/>
    </row>
    <row r="267" customHeight="1" ht="17.0">
      <c r="B267" s="665" t="s">
        <f>'6. Affiliates'!C311</f>
        <v>226</v>
      </c>
      <c r="C267" s="677">
        <f>'6. Affiliates'!D311</f>
        <v>0.0</v>
      </c>
      <c r="D267" s="677">
        <f>'6. Affiliates'!F311</f>
        <v>0.0</v>
      </c>
      <c r="E267" s="677">
        <f>'6. Affiliates'!H311</f>
        <v>0.0</v>
      </c>
      <c r="F267" s="678">
        <f>'6. Affiliates'!J311</f>
        <v>0.0</v>
      </c>
    </row>
    <row r="268" customHeight="1" ht="17.0">
      <c r="B268" s="665"/>
      <c r="C268" s="629"/>
      <c r="D268" s="629"/>
      <c r="E268" s="629"/>
      <c r="F268" s="630"/>
    </row>
    <row r="269" customHeight="1" ht="17.0">
      <c r="B269" s="601" t="s">
        <f>'6. Affiliates'!C313</f>
        <v>375</v>
      </c>
      <c r="C269" s="587">
        <f>'6. Affiliates'!D313</f>
        <v>0.0</v>
      </c>
      <c r="D269" s="587">
        <f>'6. Affiliates'!F313</f>
        <v>0.0</v>
      </c>
      <c r="E269" s="587">
        <f>'6. Affiliates'!H313</f>
        <v>0.0</v>
      </c>
      <c r="F269" s="688">
        <f>'6. Affiliates'!J313</f>
        <v>0.0</v>
      </c>
    </row>
    <row r="270" customHeight="1" ht="17.0">
      <c r="B270" s="601" t="s">
        <f>'6. Affiliates'!C314</f>
        <v>227</v>
      </c>
      <c r="C270" s="647">
        <f>'6. Affiliates'!D314</f>
        <v>0.0</v>
      </c>
      <c r="D270" s="647">
        <f>'6. Affiliates'!F314</f>
        <v>0.0</v>
      </c>
      <c r="E270" s="647">
        <f>'6. Affiliates'!H314</f>
        <v>0.0</v>
      </c>
      <c r="F270" s="648">
        <f>'6. Affiliates'!J314</f>
        <v>0.0</v>
      </c>
    </row>
    <row r="271" customHeight="1" ht="17.0">
      <c r="B271" s="628"/>
      <c r="C271" s="629"/>
      <c r="D271" s="629"/>
      <c r="E271" s="629"/>
      <c r="F271" s="630"/>
    </row>
    <row r="272" customHeight="1" ht="17.0">
      <c r="B272" s="653" t="s">
        <f>'6. Affiliates'!C316</f>
        <v>232</v>
      </c>
      <c r="C272" s="680">
        <f>'6. Affiliates'!D316</f>
        <v>0.0</v>
      </c>
      <c r="D272" s="680">
        <f>'6. Affiliates'!F316</f>
        <v>0.0</v>
      </c>
      <c r="E272" s="680">
        <f>'6. Affiliates'!H316</f>
        <v>0.0</v>
      </c>
      <c r="F272" s="681">
        <f>'6. Affiliates'!J316</f>
        <v>0.0</v>
      </c>
    </row>
    <row r="273" customHeight="1" ht="17.0">
      <c r="B273" s="683"/>
      <c r="C273" s="684"/>
      <c r="D273" s="684"/>
      <c r="E273" s="684"/>
      <c r="F273" s="685"/>
    </row>
    <row r="274" customHeight="1" ht="17.0">
      <c r="B274" s="689"/>
      <c r="C274" s="689"/>
      <c r="D274" s="689"/>
      <c r="E274" s="689"/>
      <c r="F274" s="689"/>
    </row>
    <row r="275" customHeight="1" ht="17.0">
      <c r="B275" s="689"/>
      <c r="C275" s="689"/>
      <c r="D275" s="689"/>
      <c r="E275" s="689"/>
      <c r="F275" s="689"/>
    </row>
    <row r="276" customHeight="1" ht="17.0">
      <c r="B276" s="522" t="s">
        <v>382</v>
      </c>
      <c r="C276" s="523"/>
      <c r="D276" s="523"/>
      <c r="E276" s="523"/>
      <c r="F276" s="524"/>
    </row>
    <row r="277" customHeight="1" ht="17.0">
      <c r="B277" s="525"/>
      <c r="C277" s="526"/>
      <c r="D277" s="526"/>
      <c r="E277" s="526"/>
      <c r="F277" s="527"/>
    </row>
    <row r="278" customHeight="1" ht="17.0">
      <c r="B278" s="623" t="s">
        <f>'6. Affiliates'!B320</f>
        <v>383</v>
      </c>
      <c r="C278" s="624"/>
      <c r="D278" s="624"/>
      <c r="E278" s="624"/>
      <c r="F278" s="625"/>
    </row>
    <row r="279" customHeight="1" ht="17.0">
      <c r="B279" s="628"/>
      <c r="C279" s="629"/>
      <c r="D279" s="629"/>
      <c r="E279" s="629"/>
      <c r="F279" s="630"/>
    </row>
    <row r="280" customHeight="1" ht="17.0">
      <c r="B280" s="601"/>
      <c r="C280" s="633">
        <f>'6. Affiliates'!D322</f>
        <v>44926.0</v>
      </c>
      <c r="D280" s="633">
        <f>'6. Affiliates'!F322</f>
        <v>45291.0</v>
      </c>
      <c r="E280" s="633">
        <f>'6. Affiliates'!H322</f>
        <v>45657.0</v>
      </c>
      <c r="F280" s="634">
        <f>'6. Affiliates'!J322</f>
        <v>45747.0</v>
      </c>
    </row>
    <row r="281" customHeight="1" ht="17.0">
      <c r="B281" s="636"/>
      <c r="C281" s="637"/>
      <c r="D281" s="637"/>
      <c r="E281" s="637"/>
      <c r="F281" s="638">
        <f>'6. Affiliates'!J326</f>
        <v>0.0</v>
      </c>
    </row>
    <row r="282" customHeight="1" ht="17.0">
      <c r="B282" s="601" t="s">
        <f>'6. Affiliates'!C336</f>
        <v>195</v>
      </c>
      <c r="C282" s="690">
        <f>'6. Affiliates'!D336</f>
        <v>0.0</v>
      </c>
      <c r="D282" s="691">
        <f>'6. Affiliates'!F336</f>
        <v>0.0</v>
      </c>
      <c r="E282" s="690">
        <f>'6. Affiliates'!H336</f>
        <v>0.0</v>
      </c>
      <c r="F282" s="692">
        <f>'6. Affiliates'!J336</f>
        <v>0.0</v>
      </c>
    </row>
    <row r="283" customHeight="1" ht="17.0">
      <c r="B283" s="601" t="s">
        <f>'6. Affiliates'!C337</f>
        <v>196</v>
      </c>
      <c r="C283" s="693">
        <f>'6. Affiliates'!D337</f>
        <v>0.0</v>
      </c>
      <c r="D283" s="694">
        <f>'6. Affiliates'!F337</f>
        <v>0.0</v>
      </c>
      <c r="E283" s="693">
        <f>'6. Affiliates'!H337</f>
        <v>0.0</v>
      </c>
      <c r="F283" s="695">
        <f>'6. Affiliates'!J337</f>
        <v>0.0</v>
      </c>
    </row>
    <row r="284" customHeight="1" ht="17.0">
      <c r="B284" s="601" t="s">
        <f>'6. Affiliates'!C338</f>
        <v>197</v>
      </c>
      <c r="C284" s="647">
        <f>'6. Affiliates'!D338</f>
        <v>0.0</v>
      </c>
      <c r="D284" s="647">
        <f>'6. Affiliates'!F338</f>
        <v>0.0</v>
      </c>
      <c r="E284" s="647">
        <f>'6. Affiliates'!H338</f>
        <v>0.0</v>
      </c>
      <c r="F284" s="647">
        <f>'6. Affiliates'!J338</f>
        <v>0.0</v>
      </c>
    </row>
    <row r="285" customHeight="1" ht="17.0">
      <c r="B285" s="601" t="s">
        <f>'6. Affiliates'!C365</f>
        <v>209</v>
      </c>
      <c r="C285" s="650">
        <f>'6. Affiliates'!D365</f>
        <v>0.0</v>
      </c>
      <c r="D285" s="650">
        <f>'6. Affiliates'!F365</f>
        <v>0.0</v>
      </c>
      <c r="E285" s="650">
        <f>'6. Affiliates'!H365</f>
        <v>0.0</v>
      </c>
      <c r="F285" s="650">
        <f>'6. Affiliates'!J365</f>
        <v>0.0</v>
      </c>
    </row>
    <row r="286" customHeight="1" ht="17.0">
      <c r="B286" s="653" t="s">
        <f>'6. Affiliates'!C367</f>
        <v>210</v>
      </c>
      <c r="C286" s="654">
        <f>'6. Affiliates'!D367</f>
        <v>0.0</v>
      </c>
      <c r="D286" s="654">
        <f>'6. Affiliates'!F367</f>
        <v>0.0</v>
      </c>
      <c r="E286" s="654">
        <f>'6. Affiliates'!H367</f>
        <v>0.0</v>
      </c>
      <c r="F286" s="654">
        <f>'6. Affiliates'!J367</f>
        <v>0.0</v>
      </c>
    </row>
    <row r="287" customHeight="1" ht="17.0">
      <c r="B287" s="601" t="s">
        <f>'6. Affiliates'!C373</f>
        <v>214</v>
      </c>
      <c r="C287" s="650">
        <f>'6. Affiliates'!D373</f>
        <v>0.0</v>
      </c>
      <c r="D287" s="650">
        <f>'6. Affiliates'!F373</f>
        <v>0.0</v>
      </c>
      <c r="E287" s="650">
        <f>'6. Affiliates'!H373</f>
        <v>0.0</v>
      </c>
      <c r="F287" s="650">
        <f>'6. Affiliates'!J373</f>
        <v>0.0</v>
      </c>
    </row>
    <row r="288" customHeight="1" ht="17.0">
      <c r="B288" s="601" t="s">
        <f>'6. Affiliates'!C375</f>
        <v>215</v>
      </c>
      <c r="C288" s="647">
        <f>'6. Affiliates'!D375</f>
        <v>0.0</v>
      </c>
      <c r="D288" s="647">
        <f>'6. Affiliates'!F375</f>
        <v>0.0</v>
      </c>
      <c r="E288" s="647">
        <f>'6. Affiliates'!H375</f>
        <v>0.0</v>
      </c>
      <c r="F288" s="647">
        <f>'6. Affiliates'!J375</f>
        <v>0.0</v>
      </c>
    </row>
    <row r="289" customHeight="1" ht="17.0">
      <c r="B289" s="601" t="s">
        <f>'6. Affiliates'!C376</f>
        <v>216</v>
      </c>
      <c r="C289" s="650">
        <f>'6. Affiliates'!D376</f>
        <v>0.0</v>
      </c>
      <c r="D289" s="650">
        <f>'6. Affiliates'!F376</f>
        <v>0.0</v>
      </c>
      <c r="E289" s="650">
        <f>'6. Affiliates'!H376</f>
        <v>0.0</v>
      </c>
      <c r="F289" s="650">
        <f>'6. Affiliates'!J376</f>
        <v>0.0</v>
      </c>
    </row>
    <row r="290" customHeight="1" ht="17.0">
      <c r="B290" s="653" t="s">
        <f>'6. Affiliates'!C378</f>
        <v>217</v>
      </c>
      <c r="C290" s="654">
        <f>'6. Affiliates'!D378</f>
        <v>0.0</v>
      </c>
      <c r="D290" s="654">
        <f>'6. Affiliates'!F378</f>
        <v>0.0</v>
      </c>
      <c r="E290" s="654">
        <f>'6. Affiliates'!H378</f>
        <v>0.0</v>
      </c>
      <c r="F290" s="654">
        <f>'6. Affiliates'!J378</f>
        <v>0.0</v>
      </c>
    </row>
    <row r="291" customHeight="1" ht="17.0">
      <c r="B291" s="601"/>
      <c r="C291" s="657"/>
      <c r="D291" s="657"/>
      <c r="E291" s="657"/>
      <c r="F291" s="658"/>
    </row>
    <row r="292" customHeight="1" ht="17.0">
      <c r="B292" s="661" t="s">
        <f>'6. Affiliates'!C380</f>
        <v>218</v>
      </c>
      <c r="C292" s="629"/>
      <c r="D292" s="629"/>
      <c r="E292" s="629"/>
      <c r="F292" s="630"/>
    </row>
    <row r="293" customHeight="1" ht="17.0">
      <c r="B293" s="661" t="s">
        <f>'6. Affiliates'!C381</f>
        <v>219</v>
      </c>
      <c r="C293" s="641">
        <f>'6. Affiliates'!D381</f>
        <v>0.0</v>
      </c>
      <c r="D293" s="641">
        <f>'6. Affiliates'!F381</f>
        <v>0.0</v>
      </c>
      <c r="E293" s="641">
        <f>'6. Affiliates'!H381</f>
        <v>0.0</v>
      </c>
      <c r="F293" s="642">
        <f>'6. Affiliates'!J381</f>
        <v>0.0</v>
      </c>
    </row>
    <row r="294" customHeight="1" ht="17.0">
      <c r="B294" s="661" t="s">
        <f>'6. Affiliates'!C382</f>
        <v>220</v>
      </c>
      <c r="C294" s="666">
        <f>'6. Affiliates'!D382</f>
        <v>0.0</v>
      </c>
      <c r="D294" s="641">
        <f>'6. Affiliates'!F382</f>
        <v>0.0</v>
      </c>
      <c r="E294" s="641">
        <f>'6. Affiliates'!H382</f>
        <v>0.0</v>
      </c>
      <c r="F294" s="642">
        <f>'6. Affiliates'!J382</f>
        <v>0.0</v>
      </c>
    </row>
    <row r="295" customHeight="1" ht="17.0">
      <c r="B295" s="661" t="s">
        <f>'6. Affiliates'!C383</f>
        <v>221</v>
      </c>
      <c r="C295" s="666">
        <f>'6. Affiliates'!D383</f>
        <v>0.0</v>
      </c>
      <c r="D295" s="641">
        <f>'6. Affiliates'!F383</f>
        <v>0.0</v>
      </c>
      <c r="E295" s="641">
        <f>'6. Affiliates'!H383</f>
        <v>0.0</v>
      </c>
      <c r="F295" s="642">
        <f>'6. Affiliates'!J383</f>
        <v>0.0</v>
      </c>
    </row>
    <row r="296" customHeight="1" ht="17.0">
      <c r="B296" s="661" t="s">
        <f>'6. Affiliates'!C384</f>
        <v>222</v>
      </c>
      <c r="C296" s="666">
        <f>'6. Affiliates'!D384</f>
        <v>0.0</v>
      </c>
      <c r="D296" s="641">
        <f>'6. Affiliates'!F384</f>
        <v>0.0</v>
      </c>
      <c r="E296" s="641">
        <f>'6. Affiliates'!H384</f>
        <v>0.0</v>
      </c>
      <c r="F296" s="642">
        <f>'6. Affiliates'!J384</f>
        <v>0.0</v>
      </c>
    </row>
    <row r="297" customHeight="1" ht="17.0">
      <c r="B297" s="661" t="s">
        <f>'6. Affiliates'!C385</f>
        <v>223</v>
      </c>
      <c r="C297" s="666">
        <f>'6. Affiliates'!D385</f>
        <v>0.0</v>
      </c>
      <c r="D297" s="641">
        <f>'6. Affiliates'!F385</f>
        <v>0.0</v>
      </c>
      <c r="E297" s="641">
        <f>'6. Affiliates'!H385</f>
        <v>0.0</v>
      </c>
      <c r="F297" s="642">
        <f>'6. Affiliates'!J385</f>
        <v>0.0</v>
      </c>
    </row>
    <row r="298" customHeight="1" ht="17.0">
      <c r="B298" s="661" t="s">
        <f>'6. Affiliates'!C386</f>
        <v>223</v>
      </c>
      <c r="C298" s="666">
        <f>'6. Affiliates'!D386</f>
        <v>0.0</v>
      </c>
      <c r="D298" s="641">
        <f>'6. Affiliates'!F386</f>
        <v>0.0</v>
      </c>
      <c r="E298" s="641">
        <f>'6. Affiliates'!H386</f>
        <v>0.0</v>
      </c>
      <c r="F298" s="642">
        <f>'6. Affiliates'!J386</f>
        <v>0.0</v>
      </c>
    </row>
    <row r="299" customHeight="1" ht="17.0">
      <c r="B299" s="661" t="s">
        <f>'6. Affiliates'!C387</f>
        <v>224</v>
      </c>
      <c r="C299" s="644">
        <f>'6. Affiliates'!D387</f>
        <v>0.0</v>
      </c>
      <c r="D299" s="587">
        <f>'6. Affiliates'!F387</f>
        <v>0.0</v>
      </c>
      <c r="E299" s="587">
        <f>'6. Affiliates'!H387</f>
        <v>0.0</v>
      </c>
      <c r="F299" s="688">
        <f>'6. Affiliates'!J387</f>
        <v>0.0</v>
      </c>
    </row>
    <row r="300" customHeight="1" ht="17.0">
      <c r="B300" s="661"/>
      <c r="C300" s="629"/>
      <c r="D300" s="629"/>
      <c r="E300" s="629"/>
      <c r="F300" s="630"/>
    </row>
    <row r="301" customHeight="1" ht="17.0">
      <c r="B301" s="661" t="s">
        <f>'6. Affiliates'!C390</f>
        <v>226</v>
      </c>
      <c r="C301" s="677">
        <f>'6. Affiliates'!D390</f>
        <v>0.0</v>
      </c>
      <c r="D301" s="677">
        <f>'6. Affiliates'!F390</f>
        <v>0.0</v>
      </c>
      <c r="E301" s="677">
        <f>'6. Affiliates'!H390</f>
        <v>0.0</v>
      </c>
      <c r="F301" s="678">
        <f>'6. Affiliates'!J390</f>
        <v>0.0</v>
      </c>
    </row>
    <row r="302" customHeight="1" ht="17.0">
      <c r="B302" s="661"/>
      <c r="C302" s="629"/>
      <c r="D302" s="629"/>
      <c r="E302" s="629"/>
      <c r="F302" s="630"/>
    </row>
    <row r="303" customHeight="1" ht="17.0">
      <c r="B303" s="661" t="s">
        <f>'6. Affiliates'!C392</f>
        <v>375</v>
      </c>
      <c r="C303" s="587">
        <f>'6. Affiliates'!D392</f>
        <v>0.0</v>
      </c>
      <c r="D303" s="587">
        <f>'6. Affiliates'!F392</f>
        <v>0.0</v>
      </c>
      <c r="E303" s="587">
        <f>'6. Affiliates'!H392</f>
        <v>0.0</v>
      </c>
      <c r="F303" s="688">
        <f>'6. Affiliates'!J392</f>
        <v>0.0</v>
      </c>
    </row>
    <row r="304" customHeight="1" ht="17.0">
      <c r="B304" s="661" t="s">
        <f>'6. Affiliates'!C393</f>
        <v>227</v>
      </c>
      <c r="C304" s="647">
        <f>'6. Affiliates'!D393</f>
        <v>0.0</v>
      </c>
      <c r="D304" s="647">
        <f>'6. Affiliates'!F393</f>
        <v>0.0</v>
      </c>
      <c r="E304" s="647">
        <f>'6. Affiliates'!H393</f>
        <v>0.0</v>
      </c>
      <c r="F304" s="648">
        <f>'6. Affiliates'!J393</f>
        <v>0.0</v>
      </c>
    </row>
    <row r="305" customHeight="1" ht="17.0">
      <c r="B305" s="661">
        <f>'6. Affiliates'!C394</f>
      </c>
      <c r="C305" s="629"/>
      <c r="D305" s="629"/>
      <c r="E305" s="629"/>
      <c r="F305" s="630"/>
    </row>
    <row r="306" customHeight="1" ht="17.0">
      <c r="B306" s="661" t="s">
        <f>'6. Affiliates'!C395</f>
        <v>232</v>
      </c>
      <c r="C306" s="680">
        <f>'6. Affiliates'!D395</f>
        <v>0.0</v>
      </c>
      <c r="D306" s="680">
        <f>'6. Affiliates'!F395</f>
        <v>0.0</v>
      </c>
      <c r="E306" s="680">
        <f>'6. Affiliates'!H395</f>
        <v>0.0</v>
      </c>
      <c r="F306" s="681">
        <f>'6. Affiliates'!J395</f>
        <v>0.0</v>
      </c>
    </row>
    <row r="307" customHeight="1" ht="17.0">
      <c r="B307" s="683"/>
      <c r="C307" s="684"/>
      <c r="D307" s="684"/>
      <c r="E307" s="684"/>
      <c r="F307" s="685"/>
    </row>
  </sheetData>
  <mergeCells count="55">
    <mergeCell ref="B44:D44"/>
    <mergeCell ref="B48:E48"/>
    <mergeCell ref="B47:E47"/>
    <mergeCell ref="B4:G4"/>
    <mergeCell ref="B3:G3"/>
    <mergeCell ref="B26:E26"/>
    <mergeCell ref="B27:E27"/>
    <mergeCell ref="B103:F103"/>
    <mergeCell ref="B104:F104"/>
    <mergeCell ref="B102:F102"/>
    <mergeCell ref="B75:C75"/>
    <mergeCell ref="B78:C78"/>
    <mergeCell ref="B80:C80"/>
    <mergeCell ref="B86:C86"/>
    <mergeCell ref="B85:C85"/>
    <mergeCell ref="B81:C81"/>
    <mergeCell ref="B82:C82"/>
    <mergeCell ref="B79:C79"/>
    <mergeCell ref="B69:C69"/>
    <mergeCell ref="B67:H67"/>
    <mergeCell ref="B68:H68"/>
    <mergeCell ref="B76:C76"/>
    <mergeCell ref="B77:C77"/>
    <mergeCell ref="B74:C74"/>
    <mergeCell ref="B73:C73"/>
    <mergeCell ref="B70:C70"/>
    <mergeCell ref="B72:C72"/>
    <mergeCell ref="B71:C71"/>
    <mergeCell ref="B176:F176"/>
    <mergeCell ref="B174:F174"/>
    <mergeCell ref="B175:F175"/>
    <mergeCell ref="B141:F141"/>
    <mergeCell ref="B140:F140"/>
    <mergeCell ref="G102:H102"/>
    <mergeCell ref="G103:H103"/>
    <mergeCell ref="G104:H104"/>
    <mergeCell ref="B142:F142"/>
    <mergeCell ref="E80:G80"/>
    <mergeCell ref="B242:F242"/>
    <mergeCell ref="E82:G82"/>
    <mergeCell ref="B244:F244"/>
    <mergeCell ref="E81:G81"/>
    <mergeCell ref="B243:F243"/>
    <mergeCell ref="B210:F210"/>
    <mergeCell ref="B209:F209"/>
    <mergeCell ref="B208:F208"/>
    <mergeCell ref="I4:L4"/>
    <mergeCell ref="I3:L3"/>
    <mergeCell ref="B276:F276"/>
    <mergeCell ref="B278:F278"/>
    <mergeCell ref="B277:F277"/>
    <mergeCell ref="N4:R4"/>
    <mergeCell ref="N3:R3"/>
    <mergeCell ref="T3:X3"/>
    <mergeCell ref="T4:X4"/>
  </mergeCells>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396"/>
  <sheetViews>
    <sheetView workbookViewId="0"/>
  </sheetViews>
  <sheetFormatPr defaultRowHeight="17.0" customHeight="1"/>
  <cols>
    <col min="1" max="1" width="10.59"/>
    <col min="2" max="2" width="25.96"/>
    <col min="3" max="3" width="36.83"/>
    <col min="4" max="4" width="13.11"/>
    <col min="5" max="5" width="10.86"/>
    <col min="6" max="6" width="13.11"/>
    <col min="7" max="7" width="10.86"/>
    <col min="8" max="8" width="10.46"/>
    <col min="9" max="9" width="10.86"/>
    <col min="10" max="10" width="9.14"/>
    <col min="11" max="2048" width="10.86"/>
  </cols>
  <sheetData>
    <row r="1" customHeight="1" ht="17.0">
      <c r="B1" s="5"/>
      <c r="C1" s="5"/>
      <c r="D1" s="5"/>
      <c r="E1" s="5"/>
      <c r="F1" s="5"/>
      <c r="G1" s="5"/>
      <c r="H1" s="5"/>
      <c r="I1" s="5"/>
      <c r="J1" s="5"/>
      <c r="K1" s="5"/>
    </row>
    <row r="2" ht="18.0">
      <c r="A2" s="5"/>
      <c r="B2" s="9" t="s">
        <v>384</v>
      </c>
      <c r="C2" s="373"/>
      <c r="D2" s="373"/>
      <c r="E2" s="373"/>
      <c r="F2" s="373"/>
      <c r="G2" s="373"/>
      <c r="H2" s="373"/>
      <c r="I2" s="373"/>
      <c r="J2" s="373"/>
      <c r="K2" s="374"/>
      <c r="L2" s="5"/>
    </row>
    <row r="3" ht="18.0">
      <c r="A3" s="5"/>
      <c r="B3" s="267" t="s">
        <v>20</v>
      </c>
      <c r="C3" s="268"/>
      <c r="D3" s="268"/>
      <c r="E3" s="268"/>
      <c r="F3" s="268"/>
      <c r="G3" s="268"/>
      <c r="H3" s="268"/>
      <c r="I3" s="268"/>
      <c r="J3" s="268"/>
      <c r="K3" s="269"/>
      <c r="L3" s="5"/>
    </row>
    <row r="4" ht="18.0">
      <c r="A4" s="5"/>
      <c r="B4" s="696" t="s">
        <v>374</v>
      </c>
      <c r="C4" s="273"/>
      <c r="D4" s="273"/>
      <c r="E4" s="273"/>
      <c r="F4" s="273"/>
      <c r="G4" s="273"/>
      <c r="H4" s="273"/>
      <c r="I4" s="273"/>
      <c r="J4" s="273"/>
      <c r="K4" s="697"/>
      <c r="L4" s="5"/>
    </row>
    <row hidden="1" r="5" customHeight="1" ht="17.0" outlineLevel="1">
      <c r="A5" s="5"/>
      <c r="B5" s="698" t="s">
        <v>176</v>
      </c>
      <c r="C5" s="699" t="s">
        <v>385</v>
      </c>
      <c r="D5" s="700"/>
      <c r="E5" s="700"/>
      <c r="F5" s="700"/>
      <c r="G5" s="700"/>
      <c r="H5" s="700"/>
      <c r="I5" s="700"/>
      <c r="J5" s="700"/>
      <c r="K5" s="701"/>
      <c r="L5" s="5"/>
    </row>
    <row hidden="1" r="6" customHeight="1" ht="17.0" outlineLevel="1">
      <c r="A6" s="5"/>
      <c r="B6" s="282" t="s">
        <v>178</v>
      </c>
      <c r="C6" s="68"/>
      <c r="D6" s="283">
        <v>44926.0</v>
      </c>
      <c r="E6" s="284"/>
      <c r="F6" s="283">
        <f>EOMONTH(D6,F7)</f>
        <v>45291.0</v>
      </c>
      <c r="G6" s="284"/>
      <c r="H6" s="283">
        <f>EOMONTH(F6,H7)</f>
        <v>45657.0</v>
      </c>
      <c r="I6" s="284"/>
      <c r="J6" s="283">
        <f>EOMONTH(H6,J7)</f>
        <v>45747.0</v>
      </c>
      <c r="K6" s="38"/>
      <c r="L6" s="5"/>
    </row>
    <row hidden="1" r="7" customHeight="1" ht="17.0" outlineLevel="1">
      <c r="A7" s="5"/>
      <c r="B7" s="282" t="s">
        <v>180</v>
      </c>
      <c r="C7" s="68"/>
      <c r="D7" s="286">
        <v>12.0</v>
      </c>
      <c r="E7" s="287"/>
      <c r="F7" s="286">
        <v>12.0</v>
      </c>
      <c r="G7" s="287"/>
      <c r="H7" s="286">
        <v>12.0</v>
      </c>
      <c r="I7" s="287"/>
      <c r="J7" s="286">
        <v>3.0</v>
      </c>
      <c r="K7" s="288"/>
      <c r="L7" s="5"/>
    </row>
    <row hidden="1" r="8" customHeight="1" ht="17.0" outlineLevel="1">
      <c r="A8" s="5"/>
      <c r="B8" s="282" t="s">
        <v>182</v>
      </c>
      <c r="C8" s="68"/>
      <c r="D8" s="289" t="s">
        <v>183</v>
      </c>
      <c r="E8" s="290"/>
      <c r="F8" s="289" t="s">
        <v>183</v>
      </c>
      <c r="G8" s="290"/>
      <c r="H8" s="289"/>
      <c r="I8" s="290"/>
      <c r="J8" s="289" t="s">
        <v>184</v>
      </c>
      <c r="K8" s="288"/>
      <c r="L8" s="5"/>
    </row>
    <row hidden="1" r="9" customHeight="1" ht="17.0" outlineLevel="1">
      <c r="A9" s="5"/>
      <c r="B9" s="282" t="s">
        <v>186</v>
      </c>
      <c r="C9" s="68"/>
      <c r="D9" s="289"/>
      <c r="E9" s="290"/>
      <c r="F9" s="289"/>
      <c r="G9" s="290"/>
      <c r="H9" s="289"/>
      <c r="I9" s="290"/>
      <c r="J9" s="289"/>
      <c r="K9" s="288"/>
      <c r="L9" s="5"/>
    </row>
    <row hidden="1" r="10" customHeight="1" ht="17.0" outlineLevel="1">
      <c r="A10" s="5"/>
      <c r="B10" s="293" t="s">
        <v>187</v>
      </c>
      <c r="C10" s="294"/>
      <c r="D10" s="702"/>
      <c r="E10" s="703"/>
      <c r="F10" s="702"/>
      <c r="G10" s="703"/>
      <c r="H10" s="702"/>
      <c r="I10" s="703"/>
      <c r="J10" s="296">
        <f>(J11/J7)*12</f>
        <v>0.0</v>
      </c>
      <c r="K10" s="297"/>
      <c r="L10" s="5"/>
    </row>
    <row hidden="1" r="11" customHeight="1" ht="17.0" outlineLevel="1">
      <c r="A11" s="5"/>
      <c r="B11" s="45" t="s">
        <v>188</v>
      </c>
      <c r="C11" s="68" t="s">
        <v>189</v>
      </c>
      <c r="D11" s="301">
        <v>0.0</v>
      </c>
      <c r="E11" s="704">
        <f t="shared" ref="E11:E22" si="4">IF(D$20=0,0,D11/D$20)</f>
        <v>0.0</v>
      </c>
      <c r="F11" s="301">
        <v>0.0</v>
      </c>
      <c r="G11" s="704">
        <f t="shared" ref="G11:G22" si="5">IF(F$20=0,0,F11/F$20)</f>
        <v>0.0</v>
      </c>
      <c r="H11" s="301">
        <v>0.0</v>
      </c>
      <c r="I11" s="704">
        <f t="shared" ref="I11:I22" si="6">IF(H$20=0,0,H11/H$20)</f>
        <v>0.0</v>
      </c>
      <c r="J11" s="301">
        <v>0.0</v>
      </c>
      <c r="K11" s="704">
        <f t="shared" ref="K11:K22" si="7">IF(J$20=0,0,J11/J$20)</f>
        <v>0.0</v>
      </c>
      <c r="L11" s="5"/>
    </row>
    <row hidden="1" r="12" customHeight="1" ht="17.0" outlineLevel="1">
      <c r="A12" s="5"/>
      <c r="B12" s="45" t="s">
        <v>191</v>
      </c>
      <c r="C12" s="68" t="s">
        <v>189</v>
      </c>
      <c r="D12" s="306">
        <v>0.0</v>
      </c>
      <c r="E12" s="704">
        <f t="shared" si="4"/>
        <v>0.0</v>
      </c>
      <c r="F12" s="306">
        <v>0.0</v>
      </c>
      <c r="G12" s="704">
        <f t="shared" si="5"/>
        <v>0.0</v>
      </c>
      <c r="H12" s="306">
        <v>0.0</v>
      </c>
      <c r="I12" s="704">
        <f t="shared" si="6"/>
        <v>0.0</v>
      </c>
      <c r="J12" s="306">
        <v>0.0</v>
      </c>
      <c r="K12" s="704">
        <f t="shared" si="7"/>
        <v>0.0</v>
      </c>
      <c r="L12" s="5"/>
    </row>
    <row hidden="1" r="13" customHeight="1" ht="17.0" outlineLevel="1">
      <c r="A13" s="5"/>
      <c r="B13" s="45" t="s">
        <v>193</v>
      </c>
      <c r="C13" s="68" t="s">
        <v>189</v>
      </c>
      <c r="D13" s="308">
        <f>D11-D12</f>
        <v>0.0</v>
      </c>
      <c r="E13" s="704">
        <f t="shared" si="4"/>
        <v>0.0</v>
      </c>
      <c r="F13" s="308">
        <f>F11-F12</f>
        <v>0.0</v>
      </c>
      <c r="G13" s="704">
        <f t="shared" si="5"/>
        <v>0.0</v>
      </c>
      <c r="H13" s="308">
        <f>H11-H12</f>
        <v>0.0</v>
      </c>
      <c r="I13" s="704">
        <f t="shared" si="6"/>
        <v>0.0</v>
      </c>
      <c r="J13" s="308">
        <f>J11-J12</f>
        <v>0.0</v>
      </c>
      <c r="K13" s="704">
        <f t="shared" si="7"/>
        <v>0.0</v>
      </c>
      <c r="L13" s="5"/>
    </row>
    <row hidden="1" r="14" customHeight="1" ht="17.0" outlineLevel="2">
      <c r="A14" s="5"/>
      <c r="B14" s="45" t="s">
        <v>188</v>
      </c>
      <c r="C14" s="68" t="s">
        <v>386</v>
      </c>
      <c r="D14" s="301">
        <v>0.0</v>
      </c>
      <c r="E14" s="704">
        <f t="shared" si="4"/>
        <v>0.0</v>
      </c>
      <c r="F14" s="301">
        <v>0.0</v>
      </c>
      <c r="G14" s="704">
        <f t="shared" si="5"/>
        <v>0.0</v>
      </c>
      <c r="H14" s="301">
        <v>0.0</v>
      </c>
      <c r="I14" s="704">
        <f t="shared" si="6"/>
        <v>0.0</v>
      </c>
      <c r="J14" s="301">
        <v>0.0</v>
      </c>
      <c r="K14" s="704">
        <f t="shared" si="7"/>
        <v>0.0</v>
      </c>
      <c r="L14" s="5"/>
    </row>
    <row hidden="1" r="15" customHeight="1" ht="17.0" outlineLevel="2">
      <c r="A15" s="5"/>
      <c r="B15" s="45" t="s">
        <v>191</v>
      </c>
      <c r="C15" s="68" t="s">
        <v>386</v>
      </c>
      <c r="D15" s="306">
        <v>0.0</v>
      </c>
      <c r="E15" s="704">
        <f t="shared" si="4"/>
        <v>0.0</v>
      </c>
      <c r="F15" s="306">
        <v>0.0</v>
      </c>
      <c r="G15" s="704">
        <f t="shared" si="5"/>
        <v>0.0</v>
      </c>
      <c r="H15" s="306">
        <v>0.0</v>
      </c>
      <c r="I15" s="704">
        <f t="shared" si="6"/>
        <v>0.0</v>
      </c>
      <c r="J15" s="306">
        <v>0.0</v>
      </c>
      <c r="K15" s="704">
        <f t="shared" si="7"/>
        <v>0.0</v>
      </c>
      <c r="L15" s="5"/>
    </row>
    <row hidden="1" r="16" customHeight="1" ht="17.0" outlineLevel="2">
      <c r="A16" s="5"/>
      <c r="B16" s="45" t="s">
        <v>193</v>
      </c>
      <c r="C16" s="68" t="s">
        <v>386</v>
      </c>
      <c r="D16" s="308">
        <f>D14-D15</f>
        <v>0.0</v>
      </c>
      <c r="E16" s="704">
        <f t="shared" si="4"/>
        <v>0.0</v>
      </c>
      <c r="F16" s="308">
        <f>F14-F15</f>
        <v>0.0</v>
      </c>
      <c r="G16" s="704">
        <f t="shared" si="5"/>
        <v>0.0</v>
      </c>
      <c r="H16" s="308">
        <f>H14-H15</f>
        <v>0.0</v>
      </c>
      <c r="I16" s="704">
        <f t="shared" si="6"/>
        <v>0.0</v>
      </c>
      <c r="J16" s="308">
        <f>J14-J15</f>
        <v>0.0</v>
      </c>
      <c r="K16" s="704">
        <f t="shared" si="7"/>
        <v>0.0</v>
      </c>
      <c r="L16" s="5"/>
    </row>
    <row hidden="1" r="17" customHeight="1" ht="17.0" outlineLevel="2">
      <c r="A17" s="5"/>
      <c r="B17" s="45" t="s">
        <v>188</v>
      </c>
      <c r="C17" s="68" t="s">
        <v>387</v>
      </c>
      <c r="D17" s="301">
        <v>0.0</v>
      </c>
      <c r="E17" s="704">
        <f t="shared" si="4"/>
        <v>0.0</v>
      </c>
      <c r="F17" s="301">
        <v>0.0</v>
      </c>
      <c r="G17" s="704">
        <f t="shared" si="5"/>
        <v>0.0</v>
      </c>
      <c r="H17" s="301">
        <v>0.0</v>
      </c>
      <c r="I17" s="704">
        <f t="shared" si="6"/>
        <v>0.0</v>
      </c>
      <c r="J17" s="301">
        <v>0.0</v>
      </c>
      <c r="K17" s="704">
        <f t="shared" si="7"/>
        <v>0.0</v>
      </c>
      <c r="L17" s="5"/>
    </row>
    <row hidden="1" r="18" customHeight="1" ht="17.0" outlineLevel="2">
      <c r="A18" s="5"/>
      <c r="B18" s="45" t="s">
        <v>191</v>
      </c>
      <c r="C18" s="68" t="s">
        <v>387</v>
      </c>
      <c r="D18" s="306">
        <v>0.0</v>
      </c>
      <c r="E18" s="704">
        <f t="shared" si="4"/>
        <v>0.0</v>
      </c>
      <c r="F18" s="306">
        <v>0.0</v>
      </c>
      <c r="G18" s="704">
        <f t="shared" si="5"/>
        <v>0.0</v>
      </c>
      <c r="H18" s="306">
        <v>0.0</v>
      </c>
      <c r="I18" s="704">
        <f t="shared" si="6"/>
        <v>0.0</v>
      </c>
      <c r="J18" s="306">
        <v>0.0</v>
      </c>
      <c r="K18" s="704">
        <f t="shared" si="7"/>
        <v>0.0</v>
      </c>
      <c r="L18" s="5"/>
    </row>
    <row hidden="1" r="19" customHeight="1" ht="17.0" outlineLevel="2">
      <c r="A19" s="5"/>
      <c r="B19" s="45" t="s">
        <v>193</v>
      </c>
      <c r="C19" s="68" t="s">
        <v>387</v>
      </c>
      <c r="D19" s="308">
        <f>D17-D18</f>
        <v>0.0</v>
      </c>
      <c r="E19" s="704">
        <f t="shared" si="4"/>
        <v>0.0</v>
      </c>
      <c r="F19" s="308">
        <f>F17-F18</f>
        <v>0.0</v>
      </c>
      <c r="G19" s="704">
        <f t="shared" si="5"/>
        <v>0.0</v>
      </c>
      <c r="H19" s="308">
        <f>H17-H18</f>
        <v>0.0</v>
      </c>
      <c r="I19" s="704">
        <f t="shared" si="6"/>
        <v>0.0</v>
      </c>
      <c r="J19" s="308">
        <f>J17-J18</f>
        <v>0.0</v>
      </c>
      <c r="K19" s="704">
        <f t="shared" si="7"/>
        <v>0.0</v>
      </c>
      <c r="L19" s="5"/>
    </row>
    <row hidden="1" r="20" customHeight="1" ht="17.0" outlineLevel="1" collapsed="1">
      <c r="A20" s="5"/>
      <c r="B20" s="45" t="s">
        <v>388</v>
      </c>
      <c r="C20" s="310" t="s">
        <v>195</v>
      </c>
      <c r="D20" s="313">
        <f t="shared" ref="D20:D21" si="20">D11+D14+D17</f>
        <v>0.0</v>
      </c>
      <c r="E20" s="704">
        <f t="shared" si="4"/>
        <v>0.0</v>
      </c>
      <c r="F20" s="313">
        <f t="shared" ref="F20:F21" si="21">F11+F14+F17</f>
        <v>0.0</v>
      </c>
      <c r="G20" s="704">
        <f t="shared" si="5"/>
        <v>0.0</v>
      </c>
      <c r="H20" s="313">
        <f t="shared" ref="H20:H21" si="22">H11+H14+H17</f>
        <v>0.0</v>
      </c>
      <c r="I20" s="704">
        <f t="shared" si="6"/>
        <v>0.0</v>
      </c>
      <c r="J20" s="313">
        <f t="shared" ref="J20:J21" si="23">J11+J14+J17</f>
        <v>0.0</v>
      </c>
      <c r="K20" s="704">
        <f t="shared" si="7"/>
        <v>0.0</v>
      </c>
      <c r="L20" s="5"/>
    </row>
    <row hidden="1" r="21" customHeight="1" ht="17.0" outlineLevel="1">
      <c r="A21" s="5"/>
      <c r="B21" s="98"/>
      <c r="C21" s="310" t="s">
        <v>196</v>
      </c>
      <c r="D21" s="315">
        <f t="shared" si="20"/>
        <v>0.0</v>
      </c>
      <c r="E21" s="704">
        <f t="shared" si="4"/>
        <v>0.0</v>
      </c>
      <c r="F21" s="315">
        <f t="shared" si="21"/>
        <v>0.0</v>
      </c>
      <c r="G21" s="704">
        <f t="shared" si="5"/>
        <v>0.0</v>
      </c>
      <c r="H21" s="315">
        <f t="shared" si="22"/>
        <v>0.0</v>
      </c>
      <c r="I21" s="704">
        <f t="shared" si="6"/>
        <v>0.0</v>
      </c>
      <c r="J21" s="315">
        <f t="shared" si="23"/>
        <v>0.0</v>
      </c>
      <c r="K21" s="704">
        <f t="shared" si="7"/>
        <v>0.0</v>
      </c>
      <c r="L21" s="5"/>
    </row>
    <row hidden="1" r="22" customHeight="1" ht="17.0" outlineLevel="1">
      <c r="A22" s="5"/>
      <c r="B22" s="98"/>
      <c r="C22" s="310" t="s">
        <v>197</v>
      </c>
      <c r="D22" s="317">
        <f>D20-D21</f>
        <v>0.0</v>
      </c>
      <c r="E22" s="704">
        <f t="shared" si="4"/>
        <v>0.0</v>
      </c>
      <c r="F22" s="317">
        <f>F20-F21</f>
        <v>0.0</v>
      </c>
      <c r="G22" s="704">
        <f t="shared" si="5"/>
        <v>0.0</v>
      </c>
      <c r="H22" s="317">
        <f>H20-H21</f>
        <v>0.0</v>
      </c>
      <c r="I22" s="704">
        <f t="shared" si="6"/>
        <v>0.0</v>
      </c>
      <c r="J22" s="317">
        <f>J20-J21</f>
        <v>0.0</v>
      </c>
      <c r="K22" s="704">
        <f t="shared" si="7"/>
        <v>0.0</v>
      </c>
      <c r="L22" s="5"/>
    </row>
    <row hidden="1" r="23" customHeight="1" ht="17.0" outlineLevel="1">
      <c r="A23" s="5"/>
      <c r="B23" s="98"/>
      <c r="C23" s="310"/>
      <c r="D23" s="705"/>
      <c r="E23" s="706"/>
      <c r="F23" s="705"/>
      <c r="G23" s="706"/>
      <c r="H23" s="705"/>
      <c r="I23" s="706"/>
      <c r="J23" s="705"/>
      <c r="K23" s="706"/>
      <c r="L23" s="5"/>
    </row>
    <row hidden="1" r="24" customHeight="1" ht="17.0" outlineLevel="1">
      <c r="A24" s="5"/>
      <c r="B24" s="98"/>
      <c r="C24" s="310" t="s">
        <v>198</v>
      </c>
      <c r="D24" s="707"/>
      <c r="E24" s="704"/>
      <c r="F24" s="707"/>
      <c r="G24" s="704"/>
      <c r="H24" s="707"/>
      <c r="I24" s="704"/>
      <c r="J24" s="707"/>
      <c r="K24" s="706"/>
      <c r="L24" s="5"/>
    </row>
    <row hidden="1" r="25" customHeight="1" ht="17.0" outlineLevel="1">
      <c r="A25" s="5"/>
      <c r="B25" s="98"/>
      <c r="C25" s="68" t="s">
        <v>199</v>
      </c>
      <c r="D25" s="301">
        <v>0.0</v>
      </c>
      <c r="E25" s="704">
        <f t="shared" ref="E25:E49" si="28">IF(D$20=0,0,D25/D$20)</f>
        <v>0.0</v>
      </c>
      <c r="F25" s="301">
        <v>0.0</v>
      </c>
      <c r="G25" s="704">
        <f t="shared" ref="G25:G49" si="29">IF(F$20=0,0,F25/F$20)</f>
        <v>0.0</v>
      </c>
      <c r="H25" s="301">
        <v>0.0</v>
      </c>
      <c r="I25" s="704">
        <f t="shared" ref="I25:I49" si="30">IF(H$20=0,0,H25/H$20)</f>
        <v>0.0</v>
      </c>
      <c r="J25" s="301">
        <v>0.0</v>
      </c>
      <c r="K25" s="704">
        <f t="shared" ref="K25:K49" si="31">IF(J$20=0,0,J25/J$20)</f>
        <v>0.0</v>
      </c>
      <c r="L25" s="5"/>
    </row>
    <row hidden="1" r="26" customHeight="1" ht="17.0" outlineLevel="1">
      <c r="A26" s="5"/>
      <c r="B26" s="98"/>
      <c r="C26" s="68" t="s">
        <v>200</v>
      </c>
      <c r="D26" s="326">
        <v>0.0</v>
      </c>
      <c r="E26" s="704">
        <f t="shared" si="28"/>
        <v>0.0</v>
      </c>
      <c r="F26" s="326">
        <v>0.0</v>
      </c>
      <c r="G26" s="704">
        <f t="shared" si="29"/>
        <v>0.0</v>
      </c>
      <c r="H26" s="326">
        <v>0.0</v>
      </c>
      <c r="I26" s="704">
        <f t="shared" si="30"/>
        <v>0.0</v>
      </c>
      <c r="J26" s="326">
        <v>0.0</v>
      </c>
      <c r="K26" s="704">
        <f t="shared" si="31"/>
        <v>0.0</v>
      </c>
      <c r="L26" s="5"/>
    </row>
    <row hidden="1" r="27" customHeight="1" ht="17.0" outlineLevel="1">
      <c r="A27" s="5"/>
      <c r="B27" s="98"/>
      <c r="C27" s="68" t="s">
        <v>201</v>
      </c>
      <c r="D27" s="326">
        <v>0.0</v>
      </c>
      <c r="E27" s="704">
        <f t="shared" si="28"/>
        <v>0.0</v>
      </c>
      <c r="F27" s="326">
        <v>0.0</v>
      </c>
      <c r="G27" s="704">
        <f t="shared" si="29"/>
        <v>0.0</v>
      </c>
      <c r="H27" s="326">
        <v>0.0</v>
      </c>
      <c r="I27" s="704">
        <f t="shared" si="30"/>
        <v>0.0</v>
      </c>
      <c r="J27" s="326">
        <v>0.0</v>
      </c>
      <c r="K27" s="704">
        <f t="shared" si="31"/>
        <v>0.0</v>
      </c>
      <c r="L27" s="5"/>
    </row>
    <row hidden="1" r="28" customHeight="1" ht="17.0" outlineLevel="1">
      <c r="A28" s="5"/>
      <c r="B28" s="98"/>
      <c r="C28" s="68" t="s">
        <v>202</v>
      </c>
      <c r="D28" s="326">
        <v>0.0</v>
      </c>
      <c r="E28" s="704">
        <f t="shared" si="28"/>
        <v>0.0</v>
      </c>
      <c r="F28" s="326">
        <v>0.0</v>
      </c>
      <c r="G28" s="704">
        <f t="shared" si="29"/>
        <v>0.0</v>
      </c>
      <c r="H28" s="326">
        <v>0.0</v>
      </c>
      <c r="I28" s="704">
        <f t="shared" si="30"/>
        <v>0.0</v>
      </c>
      <c r="J28" s="326">
        <v>0.0</v>
      </c>
      <c r="K28" s="704">
        <f t="shared" si="31"/>
        <v>0.0</v>
      </c>
      <c r="L28" s="5"/>
    </row>
    <row hidden="1" r="29" customHeight="1" ht="17.0" outlineLevel="1">
      <c r="A29" s="5"/>
      <c r="B29" s="98"/>
      <c r="C29" s="68" t="s">
        <v>203</v>
      </c>
      <c r="D29" s="326">
        <v>0.0</v>
      </c>
      <c r="E29" s="704">
        <f t="shared" si="28"/>
        <v>0.0</v>
      </c>
      <c r="F29" s="326">
        <v>0.0</v>
      </c>
      <c r="G29" s="704">
        <f t="shared" si="29"/>
        <v>0.0</v>
      </c>
      <c r="H29" s="326">
        <v>0.0</v>
      </c>
      <c r="I29" s="704">
        <f t="shared" si="30"/>
        <v>0.0</v>
      </c>
      <c r="J29" s="326">
        <v>0.0</v>
      </c>
      <c r="K29" s="704">
        <f t="shared" si="31"/>
        <v>0.0</v>
      </c>
      <c r="L29" s="5"/>
    </row>
    <row hidden="1" r="30" customHeight="1" ht="17.0" outlineLevel="1">
      <c r="A30" s="5"/>
      <c r="B30" s="98"/>
      <c r="C30" s="68" t="s">
        <v>204</v>
      </c>
      <c r="D30" s="326">
        <v>0.0</v>
      </c>
      <c r="E30" s="704">
        <f t="shared" si="28"/>
        <v>0.0</v>
      </c>
      <c r="F30" s="326">
        <v>0.0</v>
      </c>
      <c r="G30" s="704">
        <f t="shared" si="29"/>
        <v>0.0</v>
      </c>
      <c r="H30" s="326">
        <v>0.0</v>
      </c>
      <c r="I30" s="704">
        <f t="shared" si="30"/>
        <v>0.0</v>
      </c>
      <c r="J30" s="326">
        <v>0.0</v>
      </c>
      <c r="K30" s="704">
        <f t="shared" si="31"/>
        <v>0.0</v>
      </c>
      <c r="L30" s="5"/>
    </row>
    <row hidden="1" r="31" customHeight="1" ht="17.0" outlineLevel="1">
      <c r="A31" s="5"/>
      <c r="B31" s="98"/>
      <c r="C31" s="68" t="s">
        <v>205</v>
      </c>
      <c r="D31" s="326">
        <v>0.0</v>
      </c>
      <c r="E31" s="704">
        <f t="shared" si="28"/>
        <v>0.0</v>
      </c>
      <c r="F31" s="326">
        <v>0.0</v>
      </c>
      <c r="G31" s="704">
        <f t="shared" si="29"/>
        <v>0.0</v>
      </c>
      <c r="H31" s="326">
        <v>0.0</v>
      </c>
      <c r="I31" s="704">
        <f t="shared" si="30"/>
        <v>0.0</v>
      </c>
      <c r="J31" s="326">
        <v>0.0</v>
      </c>
      <c r="K31" s="704">
        <f t="shared" si="31"/>
        <v>0.0</v>
      </c>
      <c r="L31" s="5"/>
    </row>
    <row hidden="1" r="32" customHeight="1" ht="17.0" outlineLevel="1">
      <c r="A32" s="5"/>
      <c r="B32" s="98"/>
      <c r="C32" s="68" t="s">
        <v>206</v>
      </c>
      <c r="D32" s="326">
        <v>0.0</v>
      </c>
      <c r="E32" s="704">
        <f t="shared" si="28"/>
        <v>0.0</v>
      </c>
      <c r="F32" s="326">
        <v>0.0</v>
      </c>
      <c r="G32" s="704">
        <f t="shared" si="29"/>
        <v>0.0</v>
      </c>
      <c r="H32" s="326">
        <v>0.0</v>
      </c>
      <c r="I32" s="704">
        <f t="shared" si="30"/>
        <v>0.0</v>
      </c>
      <c r="J32" s="326">
        <v>0.0</v>
      </c>
      <c r="K32" s="704">
        <f t="shared" si="31"/>
        <v>0.0</v>
      </c>
      <c r="L32" s="5"/>
    </row>
    <row hidden="1" r="33" customHeight="1" ht="17.0" outlineLevel="1">
      <c r="A33" s="5"/>
      <c r="B33" s="98"/>
      <c r="C33" s="68" t="s">
        <v>207</v>
      </c>
      <c r="D33" s="326">
        <v>0.0</v>
      </c>
      <c r="E33" s="704">
        <f t="shared" si="28"/>
        <v>0.0</v>
      </c>
      <c r="F33" s="326">
        <v>0.0</v>
      </c>
      <c r="G33" s="704">
        <f t="shared" si="29"/>
        <v>0.0</v>
      </c>
      <c r="H33" s="326">
        <v>0.0</v>
      </c>
      <c r="I33" s="704">
        <f t="shared" si="30"/>
        <v>0.0</v>
      </c>
      <c r="J33" s="326">
        <v>0.0</v>
      </c>
      <c r="K33" s="704">
        <f t="shared" si="31"/>
        <v>0.0</v>
      </c>
      <c r="L33" s="5"/>
    </row>
    <row hidden="1" r="34" customHeight="1" ht="17.0" outlineLevel="1">
      <c r="A34" s="5"/>
      <c r="B34" s="98"/>
      <c r="C34" s="68" t="s">
        <v>389</v>
      </c>
      <c r="D34" s="326">
        <v>0.0</v>
      </c>
      <c r="E34" s="704">
        <f t="shared" si="28"/>
        <v>0.0</v>
      </c>
      <c r="F34" s="326">
        <v>0.0</v>
      </c>
      <c r="G34" s="704">
        <f t="shared" si="29"/>
        <v>0.0</v>
      </c>
      <c r="H34" s="326">
        <v>0.0</v>
      </c>
      <c r="I34" s="704">
        <f t="shared" si="30"/>
        <v>0.0</v>
      </c>
      <c r="J34" s="326">
        <v>0.0</v>
      </c>
      <c r="K34" s="704">
        <f t="shared" si="31"/>
        <v>0.0</v>
      </c>
      <c r="L34" s="5"/>
    </row>
    <row hidden="1" r="35" customHeight="1" ht="17.0" outlineLevel="1">
      <c r="A35" s="5"/>
      <c r="B35" s="98"/>
      <c r="C35" s="68" t="s">
        <v>390</v>
      </c>
      <c r="D35" s="326">
        <v>0.0</v>
      </c>
      <c r="E35" s="704">
        <f t="shared" si="28"/>
        <v>0.0</v>
      </c>
      <c r="F35" s="326">
        <v>0.0</v>
      </c>
      <c r="G35" s="704">
        <f t="shared" si="29"/>
        <v>0.0</v>
      </c>
      <c r="H35" s="326">
        <v>0.0</v>
      </c>
      <c r="I35" s="704">
        <f t="shared" si="30"/>
        <v>0.0</v>
      </c>
      <c r="J35" s="326">
        <v>0.0</v>
      </c>
      <c r="K35" s="704">
        <f t="shared" si="31"/>
        <v>0.0</v>
      </c>
      <c r="L35" s="5"/>
    </row>
    <row hidden="1" r="36" customHeight="1" ht="17.0" outlineLevel="1">
      <c r="A36" s="5"/>
      <c r="B36" s="98"/>
      <c r="C36" s="68" t="s">
        <v>391</v>
      </c>
      <c r="D36" s="326">
        <v>0.0</v>
      </c>
      <c r="E36" s="704">
        <f t="shared" si="28"/>
        <v>0.0</v>
      </c>
      <c r="F36" s="326">
        <v>0.0</v>
      </c>
      <c r="G36" s="704">
        <f t="shared" si="29"/>
        <v>0.0</v>
      </c>
      <c r="H36" s="326">
        <v>0.0</v>
      </c>
      <c r="I36" s="704">
        <f t="shared" si="30"/>
        <v>0.0</v>
      </c>
      <c r="J36" s="326">
        <v>0.0</v>
      </c>
      <c r="K36" s="704">
        <f t="shared" si="31"/>
        <v>0.0</v>
      </c>
      <c r="L36" s="5"/>
    </row>
    <row hidden="1" r="37" customHeight="1" ht="17.0" outlineLevel="1">
      <c r="A37" s="5"/>
      <c r="B37" s="98"/>
      <c r="C37" s="68" t="s">
        <v>392</v>
      </c>
      <c r="D37" s="326">
        <v>0.0</v>
      </c>
      <c r="E37" s="704">
        <f t="shared" si="28"/>
        <v>0.0</v>
      </c>
      <c r="F37" s="326">
        <v>0.0</v>
      </c>
      <c r="G37" s="704">
        <f t="shared" si="29"/>
        <v>0.0</v>
      </c>
      <c r="H37" s="326">
        <v>0.0</v>
      </c>
      <c r="I37" s="704">
        <f t="shared" si="30"/>
        <v>0.0</v>
      </c>
      <c r="J37" s="326">
        <v>0.0</v>
      </c>
      <c r="K37" s="704">
        <f t="shared" si="31"/>
        <v>0.0</v>
      </c>
      <c r="L37" s="5"/>
    </row>
    <row hidden="1" r="38" customHeight="1" ht="17.0" outlineLevel="1">
      <c r="A38" s="5"/>
      <c r="B38" s="98"/>
      <c r="C38" s="68" t="s">
        <v>393</v>
      </c>
      <c r="D38" s="326">
        <v>0.0</v>
      </c>
      <c r="E38" s="704">
        <f t="shared" si="28"/>
        <v>0.0</v>
      </c>
      <c r="F38" s="326">
        <v>0.0</v>
      </c>
      <c r="G38" s="704">
        <f t="shared" si="29"/>
        <v>0.0</v>
      </c>
      <c r="H38" s="326">
        <v>0.0</v>
      </c>
      <c r="I38" s="704">
        <f t="shared" si="30"/>
        <v>0.0</v>
      </c>
      <c r="J38" s="326">
        <v>0.0</v>
      </c>
      <c r="K38" s="704">
        <f t="shared" si="31"/>
        <v>0.0</v>
      </c>
      <c r="L38" s="5"/>
    </row>
    <row hidden="1" r="39" customHeight="1" ht="17.0" outlineLevel="1">
      <c r="A39" s="5"/>
      <c r="B39" s="98"/>
      <c r="C39" s="68" t="s">
        <v>394</v>
      </c>
      <c r="D39" s="326">
        <v>0.0</v>
      </c>
      <c r="E39" s="704">
        <f t="shared" si="28"/>
        <v>0.0</v>
      </c>
      <c r="F39" s="326">
        <v>0.0</v>
      </c>
      <c r="G39" s="704">
        <f t="shared" si="29"/>
        <v>0.0</v>
      </c>
      <c r="H39" s="326">
        <v>0.0</v>
      </c>
      <c r="I39" s="704">
        <f t="shared" si="30"/>
        <v>0.0</v>
      </c>
      <c r="J39" s="326">
        <v>0.0</v>
      </c>
      <c r="K39" s="704">
        <f t="shared" si="31"/>
        <v>0.0</v>
      </c>
      <c r="L39" s="5"/>
    </row>
    <row hidden="1" r="40" customHeight="1" ht="17.0" outlineLevel="1">
      <c r="A40" s="5"/>
      <c r="B40" s="98"/>
      <c r="C40" s="68" t="s">
        <v>395</v>
      </c>
      <c r="D40" s="326">
        <v>0.0</v>
      </c>
      <c r="E40" s="704">
        <f t="shared" si="28"/>
        <v>0.0</v>
      </c>
      <c r="F40" s="326">
        <v>0.0</v>
      </c>
      <c r="G40" s="704">
        <f t="shared" si="29"/>
        <v>0.0</v>
      </c>
      <c r="H40" s="326">
        <v>0.0</v>
      </c>
      <c r="I40" s="704">
        <f t="shared" si="30"/>
        <v>0.0</v>
      </c>
      <c r="J40" s="326">
        <v>0.0</v>
      </c>
      <c r="K40" s="704">
        <f t="shared" si="31"/>
        <v>0.0</v>
      </c>
      <c r="L40" s="5"/>
    </row>
    <row hidden="1" r="41" customHeight="1" ht="17.0" outlineLevel="1">
      <c r="A41" s="5"/>
      <c r="B41" s="98"/>
      <c r="C41" s="68" t="s">
        <v>396</v>
      </c>
      <c r="D41" s="326">
        <v>0.0</v>
      </c>
      <c r="E41" s="704">
        <f t="shared" si="28"/>
        <v>0.0</v>
      </c>
      <c r="F41" s="326">
        <v>0.0</v>
      </c>
      <c r="G41" s="704">
        <f t="shared" si="29"/>
        <v>0.0</v>
      </c>
      <c r="H41" s="326">
        <v>0.0</v>
      </c>
      <c r="I41" s="704">
        <f t="shared" si="30"/>
        <v>0.0</v>
      </c>
      <c r="J41" s="326">
        <v>0.0</v>
      </c>
      <c r="K41" s="704">
        <f t="shared" si="31"/>
        <v>0.0</v>
      </c>
      <c r="L41" s="5"/>
    </row>
    <row hidden="1" r="42" customHeight="1" ht="17.0" outlineLevel="1">
      <c r="A42" s="5"/>
      <c r="B42" s="98"/>
      <c r="C42" s="68" t="s">
        <v>397</v>
      </c>
      <c r="D42" s="326">
        <v>0.0</v>
      </c>
      <c r="E42" s="704">
        <f t="shared" si="28"/>
        <v>0.0</v>
      </c>
      <c r="F42" s="326">
        <v>0.0</v>
      </c>
      <c r="G42" s="704">
        <f t="shared" si="29"/>
        <v>0.0</v>
      </c>
      <c r="H42" s="326">
        <v>0.0</v>
      </c>
      <c r="I42" s="704">
        <f t="shared" si="30"/>
        <v>0.0</v>
      </c>
      <c r="J42" s="326">
        <v>0.0</v>
      </c>
      <c r="K42" s="704">
        <f t="shared" si="31"/>
        <v>0.0</v>
      </c>
      <c r="L42" s="5"/>
    </row>
    <row hidden="1" r="43" customHeight="1" ht="17.0" outlineLevel="1">
      <c r="A43" s="5"/>
      <c r="B43" s="98"/>
      <c r="C43" s="68" t="s">
        <v>398</v>
      </c>
      <c r="D43" s="326">
        <v>0.0</v>
      </c>
      <c r="E43" s="704">
        <f t="shared" si="28"/>
        <v>0.0</v>
      </c>
      <c r="F43" s="326">
        <v>0.0</v>
      </c>
      <c r="G43" s="704">
        <f t="shared" si="29"/>
        <v>0.0</v>
      </c>
      <c r="H43" s="326">
        <v>0.0</v>
      </c>
      <c r="I43" s="704">
        <f t="shared" si="30"/>
        <v>0.0</v>
      </c>
      <c r="J43" s="326">
        <v>0.0</v>
      </c>
      <c r="K43" s="704">
        <f t="shared" si="31"/>
        <v>0.0</v>
      </c>
      <c r="L43" s="5"/>
    </row>
    <row hidden="1" r="44" customHeight="1" ht="17.0" outlineLevel="1">
      <c r="A44" s="5"/>
      <c r="B44" s="98"/>
      <c r="C44" s="68" t="s">
        <v>208</v>
      </c>
      <c r="D44" s="326">
        <v>0.0</v>
      </c>
      <c r="E44" s="704">
        <f t="shared" si="28"/>
        <v>0.0</v>
      </c>
      <c r="F44" s="326">
        <v>0.0</v>
      </c>
      <c r="G44" s="704">
        <f t="shared" si="29"/>
        <v>0.0</v>
      </c>
      <c r="H44" s="326">
        <v>0.0</v>
      </c>
      <c r="I44" s="704">
        <f t="shared" si="30"/>
        <v>0.0</v>
      </c>
      <c r="J44" s="326">
        <v>0.0</v>
      </c>
      <c r="K44" s="704">
        <f t="shared" si="31"/>
        <v>0.0</v>
      </c>
      <c r="L44" s="5"/>
    </row>
    <row hidden="1" r="45" customHeight="1" ht="17.0" outlineLevel="1">
      <c r="A45" s="5"/>
      <c r="B45" s="98"/>
      <c r="C45" s="68" t="s">
        <v>208</v>
      </c>
      <c r="D45" s="326">
        <v>0.0</v>
      </c>
      <c r="E45" s="704">
        <f t="shared" si="28"/>
        <v>0.0</v>
      </c>
      <c r="F45" s="326">
        <v>0.0</v>
      </c>
      <c r="G45" s="704">
        <f t="shared" si="29"/>
        <v>0.0</v>
      </c>
      <c r="H45" s="326">
        <v>0.0</v>
      </c>
      <c r="I45" s="704">
        <f t="shared" si="30"/>
        <v>0.0</v>
      </c>
      <c r="J45" s="326">
        <v>0.0</v>
      </c>
      <c r="K45" s="704">
        <f t="shared" si="31"/>
        <v>0.0</v>
      </c>
      <c r="L45" s="5"/>
    </row>
    <row hidden="1" r="46" customHeight="1" ht="17.0" outlineLevel="1">
      <c r="A46" s="5"/>
      <c r="B46" s="98"/>
      <c r="C46" s="68" t="s">
        <v>208</v>
      </c>
      <c r="D46" s="326">
        <v>0.0</v>
      </c>
      <c r="E46" s="704">
        <f t="shared" si="28"/>
        <v>0.0</v>
      </c>
      <c r="F46" s="326">
        <v>0.0</v>
      </c>
      <c r="G46" s="704">
        <f t="shared" si="29"/>
        <v>0.0</v>
      </c>
      <c r="H46" s="326">
        <v>0.0</v>
      </c>
      <c r="I46" s="704">
        <f t="shared" si="30"/>
        <v>0.0</v>
      </c>
      <c r="J46" s="326">
        <v>0.0</v>
      </c>
      <c r="K46" s="704">
        <f t="shared" si="31"/>
        <v>0.0</v>
      </c>
      <c r="L46" s="5"/>
    </row>
    <row hidden="1" r="47" customHeight="1" ht="17.0" outlineLevel="1">
      <c r="A47" s="5"/>
      <c r="B47" s="45" t="s">
        <v>388</v>
      </c>
      <c r="C47" s="68" t="s">
        <v>208</v>
      </c>
      <c r="D47" s="326">
        <v>0.0</v>
      </c>
      <c r="E47" s="704">
        <f t="shared" si="28"/>
        <v>0.0</v>
      </c>
      <c r="F47" s="326">
        <v>0.0</v>
      </c>
      <c r="G47" s="704">
        <f t="shared" si="29"/>
        <v>0.0</v>
      </c>
      <c r="H47" s="326">
        <v>0.0</v>
      </c>
      <c r="I47" s="704">
        <f t="shared" si="30"/>
        <v>0.0</v>
      </c>
      <c r="J47" s="326">
        <v>0.0</v>
      </c>
      <c r="K47" s="704">
        <f t="shared" si="31"/>
        <v>0.0</v>
      </c>
      <c r="L47" s="5"/>
    </row>
    <row hidden="1" r="48" customHeight="1" ht="17.0" outlineLevel="1">
      <c r="A48" s="5"/>
      <c r="B48" s="98"/>
      <c r="C48" s="68" t="s">
        <v>208</v>
      </c>
      <c r="D48" s="306">
        <f>0-SUM(D25:D47)</f>
        <v>0.0</v>
      </c>
      <c r="E48" s="704">
        <f t="shared" si="28"/>
        <v>0.0</v>
      </c>
      <c r="F48" s="306">
        <f>0-SUM(F25:F47)</f>
        <v>0.0</v>
      </c>
      <c r="G48" s="704">
        <f t="shared" si="29"/>
        <v>0.0</v>
      </c>
      <c r="H48" s="306">
        <f>0-SUM(H25:H47)</f>
        <v>0.0</v>
      </c>
      <c r="I48" s="704">
        <f t="shared" si="30"/>
        <v>0.0</v>
      </c>
      <c r="J48" s="306">
        <f>0-SUM(J25:J47)</f>
        <v>0.0</v>
      </c>
      <c r="K48" s="704">
        <f t="shared" si="31"/>
        <v>0.0</v>
      </c>
      <c r="L48" s="5"/>
    </row>
    <row hidden="1" r="49" customHeight="1" ht="17.0" outlineLevel="1">
      <c r="A49" s="5"/>
      <c r="B49" s="98"/>
      <c r="C49" s="310" t="s">
        <v>209</v>
      </c>
      <c r="D49" s="330">
        <f>SUM(D25:D48)</f>
        <v>0.0</v>
      </c>
      <c r="E49" s="704">
        <f t="shared" si="28"/>
        <v>0.0</v>
      </c>
      <c r="F49" s="330">
        <f>SUM(F25:F48)</f>
        <v>0.0</v>
      </c>
      <c r="G49" s="704">
        <f t="shared" si="29"/>
        <v>0.0</v>
      </c>
      <c r="H49" s="330">
        <f>SUM(H25:H48)</f>
        <v>0.0</v>
      </c>
      <c r="I49" s="704">
        <f t="shared" si="30"/>
        <v>0.0</v>
      </c>
      <c r="J49" s="330">
        <f>SUM(J25:J48)</f>
        <v>0.0</v>
      </c>
      <c r="K49" s="704">
        <f t="shared" si="31"/>
        <v>0.0</v>
      </c>
      <c r="L49" s="5"/>
    </row>
    <row hidden="1" r="50" customHeight="1" ht="17.0" outlineLevel="1">
      <c r="A50" s="5"/>
      <c r="B50" s="98"/>
      <c r="C50" s="310"/>
      <c r="D50" s="708"/>
      <c r="E50" s="706"/>
      <c r="F50" s="708"/>
      <c r="G50" s="706"/>
      <c r="H50" s="708"/>
      <c r="I50" s="706"/>
      <c r="J50" s="708"/>
      <c r="K50" s="706"/>
      <c r="L50" s="5"/>
    </row>
    <row hidden="1" r="51" customHeight="1" ht="17.0" outlineLevel="1">
      <c r="A51" s="5"/>
      <c r="B51" s="98"/>
      <c r="C51" s="310" t="s">
        <v>210</v>
      </c>
      <c r="D51" s="330">
        <f>D22-D49</f>
        <v>0.0</v>
      </c>
      <c r="E51" s="704">
        <f>IF(D$20=0,0,D51/D$20)</f>
        <v>0.0</v>
      </c>
      <c r="F51" s="330">
        <f>F22-F49</f>
        <v>0.0</v>
      </c>
      <c r="G51" s="704">
        <f>IF(F$20=0,0,F51/F$20)</f>
        <v>0.0</v>
      </c>
      <c r="H51" s="330">
        <f>H22-H49</f>
        <v>0.0</v>
      </c>
      <c r="I51" s="704">
        <f>IF(H$20=0,0,H51/H$20)</f>
        <v>0.0</v>
      </c>
      <c r="J51" s="330">
        <f>J22-J49</f>
        <v>0.0</v>
      </c>
      <c r="K51" s="704">
        <f>IF(J$20=0,0,J51/J$20)</f>
        <v>0.0</v>
      </c>
      <c r="L51" s="5"/>
    </row>
    <row hidden="1" r="52" customHeight="1" ht="17.0" outlineLevel="1">
      <c r="A52" s="5"/>
      <c r="B52" s="98"/>
      <c r="C52" s="310"/>
      <c r="D52" s="709"/>
      <c r="E52" s="706"/>
      <c r="F52" s="709"/>
      <c r="G52" s="706"/>
      <c r="H52" s="709"/>
      <c r="I52" s="706"/>
      <c r="J52" s="709"/>
      <c r="K52" s="706"/>
      <c r="L52" s="5"/>
    </row>
    <row hidden="1" r="53" customHeight="1" ht="17.0" outlineLevel="1">
      <c r="A53" s="5"/>
      <c r="B53" s="98"/>
      <c r="C53" s="68" t="s">
        <v>211</v>
      </c>
      <c r="D53" s="301">
        <v>0.0</v>
      </c>
      <c r="E53" s="704">
        <f t="shared" ref="E53:E57" si="48">IF(D$20=0,0,D53/D$20)</f>
        <v>0.0</v>
      </c>
      <c r="F53" s="301">
        <v>0.0</v>
      </c>
      <c r="G53" s="704">
        <f t="shared" ref="G53:G57" si="49">IF(F$20=0,0,F53/F$20)</f>
        <v>0.0</v>
      </c>
      <c r="H53" s="301">
        <v>0.0</v>
      </c>
      <c r="I53" s="704">
        <f t="shared" ref="I53:I57" si="50">IF(H$20=0,0,H53/H$20)</f>
        <v>0.0</v>
      </c>
      <c r="J53" s="301">
        <v>0.0</v>
      </c>
      <c r="K53" s="704">
        <f t="shared" ref="K53:K57" si="51">IF(J$20=0,0,J53/J$20)</f>
        <v>0.0</v>
      </c>
      <c r="L53" s="5"/>
    </row>
    <row hidden="1" r="54" customHeight="1" ht="17.0" outlineLevel="1">
      <c r="A54" s="5"/>
      <c r="B54" s="98"/>
      <c r="C54" s="68" t="s">
        <v>211</v>
      </c>
      <c r="D54" s="326">
        <v>0.0</v>
      </c>
      <c r="E54" s="704">
        <f t="shared" si="48"/>
        <v>0.0</v>
      </c>
      <c r="F54" s="326">
        <v>0.0</v>
      </c>
      <c r="G54" s="704">
        <f t="shared" si="49"/>
        <v>0.0</v>
      </c>
      <c r="H54" s="326">
        <v>0.0</v>
      </c>
      <c r="I54" s="704">
        <f t="shared" si="50"/>
        <v>0.0</v>
      </c>
      <c r="J54" s="326">
        <v>0.0</v>
      </c>
      <c r="K54" s="704">
        <f t="shared" si="51"/>
        <v>0.0</v>
      </c>
      <c r="L54" s="5"/>
    </row>
    <row hidden="1" r="55" customHeight="1" ht="17.0" outlineLevel="1">
      <c r="A55" s="5"/>
      <c r="B55" s="98"/>
      <c r="C55" s="68" t="s">
        <v>213</v>
      </c>
      <c r="D55" s="326">
        <v>0.0</v>
      </c>
      <c r="E55" s="704">
        <f t="shared" si="48"/>
        <v>0.0</v>
      </c>
      <c r="F55" s="326">
        <v>0.0</v>
      </c>
      <c r="G55" s="704">
        <f t="shared" si="49"/>
        <v>0.0</v>
      </c>
      <c r="H55" s="326">
        <v>0.0</v>
      </c>
      <c r="I55" s="704">
        <f t="shared" si="50"/>
        <v>0.0</v>
      </c>
      <c r="J55" s="326">
        <v>0.0</v>
      </c>
      <c r="K55" s="704">
        <f t="shared" si="51"/>
        <v>0.0</v>
      </c>
      <c r="L55" s="5"/>
    </row>
    <row hidden="1" r="56" customHeight="1" ht="17.0" outlineLevel="1">
      <c r="A56" s="5"/>
      <c r="B56" s="98"/>
      <c r="C56" s="68" t="s">
        <v>213</v>
      </c>
      <c r="D56" s="306">
        <v>0.0</v>
      </c>
      <c r="E56" s="704">
        <f t="shared" si="48"/>
        <v>0.0</v>
      </c>
      <c r="F56" s="306">
        <v>0.0</v>
      </c>
      <c r="G56" s="704">
        <f t="shared" si="49"/>
        <v>0.0</v>
      </c>
      <c r="H56" s="306">
        <v>0.0</v>
      </c>
      <c r="I56" s="704">
        <f t="shared" si="50"/>
        <v>0.0</v>
      </c>
      <c r="J56" s="306">
        <v>0.0</v>
      </c>
      <c r="K56" s="704">
        <f t="shared" si="51"/>
        <v>0.0</v>
      </c>
      <c r="L56" s="5"/>
    </row>
    <row hidden="1" r="57" customHeight="1" ht="17.0" outlineLevel="1">
      <c r="A57" s="5"/>
      <c r="B57" s="98"/>
      <c r="C57" s="310" t="s">
        <v>214</v>
      </c>
      <c r="D57" s="330">
        <f>SUM(D53:D56)</f>
        <v>0.0</v>
      </c>
      <c r="E57" s="704">
        <f t="shared" si="48"/>
        <v>0.0</v>
      </c>
      <c r="F57" s="330">
        <f>SUM(F53:F56)</f>
        <v>0.0</v>
      </c>
      <c r="G57" s="704">
        <f t="shared" si="49"/>
        <v>0.0</v>
      </c>
      <c r="H57" s="330">
        <f>SUM(H53:H56)</f>
        <v>0.0</v>
      </c>
      <c r="I57" s="704">
        <f t="shared" si="50"/>
        <v>0.0</v>
      </c>
      <c r="J57" s="330">
        <f>SUM(J53:J56)</f>
        <v>0.0</v>
      </c>
      <c r="K57" s="704">
        <f t="shared" si="51"/>
        <v>0.0</v>
      </c>
      <c r="L57" s="5"/>
    </row>
    <row hidden="1" r="58" customHeight="1" ht="17.0" outlineLevel="1">
      <c r="A58" s="5"/>
      <c r="B58" s="98"/>
      <c r="C58" s="310"/>
      <c r="D58" s="708"/>
      <c r="E58" s="706"/>
      <c r="F58" s="708"/>
      <c r="G58" s="706"/>
      <c r="H58" s="708"/>
      <c r="I58" s="706"/>
      <c r="J58" s="708"/>
      <c r="K58" s="710"/>
      <c r="L58" s="5"/>
    </row>
    <row hidden="1" r="59" customHeight="1" ht="17.0" outlineLevel="1">
      <c r="A59" s="5"/>
      <c r="B59" s="98"/>
      <c r="C59" s="310" t="s">
        <v>215</v>
      </c>
      <c r="D59" s="330">
        <f>D22-D49+D57</f>
        <v>0.0</v>
      </c>
      <c r="E59" s="704">
        <f t="shared" ref="E59:E60" si="57">IF(D$20=0,0,D59/D$20)</f>
        <v>0.0</v>
      </c>
      <c r="F59" s="330">
        <f>F22-F49+F57</f>
        <v>0.0</v>
      </c>
      <c r="G59" s="704">
        <f t="shared" ref="G59:G60" si="59">IF(F$20=0,0,F59/F$20)</f>
        <v>0.0</v>
      </c>
      <c r="H59" s="330">
        <f>H22-H49+H57</f>
        <v>0.0</v>
      </c>
      <c r="I59" s="704">
        <f t="shared" ref="I59:I60" si="61">IF(H$20=0,0,H59/H$20)</f>
        <v>0.0</v>
      </c>
      <c r="J59" s="330">
        <f>J22-J49+J57</f>
        <v>0.0</v>
      </c>
      <c r="K59" s="704">
        <f t="shared" ref="K59:K60" si="63">IF(J$20=0,0,J59/J$20)</f>
        <v>0.0</v>
      </c>
      <c r="L59" s="5"/>
    </row>
    <row hidden="1" r="60" customHeight="1" ht="17.0" outlineLevel="1">
      <c r="A60" s="5"/>
      <c r="B60" s="98"/>
      <c r="C60" s="310" t="s">
        <v>216</v>
      </c>
      <c r="D60" s="330">
        <v>0.0</v>
      </c>
      <c r="E60" s="704">
        <f t="shared" si="57"/>
        <v>0.0</v>
      </c>
      <c r="F60" s="330">
        <v>0.0</v>
      </c>
      <c r="G60" s="704">
        <f t="shared" si="59"/>
        <v>0.0</v>
      </c>
      <c r="H60" s="330">
        <v>0.0</v>
      </c>
      <c r="I60" s="704">
        <f t="shared" si="61"/>
        <v>0.0</v>
      </c>
      <c r="J60" s="330">
        <v>0.0</v>
      </c>
      <c r="K60" s="704">
        <f t="shared" si="63"/>
        <v>0.0</v>
      </c>
      <c r="L60" s="5"/>
    </row>
    <row hidden="1" r="61" customHeight="1" ht="17.0" outlineLevel="1">
      <c r="A61" s="5"/>
      <c r="B61" s="98"/>
      <c r="C61" s="340"/>
      <c r="D61" s="711"/>
      <c r="E61" s="300"/>
      <c r="F61" s="711"/>
      <c r="G61" s="704"/>
      <c r="H61" s="711"/>
      <c r="I61" s="704"/>
      <c r="J61" s="711"/>
      <c r="K61" s="712"/>
      <c r="L61" s="5"/>
    </row>
    <row hidden="1" r="62" customHeight="1" ht="17.0" outlineLevel="1">
      <c r="A62" s="5"/>
      <c r="B62" s="98"/>
      <c r="C62" s="310" t="s">
        <v>217</v>
      </c>
      <c r="D62" s="330">
        <f>D59-D60</f>
        <v>0.0</v>
      </c>
      <c r="E62" s="704">
        <f>IF(D$20=0,0,D62/D$20)</f>
        <v>0.0</v>
      </c>
      <c r="F62" s="330">
        <f>F59-F60</f>
        <v>0.0</v>
      </c>
      <c r="G62" s="704">
        <f>IF(F$20=0,0,F62/F$20)</f>
        <v>0.0</v>
      </c>
      <c r="H62" s="330">
        <f>H59-H60</f>
        <v>0.0</v>
      </c>
      <c r="I62" s="704">
        <f>IF(H$20=0,0,H62/H$20)</f>
        <v>0.0</v>
      </c>
      <c r="J62" s="330">
        <f>J59-J60</f>
        <v>0.0</v>
      </c>
      <c r="K62" s="704">
        <f>IF(J$20=0,0,J62/J$20)</f>
        <v>0.0</v>
      </c>
      <c r="L62" s="5"/>
    </row>
    <row hidden="1" r="63" customHeight="1" ht="17.0" outlineLevel="1">
      <c r="A63" s="5"/>
      <c r="B63" s="72"/>
      <c r="C63" s="367"/>
      <c r="D63" s="713"/>
      <c r="E63" s="714"/>
      <c r="F63" s="713"/>
      <c r="G63" s="714"/>
      <c r="H63" s="713"/>
      <c r="I63" s="714"/>
      <c r="J63" s="713"/>
      <c r="K63" s="715"/>
      <c r="L63" s="5"/>
    </row>
    <row hidden="1" r="64" customHeight="1" ht="17.0" outlineLevel="1">
      <c r="A64" s="5"/>
      <c r="B64" s="98"/>
      <c r="C64" s="348" t="s">
        <v>218</v>
      </c>
      <c r="D64" s="30"/>
      <c r="E64" s="30"/>
      <c r="F64" s="30"/>
      <c r="G64" s="30"/>
      <c r="H64" s="30"/>
      <c r="I64" s="30"/>
      <c r="J64" s="30"/>
      <c r="K64" s="38"/>
      <c r="L64" s="5"/>
    </row>
    <row hidden="1" r="65" customHeight="1" ht="17.0" outlineLevel="1">
      <c r="A65" s="5"/>
      <c r="B65" s="98"/>
      <c r="C65" s="350" t="s">
        <v>219</v>
      </c>
      <c r="D65" s="353">
        <f>D25</f>
        <v>0.0</v>
      </c>
      <c r="E65" s="30"/>
      <c r="F65" s="353">
        <f>F25</f>
        <v>0.0</v>
      </c>
      <c r="G65" s="30"/>
      <c r="H65" s="353">
        <f>H25</f>
        <v>0.0</v>
      </c>
      <c r="I65" s="30"/>
      <c r="J65" s="353">
        <f>J25</f>
        <v>0.0</v>
      </c>
      <c r="K65" s="38"/>
      <c r="L65" s="5"/>
    </row>
    <row hidden="1" r="66" customHeight="1" ht="17.0" outlineLevel="1">
      <c r="A66" s="5"/>
      <c r="B66" s="98"/>
      <c r="C66" s="354" t="s">
        <v>220</v>
      </c>
      <c r="D66" s="353">
        <f>D32</f>
        <v>0.0</v>
      </c>
      <c r="E66" s="30"/>
      <c r="F66" s="353">
        <f>F32</f>
        <v>0.0</v>
      </c>
      <c r="G66" s="30"/>
      <c r="H66" s="353">
        <f>H32</f>
        <v>0.0</v>
      </c>
      <c r="I66" s="30"/>
      <c r="J66" s="353">
        <f>J32</f>
        <v>0.0</v>
      </c>
      <c r="K66" s="38"/>
      <c r="L66" s="5"/>
    </row>
    <row hidden="1" r="67" customHeight="1" ht="17.0" outlineLevel="1">
      <c r="A67" s="5"/>
      <c r="B67" s="98"/>
      <c r="C67" s="354" t="s">
        <v>221</v>
      </c>
      <c r="D67" s="353">
        <f>D31</f>
        <v>0.0</v>
      </c>
      <c r="E67" s="30"/>
      <c r="F67" s="353">
        <f>F31</f>
        <v>0.0</v>
      </c>
      <c r="G67" s="30"/>
      <c r="H67" s="353">
        <f>H31</f>
        <v>0.0</v>
      </c>
      <c r="I67" s="30"/>
      <c r="J67" s="353">
        <f>J31</f>
        <v>0.0</v>
      </c>
      <c r="K67" s="38"/>
      <c r="L67" s="5"/>
    </row>
    <row hidden="1" r="68" customHeight="1" ht="17.0" outlineLevel="1">
      <c r="A68" s="5"/>
      <c r="B68" s="98"/>
      <c r="C68" s="354" t="s">
        <v>222</v>
      </c>
      <c r="D68" s="353">
        <v>0.0</v>
      </c>
      <c r="E68" s="30"/>
      <c r="F68" s="353">
        <v>0.0</v>
      </c>
      <c r="G68" s="30"/>
      <c r="H68" s="353">
        <v>0.0</v>
      </c>
      <c r="I68" s="30"/>
      <c r="J68" s="353">
        <v>0.0</v>
      </c>
      <c r="K68" s="38"/>
      <c r="L68" s="5"/>
    </row>
    <row hidden="1" r="69" customHeight="1" ht="17.0" outlineLevel="1">
      <c r="A69" s="5"/>
      <c r="B69" s="98"/>
      <c r="C69" s="356" t="s">
        <v>223</v>
      </c>
      <c r="D69" s="353">
        <v>0.0</v>
      </c>
      <c r="E69" s="30"/>
      <c r="F69" s="353">
        <v>0.0</v>
      </c>
      <c r="G69" s="30"/>
      <c r="H69" s="353">
        <v>0.0</v>
      </c>
      <c r="I69" s="30"/>
      <c r="J69" s="353">
        <v>0.0</v>
      </c>
      <c r="K69" s="38"/>
      <c r="L69" s="5"/>
    </row>
    <row hidden="1" r="70" customHeight="1" ht="17.0" outlineLevel="1">
      <c r="A70" s="5"/>
      <c r="B70" s="98"/>
      <c r="C70" s="356" t="s">
        <v>223</v>
      </c>
      <c r="D70" s="353">
        <v>0.0</v>
      </c>
      <c r="E70" s="30"/>
      <c r="F70" s="353">
        <v>0.0</v>
      </c>
      <c r="G70" s="30"/>
      <c r="H70" s="353">
        <v>0.0</v>
      </c>
      <c r="I70" s="30"/>
      <c r="J70" s="353">
        <v>0.0</v>
      </c>
      <c r="K70" s="38"/>
      <c r="L70" s="5"/>
    </row>
    <row hidden="1" r="71" customHeight="1" ht="17.0" outlineLevel="1">
      <c r="A71" s="5"/>
      <c r="B71" s="98"/>
      <c r="C71" s="354" t="s">
        <v>224</v>
      </c>
      <c r="D71" s="353">
        <v>0.0</v>
      </c>
      <c r="E71" s="30"/>
      <c r="F71" s="353">
        <v>0.0</v>
      </c>
      <c r="G71" s="30"/>
      <c r="H71" s="353">
        <v>0.0</v>
      </c>
      <c r="I71" s="30"/>
      <c r="J71" s="353">
        <v>0.0</v>
      </c>
      <c r="K71" s="38"/>
      <c r="L71" s="5"/>
    </row>
    <row hidden="1" r="72" customHeight="1" ht="17.0" outlineLevel="1">
      <c r="A72" s="5"/>
      <c r="B72" s="98"/>
      <c r="C72" s="354" t="s">
        <v>225</v>
      </c>
      <c r="D72" s="359">
        <v>0.0</v>
      </c>
      <c r="E72" s="30"/>
      <c r="F72" s="359">
        <v>0.0</v>
      </c>
      <c r="G72" s="30"/>
      <c r="H72" s="359">
        <v>0.0</v>
      </c>
      <c r="I72" s="30"/>
      <c r="J72" s="359">
        <v>0.0</v>
      </c>
      <c r="K72" s="38"/>
      <c r="L72" s="5"/>
    </row>
    <row hidden="1" r="73" customHeight="1" ht="17.0" outlineLevel="1">
      <c r="A73" s="5"/>
      <c r="B73" s="98"/>
      <c r="C73" s="354"/>
      <c r="D73" s="30"/>
      <c r="E73" s="30"/>
      <c r="F73" s="30"/>
      <c r="G73" s="30"/>
      <c r="H73" s="30"/>
      <c r="I73" s="30"/>
      <c r="J73" s="30"/>
      <c r="K73" s="38"/>
      <c r="L73" s="5"/>
    </row>
    <row hidden="1" r="74" customHeight="1" ht="17.0" outlineLevel="1">
      <c r="A74" s="5"/>
      <c r="B74" s="98"/>
      <c r="C74" s="354" t="s">
        <v>226</v>
      </c>
      <c r="D74" s="363">
        <f>D62+SUM(D65:D72)</f>
        <v>0.0</v>
      </c>
      <c r="E74" s="354"/>
      <c r="F74" s="363">
        <f>F62+SUM(F65:F72)</f>
        <v>0.0</v>
      </c>
      <c r="G74" s="354"/>
      <c r="H74" s="363">
        <f>H62+SUM(H65:H72)</f>
        <v>0.0</v>
      </c>
      <c r="I74" s="354"/>
      <c r="J74" s="363">
        <f>J62+SUM(J65:J72)</f>
        <v>0.0</v>
      </c>
      <c r="K74" s="38"/>
      <c r="L74" s="5"/>
    </row>
    <row hidden="1" r="75" customHeight="1" ht="17.0" outlineLevel="1">
      <c r="A75" s="5"/>
      <c r="B75" s="98"/>
      <c r="C75" s="354"/>
      <c r="D75" s="30"/>
      <c r="E75" s="30"/>
      <c r="F75" s="30"/>
      <c r="G75" s="30"/>
      <c r="H75" s="30"/>
      <c r="I75" s="30"/>
      <c r="J75" s="30"/>
      <c r="K75" s="38"/>
      <c r="L75" s="5"/>
    </row>
    <row hidden="1" r="76" customHeight="1" ht="17.0" outlineLevel="1">
      <c r="A76" s="5"/>
      <c r="B76" s="98"/>
      <c r="C76" s="68" t="s">
        <v>375</v>
      </c>
      <c r="D76" s="353">
        <v>0.0</v>
      </c>
      <c r="E76" s="30"/>
      <c r="F76" s="353">
        <v>0.0</v>
      </c>
      <c r="G76" s="30"/>
      <c r="H76" s="353">
        <v>0.0</v>
      </c>
      <c r="I76" s="30"/>
      <c r="J76" s="353">
        <v>0.0</v>
      </c>
      <c r="K76" s="38"/>
      <c r="L76" s="5"/>
    </row>
    <row hidden="1" r="77" customHeight="1" ht="17.0" outlineLevel="1">
      <c r="A77" s="5"/>
      <c r="B77" s="98"/>
      <c r="C77" s="68" t="s">
        <v>227</v>
      </c>
      <c r="D77" s="308">
        <f>D76*D7</f>
        <v>0.0</v>
      </c>
      <c r="E77" s="30"/>
      <c r="F77" s="308">
        <f>F76*F7</f>
        <v>0.0</v>
      </c>
      <c r="G77" s="30"/>
      <c r="H77" s="308">
        <f>H76*H7</f>
        <v>0.0</v>
      </c>
      <c r="I77" s="30"/>
      <c r="J77" s="308">
        <f>J76*J7</f>
        <v>0.0</v>
      </c>
      <c r="K77" s="38"/>
      <c r="L77" s="5"/>
    </row>
    <row hidden="1" r="78" customHeight="1" ht="17.0" outlineLevel="1">
      <c r="A78" s="5"/>
      <c r="B78" s="98"/>
      <c r="C78" s="30"/>
      <c r="D78" s="30"/>
      <c r="E78" s="30"/>
      <c r="F78" s="30"/>
      <c r="G78" s="30"/>
      <c r="H78" s="30"/>
      <c r="I78" s="30"/>
      <c r="J78" s="30"/>
      <c r="K78" s="38"/>
      <c r="L78" s="5"/>
    </row>
    <row hidden="1" r="79" customHeight="1" ht="17.0" outlineLevel="1">
      <c r="A79" s="5"/>
      <c r="B79" s="98"/>
      <c r="C79" s="310" t="s">
        <v>232</v>
      </c>
      <c r="D79" s="366">
        <f>IFERROR(D74/D77,0)</f>
        <v>0.0</v>
      </c>
      <c r="E79" s="30"/>
      <c r="F79" s="366">
        <f>IFERROR(F74/F77,0)</f>
        <v>0.0</v>
      </c>
      <c r="G79" s="30"/>
      <c r="H79" s="366">
        <f>IFERROR(H74/H77,0)</f>
        <v>0.0</v>
      </c>
      <c r="I79" s="30"/>
      <c r="J79" s="366">
        <f>IFERROR(J74/J77,0)</f>
        <v>0.0</v>
      </c>
      <c r="K79" s="38"/>
      <c r="L79" s="5"/>
    </row>
    <row hidden="1" r="80" customHeight="1" ht="17.0" outlineLevel="1">
      <c r="A80" s="5"/>
      <c r="B80" s="716" t="s">
        <v>399</v>
      </c>
      <c r="C80" s="717"/>
      <c r="D80" s="717"/>
      <c r="E80" s="73"/>
      <c r="F80" s="73"/>
      <c r="G80" s="73"/>
      <c r="H80" s="73"/>
      <c r="I80" s="73"/>
      <c r="J80" s="73"/>
      <c r="K80" s="74"/>
      <c r="L80" s="5"/>
    </row>
    <row r="81" customHeight="1" ht="17.0" collapsed="1">
      <c r="B81" s="4"/>
      <c r="C81" s="4"/>
      <c r="D81" s="4"/>
      <c r="E81" s="6"/>
      <c r="F81" s="6"/>
      <c r="G81" s="6"/>
      <c r="H81" s="6"/>
      <c r="I81" s="6"/>
      <c r="J81" s="6"/>
      <c r="K81" s="6"/>
    </row>
    <row r="82" ht="17.0">
      <c r="A82" s="5"/>
      <c r="B82" s="9" t="s">
        <v>20</v>
      </c>
      <c r="C82" s="373"/>
      <c r="D82" s="373"/>
      <c r="E82" s="373"/>
      <c r="F82" s="373"/>
      <c r="G82" s="373"/>
      <c r="H82" s="373"/>
      <c r="I82" s="373"/>
      <c r="J82" s="373"/>
      <c r="K82" s="374"/>
      <c r="L82" s="5"/>
    </row>
    <row r="83" ht="17.0">
      <c r="A83" s="5"/>
      <c r="B83" s="718" t="s">
        <v>377</v>
      </c>
      <c r="C83" s="719"/>
      <c r="D83" s="719"/>
      <c r="E83" s="719"/>
      <c r="F83" s="719"/>
      <c r="G83" s="719"/>
      <c r="H83" s="719"/>
      <c r="I83" s="719"/>
      <c r="J83" s="719"/>
      <c r="K83" s="720"/>
      <c r="L83" s="5"/>
    </row>
    <row hidden="1" r="84" customHeight="1" ht="17.0" outlineLevel="1">
      <c r="A84" s="5"/>
      <c r="B84" s="278" t="s">
        <v>176</v>
      </c>
      <c r="C84" s="721" t="s">
        <v>385</v>
      </c>
      <c r="D84" s="280"/>
      <c r="E84" s="280"/>
      <c r="F84" s="280"/>
      <c r="G84" s="280"/>
      <c r="H84" s="280"/>
      <c r="I84" s="280"/>
      <c r="J84" s="280"/>
      <c r="K84" s="281"/>
      <c r="L84" s="5"/>
    </row>
    <row hidden="1" r="85" customHeight="1" ht="17.0" outlineLevel="1">
      <c r="A85" s="5"/>
      <c r="B85" s="282" t="s">
        <v>178</v>
      </c>
      <c r="C85" s="68"/>
      <c r="D85" s="283">
        <v>44926.0</v>
      </c>
      <c r="E85" s="284"/>
      <c r="F85" s="283">
        <f>EOMONTH(D85,F86)</f>
        <v>45291.0</v>
      </c>
      <c r="G85" s="284"/>
      <c r="H85" s="283">
        <f>EOMONTH(F85,H86)</f>
        <v>45657.0</v>
      </c>
      <c r="I85" s="284"/>
      <c r="J85" s="283">
        <f>EOMONTH(H85,J86)</f>
        <v>45747.0</v>
      </c>
      <c r="K85" s="38"/>
      <c r="L85" s="5"/>
    </row>
    <row hidden="1" r="86" customHeight="1" ht="17.0" outlineLevel="1">
      <c r="A86" s="5"/>
      <c r="B86" s="282" t="s">
        <v>180</v>
      </c>
      <c r="C86" s="68"/>
      <c r="D86" s="286">
        <v>12.0</v>
      </c>
      <c r="E86" s="287"/>
      <c r="F86" s="286">
        <v>12.0</v>
      </c>
      <c r="G86" s="287"/>
      <c r="H86" s="286">
        <v>12.0</v>
      </c>
      <c r="I86" s="287"/>
      <c r="J86" s="286">
        <v>3.0</v>
      </c>
      <c r="K86" s="288"/>
      <c r="L86" s="5"/>
    </row>
    <row hidden="1" r="87" customHeight="1" ht="17.0" outlineLevel="1">
      <c r="A87" s="5"/>
      <c r="B87" s="282" t="s">
        <v>182</v>
      </c>
      <c r="C87" s="68"/>
      <c r="D87" s="289" t="s">
        <v>183</v>
      </c>
      <c r="E87" s="290"/>
      <c r="F87" s="289" t="s">
        <v>183</v>
      </c>
      <c r="G87" s="290"/>
      <c r="H87" s="289"/>
      <c r="I87" s="290"/>
      <c r="J87" s="289" t="s">
        <v>184</v>
      </c>
      <c r="K87" s="288"/>
      <c r="L87" s="5"/>
    </row>
    <row hidden="1" r="88" customHeight="1" ht="17.0" outlineLevel="1">
      <c r="A88" s="5"/>
      <c r="B88" s="282" t="s">
        <v>186</v>
      </c>
      <c r="C88" s="68"/>
      <c r="D88" s="289"/>
      <c r="E88" s="290"/>
      <c r="F88" s="289"/>
      <c r="G88" s="290"/>
      <c r="H88" s="289"/>
      <c r="I88" s="290"/>
      <c r="J88" s="289"/>
      <c r="K88" s="288"/>
      <c r="L88" s="5"/>
    </row>
    <row hidden="1" r="89" customHeight="1" ht="17.0" outlineLevel="1">
      <c r="A89" s="5"/>
      <c r="B89" s="293" t="s">
        <v>187</v>
      </c>
      <c r="C89" s="294"/>
      <c r="D89" s="702"/>
      <c r="E89" s="703"/>
      <c r="F89" s="702"/>
      <c r="G89" s="703"/>
      <c r="H89" s="702"/>
      <c r="I89" s="703"/>
      <c r="J89" s="296">
        <f>(J90/J86)*12</f>
        <v>0.0</v>
      </c>
      <c r="K89" s="297"/>
      <c r="L89" s="5"/>
    </row>
    <row hidden="1" r="90" customHeight="1" ht="17.0" outlineLevel="1">
      <c r="A90" s="5"/>
      <c r="B90" s="45" t="s">
        <v>188</v>
      </c>
      <c r="C90" s="68" t="s">
        <v>189</v>
      </c>
      <c r="D90" s="301">
        <v>0.0</v>
      </c>
      <c r="E90" s="704">
        <f t="shared" ref="E90:E101" si="100">IF(D$99=0,0,D90/D$99)</f>
        <v>0.0</v>
      </c>
      <c r="F90" s="301">
        <v>0.0</v>
      </c>
      <c r="G90" s="704">
        <f t="shared" ref="G90:G101" si="101">IF(F$99=0,0,F90/F$99)</f>
        <v>0.0</v>
      </c>
      <c r="H90" s="301">
        <v>0.0</v>
      </c>
      <c r="I90" s="704">
        <f t="shared" ref="I90:I101" si="102">IF(H$99=0,0,H90/H$99)</f>
        <v>0.0</v>
      </c>
      <c r="J90" s="301">
        <v>0.0</v>
      </c>
      <c r="K90" s="704">
        <f t="shared" ref="K90:K101" si="103">IF(J$99=0,0,J90/J$99)</f>
        <v>0.0</v>
      </c>
      <c r="L90" s="5"/>
    </row>
    <row hidden="1" r="91" customHeight="1" ht="17.0" outlineLevel="1">
      <c r="A91" s="5"/>
      <c r="B91" s="45" t="s">
        <v>191</v>
      </c>
      <c r="C91" s="68" t="s">
        <v>189</v>
      </c>
      <c r="D91" s="306">
        <v>0.0</v>
      </c>
      <c r="E91" s="704">
        <f t="shared" si="100"/>
        <v>0.0</v>
      </c>
      <c r="F91" s="306">
        <v>0.0</v>
      </c>
      <c r="G91" s="704">
        <f t="shared" si="101"/>
        <v>0.0</v>
      </c>
      <c r="H91" s="306">
        <v>0.0</v>
      </c>
      <c r="I91" s="704">
        <f t="shared" si="102"/>
        <v>0.0</v>
      </c>
      <c r="J91" s="306">
        <v>0.0</v>
      </c>
      <c r="K91" s="704">
        <f t="shared" si="103"/>
        <v>0.0</v>
      </c>
      <c r="L91" s="5"/>
    </row>
    <row hidden="1" r="92" customHeight="1" ht="17.0" outlineLevel="1">
      <c r="A92" s="5"/>
      <c r="B92" s="45" t="s">
        <v>193</v>
      </c>
      <c r="C92" s="68" t="s">
        <v>189</v>
      </c>
      <c r="D92" s="308">
        <f>D90-D91</f>
        <v>0.0</v>
      </c>
      <c r="E92" s="704">
        <f t="shared" si="100"/>
        <v>0.0</v>
      </c>
      <c r="F92" s="308">
        <f>F90-F91</f>
        <v>0.0</v>
      </c>
      <c r="G92" s="704">
        <f t="shared" si="101"/>
        <v>0.0</v>
      </c>
      <c r="H92" s="308">
        <f>H90-H91</f>
        <v>0.0</v>
      </c>
      <c r="I92" s="704">
        <f t="shared" si="102"/>
        <v>0.0</v>
      </c>
      <c r="J92" s="308">
        <f>J90-J91</f>
        <v>0.0</v>
      </c>
      <c r="K92" s="704">
        <f t="shared" si="103"/>
        <v>0.0</v>
      </c>
      <c r="L92" s="5"/>
    </row>
    <row hidden="1" r="93" customHeight="1" ht="17.0" outlineLevel="1">
      <c r="A93" s="5"/>
      <c r="B93" s="45" t="s">
        <v>188</v>
      </c>
      <c r="C93" s="68" t="s">
        <v>386</v>
      </c>
      <c r="D93" s="301">
        <v>0.0</v>
      </c>
      <c r="E93" s="704">
        <f t="shared" si="100"/>
        <v>0.0</v>
      </c>
      <c r="F93" s="301">
        <v>0.0</v>
      </c>
      <c r="G93" s="704">
        <f t="shared" si="101"/>
        <v>0.0</v>
      </c>
      <c r="H93" s="301">
        <v>0.0</v>
      </c>
      <c r="I93" s="704">
        <f t="shared" si="102"/>
        <v>0.0</v>
      </c>
      <c r="J93" s="301">
        <v>0.0</v>
      </c>
      <c r="K93" s="704">
        <f t="shared" si="103"/>
        <v>0.0</v>
      </c>
      <c r="L93" s="5"/>
    </row>
    <row hidden="1" r="94" customHeight="1" ht="17.0" outlineLevel="1">
      <c r="A94" s="5"/>
      <c r="B94" s="45" t="s">
        <v>191</v>
      </c>
      <c r="C94" s="68" t="s">
        <v>386</v>
      </c>
      <c r="D94" s="306">
        <v>0.0</v>
      </c>
      <c r="E94" s="704">
        <f t="shared" si="100"/>
        <v>0.0</v>
      </c>
      <c r="F94" s="306">
        <v>0.0</v>
      </c>
      <c r="G94" s="704">
        <f t="shared" si="101"/>
        <v>0.0</v>
      </c>
      <c r="H94" s="306">
        <v>0.0</v>
      </c>
      <c r="I94" s="704">
        <f t="shared" si="102"/>
        <v>0.0</v>
      </c>
      <c r="J94" s="306">
        <v>0.0</v>
      </c>
      <c r="K94" s="704">
        <f t="shared" si="103"/>
        <v>0.0</v>
      </c>
      <c r="L94" s="5"/>
    </row>
    <row hidden="1" r="95" customHeight="1" ht="17.0" outlineLevel="1">
      <c r="A95" s="5"/>
      <c r="B95" s="45" t="s">
        <v>193</v>
      </c>
      <c r="C95" s="68" t="s">
        <v>386</v>
      </c>
      <c r="D95" s="308">
        <f>D93-D94</f>
        <v>0.0</v>
      </c>
      <c r="E95" s="704">
        <f t="shared" si="100"/>
        <v>0.0</v>
      </c>
      <c r="F95" s="308">
        <f>F93-F94</f>
        <v>0.0</v>
      </c>
      <c r="G95" s="704">
        <f t="shared" si="101"/>
        <v>0.0</v>
      </c>
      <c r="H95" s="308">
        <f>H93-H94</f>
        <v>0.0</v>
      </c>
      <c r="I95" s="704">
        <f t="shared" si="102"/>
        <v>0.0</v>
      </c>
      <c r="J95" s="308">
        <f>J93-J94</f>
        <v>0.0</v>
      </c>
      <c r="K95" s="704">
        <f t="shared" si="103"/>
        <v>0.0</v>
      </c>
      <c r="L95" s="5"/>
    </row>
    <row hidden="1" r="96" customHeight="1" ht="17.0" outlineLevel="1">
      <c r="A96" s="5"/>
      <c r="B96" s="45" t="s">
        <v>188</v>
      </c>
      <c r="C96" s="68" t="s">
        <v>387</v>
      </c>
      <c r="D96" s="301">
        <v>0.0</v>
      </c>
      <c r="E96" s="704">
        <f t="shared" si="100"/>
        <v>0.0</v>
      </c>
      <c r="F96" s="301">
        <v>0.0</v>
      </c>
      <c r="G96" s="704">
        <f t="shared" si="101"/>
        <v>0.0</v>
      </c>
      <c r="H96" s="301">
        <v>0.0</v>
      </c>
      <c r="I96" s="704">
        <f t="shared" si="102"/>
        <v>0.0</v>
      </c>
      <c r="J96" s="301">
        <v>0.0</v>
      </c>
      <c r="K96" s="704">
        <f t="shared" si="103"/>
        <v>0.0</v>
      </c>
      <c r="L96" s="5"/>
    </row>
    <row hidden="1" r="97" customHeight="1" ht="17.0" outlineLevel="1">
      <c r="A97" s="5"/>
      <c r="B97" s="45" t="s">
        <v>191</v>
      </c>
      <c r="C97" s="68" t="s">
        <v>387</v>
      </c>
      <c r="D97" s="306">
        <v>0.0</v>
      </c>
      <c r="E97" s="704">
        <f t="shared" si="100"/>
        <v>0.0</v>
      </c>
      <c r="F97" s="306">
        <v>0.0</v>
      </c>
      <c r="G97" s="704">
        <f t="shared" si="101"/>
        <v>0.0</v>
      </c>
      <c r="H97" s="306">
        <v>0.0</v>
      </c>
      <c r="I97" s="704">
        <f t="shared" si="102"/>
        <v>0.0</v>
      </c>
      <c r="J97" s="306">
        <v>0.0</v>
      </c>
      <c r="K97" s="704">
        <f t="shared" si="103"/>
        <v>0.0</v>
      </c>
      <c r="L97" s="5"/>
    </row>
    <row hidden="1" r="98" customHeight="1" ht="17.0" outlineLevel="1">
      <c r="A98" s="5"/>
      <c r="B98" s="45" t="s">
        <v>193</v>
      </c>
      <c r="C98" s="68" t="s">
        <v>387</v>
      </c>
      <c r="D98" s="308">
        <f>D96-D97</f>
        <v>0.0</v>
      </c>
      <c r="E98" s="704">
        <f t="shared" si="100"/>
        <v>0.0</v>
      </c>
      <c r="F98" s="308">
        <f>F96-F97</f>
        <v>0.0</v>
      </c>
      <c r="G98" s="704">
        <f t="shared" si="101"/>
        <v>0.0</v>
      </c>
      <c r="H98" s="308">
        <f>H96-H97</f>
        <v>0.0</v>
      </c>
      <c r="I98" s="704">
        <f t="shared" si="102"/>
        <v>0.0</v>
      </c>
      <c r="J98" s="308">
        <f>J96-J97</f>
        <v>0.0</v>
      </c>
      <c r="K98" s="704">
        <f t="shared" si="103"/>
        <v>0.0</v>
      </c>
      <c r="L98" s="5"/>
    </row>
    <row hidden="1" r="99" customHeight="1" ht="17.0" outlineLevel="1">
      <c r="A99" s="5"/>
      <c r="B99" s="45" t="s">
        <v>388</v>
      </c>
      <c r="C99" s="310" t="s">
        <v>195</v>
      </c>
      <c r="D99" s="313">
        <f t="shared" ref="D99:D100" si="116">D90+D93+D96</f>
        <v>0.0</v>
      </c>
      <c r="E99" s="704">
        <f t="shared" si="100"/>
        <v>0.0</v>
      </c>
      <c r="F99" s="313">
        <f t="shared" ref="F99:F100" si="117">F90+F93+F96</f>
        <v>0.0</v>
      </c>
      <c r="G99" s="704">
        <f t="shared" si="101"/>
        <v>0.0</v>
      </c>
      <c r="H99" s="313">
        <f t="shared" ref="H99:H100" si="118">H90+H93+H96</f>
        <v>0.0</v>
      </c>
      <c r="I99" s="704">
        <f t="shared" si="102"/>
        <v>0.0</v>
      </c>
      <c r="J99" s="313">
        <f t="shared" ref="J99:J100" si="119">J90+J93+J96</f>
        <v>0.0</v>
      </c>
      <c r="K99" s="704">
        <f t="shared" si="103"/>
        <v>0.0</v>
      </c>
      <c r="L99" s="5"/>
    </row>
    <row hidden="1" r="100" customHeight="1" ht="17.0" outlineLevel="1">
      <c r="A100" s="5"/>
      <c r="B100" s="98"/>
      <c r="C100" s="310" t="s">
        <v>196</v>
      </c>
      <c r="D100" s="315">
        <f t="shared" si="116"/>
        <v>0.0</v>
      </c>
      <c r="E100" s="704">
        <f t="shared" si="100"/>
        <v>0.0</v>
      </c>
      <c r="F100" s="315">
        <f t="shared" si="117"/>
        <v>0.0</v>
      </c>
      <c r="G100" s="704">
        <f t="shared" si="101"/>
        <v>0.0</v>
      </c>
      <c r="H100" s="315">
        <f t="shared" si="118"/>
        <v>0.0</v>
      </c>
      <c r="I100" s="704">
        <f t="shared" si="102"/>
        <v>0.0</v>
      </c>
      <c r="J100" s="315">
        <f t="shared" si="119"/>
        <v>0.0</v>
      </c>
      <c r="K100" s="704">
        <f t="shared" si="103"/>
        <v>0.0</v>
      </c>
      <c r="L100" s="5"/>
    </row>
    <row hidden="1" r="101" customHeight="1" ht="17.0" outlineLevel="1">
      <c r="A101" s="5"/>
      <c r="B101" s="98"/>
      <c r="C101" s="310" t="s">
        <v>197</v>
      </c>
      <c r="D101" s="317">
        <f>D99-D100</f>
        <v>0.0</v>
      </c>
      <c r="E101" s="704">
        <f t="shared" si="100"/>
        <v>0.0</v>
      </c>
      <c r="F101" s="317">
        <f>F99-F100</f>
        <v>0.0</v>
      </c>
      <c r="G101" s="704">
        <f t="shared" si="101"/>
        <v>0.0</v>
      </c>
      <c r="H101" s="317">
        <f>H99-H100</f>
        <v>0.0</v>
      </c>
      <c r="I101" s="704">
        <f t="shared" si="102"/>
        <v>0.0</v>
      </c>
      <c r="J101" s="317">
        <f>J99-J100</f>
        <v>0.0</v>
      </c>
      <c r="K101" s="704">
        <f t="shared" si="103"/>
        <v>0.0</v>
      </c>
      <c r="L101" s="5"/>
    </row>
    <row hidden="1" r="102" customHeight="1" ht="17.0" outlineLevel="1">
      <c r="A102" s="5"/>
      <c r="B102" s="98"/>
      <c r="C102" s="310"/>
      <c r="D102" s="705"/>
      <c r="E102" s="706"/>
      <c r="F102" s="705"/>
      <c r="G102" s="706"/>
      <c r="H102" s="705"/>
      <c r="I102" s="706"/>
      <c r="J102" s="705"/>
      <c r="K102" s="706"/>
      <c r="L102" s="5"/>
    </row>
    <row hidden="1" r="103" customHeight="1" ht="17.0" outlineLevel="1">
      <c r="A103" s="5"/>
      <c r="B103" s="98"/>
      <c r="C103" s="310" t="s">
        <v>198</v>
      </c>
      <c r="D103" s="707"/>
      <c r="E103" s="704"/>
      <c r="F103" s="707"/>
      <c r="G103" s="704"/>
      <c r="H103" s="707"/>
      <c r="I103" s="704"/>
      <c r="J103" s="707"/>
      <c r="K103" s="706"/>
      <c r="L103" s="5"/>
    </row>
    <row hidden="1" r="104" customHeight="1" ht="17.0" outlineLevel="1">
      <c r="A104" s="5"/>
      <c r="B104" s="98"/>
      <c r="C104" s="68" t="s">
        <v>199</v>
      </c>
      <c r="D104" s="301">
        <v>0.0</v>
      </c>
      <c r="E104" s="704">
        <f t="shared" ref="E104:E128" si="124">IF(D$99=0,0,D104/D$99)</f>
        <v>0.0</v>
      </c>
      <c r="F104" s="301">
        <v>0.0</v>
      </c>
      <c r="G104" s="704">
        <f t="shared" ref="G104:G128" si="125">IF(F$99=0,0,F104/F$99)</f>
        <v>0.0</v>
      </c>
      <c r="H104" s="301">
        <v>0.0</v>
      </c>
      <c r="I104" s="704">
        <f t="shared" ref="I104:I128" si="126">IF(H$99=0,0,H104/H$99)</f>
        <v>0.0</v>
      </c>
      <c r="J104" s="301">
        <v>0.0</v>
      </c>
      <c r="K104" s="704">
        <f t="shared" ref="K104:K128" si="127">IF(J$99=0,0,J104/J$99)</f>
        <v>0.0</v>
      </c>
      <c r="L104" s="5"/>
    </row>
    <row hidden="1" r="105" customHeight="1" ht="17.0" outlineLevel="1">
      <c r="A105" s="5"/>
      <c r="B105" s="98"/>
      <c r="C105" s="68" t="s">
        <v>200</v>
      </c>
      <c r="D105" s="326">
        <v>0.0</v>
      </c>
      <c r="E105" s="704">
        <f t="shared" si="124"/>
        <v>0.0</v>
      </c>
      <c r="F105" s="326">
        <v>0.0</v>
      </c>
      <c r="G105" s="704">
        <f t="shared" si="125"/>
        <v>0.0</v>
      </c>
      <c r="H105" s="326">
        <v>0.0</v>
      </c>
      <c r="I105" s="704">
        <f t="shared" si="126"/>
        <v>0.0</v>
      </c>
      <c r="J105" s="326">
        <v>0.0</v>
      </c>
      <c r="K105" s="704">
        <f t="shared" si="127"/>
        <v>0.0</v>
      </c>
      <c r="L105" s="5"/>
    </row>
    <row hidden="1" r="106" customHeight="1" ht="17.0" outlineLevel="1">
      <c r="A106" s="5"/>
      <c r="B106" s="98"/>
      <c r="C106" s="68" t="s">
        <v>201</v>
      </c>
      <c r="D106" s="326">
        <v>0.0</v>
      </c>
      <c r="E106" s="704">
        <f t="shared" si="124"/>
        <v>0.0</v>
      </c>
      <c r="F106" s="326">
        <v>0.0</v>
      </c>
      <c r="G106" s="704">
        <f t="shared" si="125"/>
        <v>0.0</v>
      </c>
      <c r="H106" s="326">
        <v>0.0</v>
      </c>
      <c r="I106" s="704">
        <f t="shared" si="126"/>
        <v>0.0</v>
      </c>
      <c r="J106" s="326">
        <v>0.0</v>
      </c>
      <c r="K106" s="704">
        <f t="shared" si="127"/>
        <v>0.0</v>
      </c>
      <c r="L106" s="5"/>
    </row>
    <row hidden="1" r="107" customHeight="1" ht="17.0" outlineLevel="1">
      <c r="A107" s="5"/>
      <c r="B107" s="98"/>
      <c r="C107" s="68" t="s">
        <v>202</v>
      </c>
      <c r="D107" s="326">
        <v>0.0</v>
      </c>
      <c r="E107" s="704">
        <f t="shared" si="124"/>
        <v>0.0</v>
      </c>
      <c r="F107" s="326">
        <v>0.0</v>
      </c>
      <c r="G107" s="704">
        <f t="shared" si="125"/>
        <v>0.0</v>
      </c>
      <c r="H107" s="326">
        <v>0.0</v>
      </c>
      <c r="I107" s="704">
        <f t="shared" si="126"/>
        <v>0.0</v>
      </c>
      <c r="J107" s="326">
        <v>0.0</v>
      </c>
      <c r="K107" s="704">
        <f t="shared" si="127"/>
        <v>0.0</v>
      </c>
      <c r="L107" s="5"/>
    </row>
    <row hidden="1" r="108" customHeight="1" ht="17.0" outlineLevel="1">
      <c r="A108" s="5"/>
      <c r="B108" s="98"/>
      <c r="C108" s="68" t="s">
        <v>203</v>
      </c>
      <c r="D108" s="326">
        <v>0.0</v>
      </c>
      <c r="E108" s="704">
        <f t="shared" si="124"/>
        <v>0.0</v>
      </c>
      <c r="F108" s="326">
        <v>0.0</v>
      </c>
      <c r="G108" s="704">
        <f t="shared" si="125"/>
        <v>0.0</v>
      </c>
      <c r="H108" s="326">
        <v>0.0</v>
      </c>
      <c r="I108" s="704">
        <f t="shared" si="126"/>
        <v>0.0</v>
      </c>
      <c r="J108" s="326">
        <v>0.0</v>
      </c>
      <c r="K108" s="704">
        <f t="shared" si="127"/>
        <v>0.0</v>
      </c>
      <c r="L108" s="5"/>
    </row>
    <row hidden="1" r="109" customHeight="1" ht="17.0" outlineLevel="1">
      <c r="A109" s="5"/>
      <c r="B109" s="98"/>
      <c r="C109" s="68" t="s">
        <v>204</v>
      </c>
      <c r="D109" s="326">
        <v>0.0</v>
      </c>
      <c r="E109" s="704">
        <f t="shared" si="124"/>
        <v>0.0</v>
      </c>
      <c r="F109" s="326">
        <v>0.0</v>
      </c>
      <c r="G109" s="704">
        <f t="shared" si="125"/>
        <v>0.0</v>
      </c>
      <c r="H109" s="326">
        <v>0.0</v>
      </c>
      <c r="I109" s="704">
        <f t="shared" si="126"/>
        <v>0.0</v>
      </c>
      <c r="J109" s="326">
        <v>0.0</v>
      </c>
      <c r="K109" s="704">
        <f t="shared" si="127"/>
        <v>0.0</v>
      </c>
      <c r="L109" s="5"/>
    </row>
    <row hidden="1" r="110" customHeight="1" ht="17.0" outlineLevel="1">
      <c r="A110" s="5"/>
      <c r="B110" s="98"/>
      <c r="C110" s="68" t="s">
        <v>205</v>
      </c>
      <c r="D110" s="326">
        <v>0.0</v>
      </c>
      <c r="E110" s="704">
        <f t="shared" si="124"/>
        <v>0.0</v>
      </c>
      <c r="F110" s="326">
        <v>0.0</v>
      </c>
      <c r="G110" s="704">
        <f t="shared" si="125"/>
        <v>0.0</v>
      </c>
      <c r="H110" s="326">
        <v>0.0</v>
      </c>
      <c r="I110" s="704">
        <f t="shared" si="126"/>
        <v>0.0</v>
      </c>
      <c r="J110" s="326">
        <v>0.0</v>
      </c>
      <c r="K110" s="704">
        <f t="shared" si="127"/>
        <v>0.0</v>
      </c>
      <c r="L110" s="5"/>
    </row>
    <row hidden="1" r="111" customHeight="1" ht="17.0" outlineLevel="1">
      <c r="A111" s="5"/>
      <c r="B111" s="98"/>
      <c r="C111" s="68" t="s">
        <v>206</v>
      </c>
      <c r="D111" s="326">
        <v>0.0</v>
      </c>
      <c r="E111" s="704">
        <f t="shared" si="124"/>
        <v>0.0</v>
      </c>
      <c r="F111" s="326">
        <v>0.0</v>
      </c>
      <c r="G111" s="704">
        <f t="shared" si="125"/>
        <v>0.0</v>
      </c>
      <c r="H111" s="326">
        <v>0.0</v>
      </c>
      <c r="I111" s="704">
        <f t="shared" si="126"/>
        <v>0.0</v>
      </c>
      <c r="J111" s="326">
        <v>0.0</v>
      </c>
      <c r="K111" s="704">
        <f t="shared" si="127"/>
        <v>0.0</v>
      </c>
      <c r="L111" s="5"/>
    </row>
    <row hidden="1" r="112" customHeight="1" ht="17.0" outlineLevel="1">
      <c r="A112" s="5"/>
      <c r="B112" s="98"/>
      <c r="C112" s="68" t="s">
        <v>207</v>
      </c>
      <c r="D112" s="326">
        <v>0.0</v>
      </c>
      <c r="E112" s="704">
        <f t="shared" si="124"/>
        <v>0.0</v>
      </c>
      <c r="F112" s="326">
        <v>0.0</v>
      </c>
      <c r="G112" s="704">
        <f t="shared" si="125"/>
        <v>0.0</v>
      </c>
      <c r="H112" s="326">
        <v>0.0</v>
      </c>
      <c r="I112" s="704">
        <f t="shared" si="126"/>
        <v>0.0</v>
      </c>
      <c r="J112" s="326">
        <v>0.0</v>
      </c>
      <c r="K112" s="704">
        <f t="shared" si="127"/>
        <v>0.0</v>
      </c>
      <c r="L112" s="5"/>
    </row>
    <row hidden="1" r="113" customHeight="1" ht="17.0" outlineLevel="1">
      <c r="A113" s="5"/>
      <c r="B113" s="98"/>
      <c r="C113" s="68" t="s">
        <v>389</v>
      </c>
      <c r="D113" s="326">
        <v>0.0</v>
      </c>
      <c r="E113" s="704">
        <f t="shared" si="124"/>
        <v>0.0</v>
      </c>
      <c r="F113" s="326">
        <v>0.0</v>
      </c>
      <c r="G113" s="704">
        <f t="shared" si="125"/>
        <v>0.0</v>
      </c>
      <c r="H113" s="326">
        <v>0.0</v>
      </c>
      <c r="I113" s="704">
        <f t="shared" si="126"/>
        <v>0.0</v>
      </c>
      <c r="J113" s="326">
        <v>0.0</v>
      </c>
      <c r="K113" s="704">
        <f t="shared" si="127"/>
        <v>0.0</v>
      </c>
      <c r="L113" s="5"/>
    </row>
    <row hidden="1" r="114" customHeight="1" ht="17.0" outlineLevel="1">
      <c r="A114" s="5"/>
      <c r="B114" s="98"/>
      <c r="C114" s="68" t="s">
        <v>390</v>
      </c>
      <c r="D114" s="326">
        <v>0.0</v>
      </c>
      <c r="E114" s="704">
        <f t="shared" si="124"/>
        <v>0.0</v>
      </c>
      <c r="F114" s="326">
        <v>0.0</v>
      </c>
      <c r="G114" s="704">
        <f t="shared" si="125"/>
        <v>0.0</v>
      </c>
      <c r="H114" s="326">
        <v>0.0</v>
      </c>
      <c r="I114" s="704">
        <f t="shared" si="126"/>
        <v>0.0</v>
      </c>
      <c r="J114" s="326">
        <v>0.0</v>
      </c>
      <c r="K114" s="704">
        <f t="shared" si="127"/>
        <v>0.0</v>
      </c>
      <c r="L114" s="5"/>
    </row>
    <row hidden="1" r="115" customHeight="1" ht="17.0" outlineLevel="1">
      <c r="A115" s="5"/>
      <c r="B115" s="98"/>
      <c r="C115" s="68" t="s">
        <v>391</v>
      </c>
      <c r="D115" s="326">
        <v>0.0</v>
      </c>
      <c r="E115" s="704">
        <f t="shared" si="124"/>
        <v>0.0</v>
      </c>
      <c r="F115" s="326">
        <v>0.0</v>
      </c>
      <c r="G115" s="704">
        <f t="shared" si="125"/>
        <v>0.0</v>
      </c>
      <c r="H115" s="326">
        <v>0.0</v>
      </c>
      <c r="I115" s="704">
        <f t="shared" si="126"/>
        <v>0.0</v>
      </c>
      <c r="J115" s="326">
        <v>0.0</v>
      </c>
      <c r="K115" s="704">
        <f t="shared" si="127"/>
        <v>0.0</v>
      </c>
      <c r="L115" s="5"/>
    </row>
    <row hidden="1" r="116" customHeight="1" ht="17.0" outlineLevel="1">
      <c r="A116" s="5"/>
      <c r="B116" s="98"/>
      <c r="C116" s="68" t="s">
        <v>392</v>
      </c>
      <c r="D116" s="326">
        <v>0.0</v>
      </c>
      <c r="E116" s="704">
        <f t="shared" si="124"/>
        <v>0.0</v>
      </c>
      <c r="F116" s="326">
        <v>0.0</v>
      </c>
      <c r="G116" s="704">
        <f t="shared" si="125"/>
        <v>0.0</v>
      </c>
      <c r="H116" s="326">
        <v>0.0</v>
      </c>
      <c r="I116" s="704">
        <f t="shared" si="126"/>
        <v>0.0</v>
      </c>
      <c r="J116" s="326">
        <v>0.0</v>
      </c>
      <c r="K116" s="704">
        <f t="shared" si="127"/>
        <v>0.0</v>
      </c>
      <c r="L116" s="5"/>
    </row>
    <row hidden="1" r="117" customHeight="1" ht="17.0" outlineLevel="1">
      <c r="A117" s="5"/>
      <c r="B117" s="98"/>
      <c r="C117" s="68" t="s">
        <v>393</v>
      </c>
      <c r="D117" s="326">
        <v>0.0</v>
      </c>
      <c r="E117" s="704">
        <f t="shared" si="124"/>
        <v>0.0</v>
      </c>
      <c r="F117" s="326">
        <v>0.0</v>
      </c>
      <c r="G117" s="704">
        <f t="shared" si="125"/>
        <v>0.0</v>
      </c>
      <c r="H117" s="326">
        <v>0.0</v>
      </c>
      <c r="I117" s="704">
        <f t="shared" si="126"/>
        <v>0.0</v>
      </c>
      <c r="J117" s="326">
        <v>0.0</v>
      </c>
      <c r="K117" s="704">
        <f t="shared" si="127"/>
        <v>0.0</v>
      </c>
      <c r="L117" s="5"/>
    </row>
    <row hidden="1" r="118" customHeight="1" ht="17.0" outlineLevel="1">
      <c r="A118" s="5"/>
      <c r="B118" s="98"/>
      <c r="C118" s="68" t="s">
        <v>394</v>
      </c>
      <c r="D118" s="326">
        <v>0.0</v>
      </c>
      <c r="E118" s="704">
        <f t="shared" si="124"/>
        <v>0.0</v>
      </c>
      <c r="F118" s="326">
        <v>0.0</v>
      </c>
      <c r="G118" s="704">
        <f t="shared" si="125"/>
        <v>0.0</v>
      </c>
      <c r="H118" s="326">
        <v>0.0</v>
      </c>
      <c r="I118" s="704">
        <f t="shared" si="126"/>
        <v>0.0</v>
      </c>
      <c r="J118" s="326">
        <v>0.0</v>
      </c>
      <c r="K118" s="704">
        <f t="shared" si="127"/>
        <v>0.0</v>
      </c>
      <c r="L118" s="5"/>
    </row>
    <row hidden="1" r="119" customHeight="1" ht="17.0" outlineLevel="1">
      <c r="A119" s="5"/>
      <c r="B119" s="98"/>
      <c r="C119" s="68" t="s">
        <v>395</v>
      </c>
      <c r="D119" s="326">
        <v>0.0</v>
      </c>
      <c r="E119" s="704">
        <f t="shared" si="124"/>
        <v>0.0</v>
      </c>
      <c r="F119" s="326">
        <v>0.0</v>
      </c>
      <c r="G119" s="704">
        <f t="shared" si="125"/>
        <v>0.0</v>
      </c>
      <c r="H119" s="326">
        <v>0.0</v>
      </c>
      <c r="I119" s="704">
        <f t="shared" si="126"/>
        <v>0.0</v>
      </c>
      <c r="J119" s="326">
        <v>0.0</v>
      </c>
      <c r="K119" s="704">
        <f t="shared" si="127"/>
        <v>0.0</v>
      </c>
      <c r="L119" s="5"/>
    </row>
    <row hidden="1" r="120" customHeight="1" ht="17.0" outlineLevel="1">
      <c r="A120" s="5"/>
      <c r="B120" s="98"/>
      <c r="C120" s="68" t="s">
        <v>396</v>
      </c>
      <c r="D120" s="326">
        <v>0.0</v>
      </c>
      <c r="E120" s="704">
        <f t="shared" si="124"/>
        <v>0.0</v>
      </c>
      <c r="F120" s="326">
        <v>0.0</v>
      </c>
      <c r="G120" s="704">
        <f t="shared" si="125"/>
        <v>0.0</v>
      </c>
      <c r="H120" s="326">
        <v>0.0</v>
      </c>
      <c r="I120" s="704">
        <f t="shared" si="126"/>
        <v>0.0</v>
      </c>
      <c r="J120" s="326">
        <v>0.0</v>
      </c>
      <c r="K120" s="704">
        <f t="shared" si="127"/>
        <v>0.0</v>
      </c>
      <c r="L120" s="5"/>
    </row>
    <row hidden="1" r="121" customHeight="1" ht="17.0" outlineLevel="1">
      <c r="A121" s="5"/>
      <c r="B121" s="98"/>
      <c r="C121" s="68" t="s">
        <v>397</v>
      </c>
      <c r="D121" s="326">
        <v>0.0</v>
      </c>
      <c r="E121" s="704">
        <f t="shared" si="124"/>
        <v>0.0</v>
      </c>
      <c r="F121" s="326">
        <v>0.0</v>
      </c>
      <c r="G121" s="704">
        <f t="shared" si="125"/>
        <v>0.0</v>
      </c>
      <c r="H121" s="326">
        <v>0.0</v>
      </c>
      <c r="I121" s="704">
        <f t="shared" si="126"/>
        <v>0.0</v>
      </c>
      <c r="J121" s="326">
        <v>0.0</v>
      </c>
      <c r="K121" s="704">
        <f t="shared" si="127"/>
        <v>0.0</v>
      </c>
      <c r="L121" s="5"/>
    </row>
    <row hidden="1" r="122" customHeight="1" ht="17.0" outlineLevel="1">
      <c r="A122" s="5"/>
      <c r="B122" s="98"/>
      <c r="C122" s="68" t="s">
        <v>398</v>
      </c>
      <c r="D122" s="326">
        <v>0.0</v>
      </c>
      <c r="E122" s="704">
        <f t="shared" si="124"/>
        <v>0.0</v>
      </c>
      <c r="F122" s="326">
        <v>0.0</v>
      </c>
      <c r="G122" s="704">
        <f t="shared" si="125"/>
        <v>0.0</v>
      </c>
      <c r="H122" s="326">
        <v>0.0</v>
      </c>
      <c r="I122" s="704">
        <f t="shared" si="126"/>
        <v>0.0</v>
      </c>
      <c r="J122" s="326">
        <v>0.0</v>
      </c>
      <c r="K122" s="704">
        <f t="shared" si="127"/>
        <v>0.0</v>
      </c>
      <c r="L122" s="5"/>
    </row>
    <row hidden="1" r="123" customHeight="1" ht="17.0" outlineLevel="1">
      <c r="A123" s="5"/>
      <c r="B123" s="98"/>
      <c r="C123" s="68" t="s">
        <v>208</v>
      </c>
      <c r="D123" s="326">
        <v>0.0</v>
      </c>
      <c r="E123" s="704">
        <f t="shared" si="124"/>
        <v>0.0</v>
      </c>
      <c r="F123" s="326">
        <v>0.0</v>
      </c>
      <c r="G123" s="704">
        <f t="shared" si="125"/>
        <v>0.0</v>
      </c>
      <c r="H123" s="326">
        <v>0.0</v>
      </c>
      <c r="I123" s="704">
        <f t="shared" si="126"/>
        <v>0.0</v>
      </c>
      <c r="J123" s="326">
        <v>0.0</v>
      </c>
      <c r="K123" s="704">
        <f t="shared" si="127"/>
        <v>0.0</v>
      </c>
      <c r="L123" s="5"/>
    </row>
    <row hidden="1" r="124" customHeight="1" ht="17.0" outlineLevel="1">
      <c r="A124" s="5"/>
      <c r="B124" s="98"/>
      <c r="C124" s="68" t="s">
        <v>208</v>
      </c>
      <c r="D124" s="326">
        <v>0.0</v>
      </c>
      <c r="E124" s="704">
        <f t="shared" si="124"/>
        <v>0.0</v>
      </c>
      <c r="F124" s="326">
        <v>0.0</v>
      </c>
      <c r="G124" s="704">
        <f t="shared" si="125"/>
        <v>0.0</v>
      </c>
      <c r="H124" s="326">
        <v>0.0</v>
      </c>
      <c r="I124" s="704">
        <f t="shared" si="126"/>
        <v>0.0</v>
      </c>
      <c r="J124" s="326">
        <v>0.0</v>
      </c>
      <c r="K124" s="704">
        <f t="shared" si="127"/>
        <v>0.0</v>
      </c>
      <c r="L124" s="5"/>
    </row>
    <row hidden="1" r="125" customHeight="1" ht="17.0" outlineLevel="1">
      <c r="A125" s="5"/>
      <c r="B125" s="98"/>
      <c r="C125" s="68" t="s">
        <v>208</v>
      </c>
      <c r="D125" s="326">
        <v>0.0</v>
      </c>
      <c r="E125" s="704">
        <f t="shared" si="124"/>
        <v>0.0</v>
      </c>
      <c r="F125" s="326">
        <v>0.0</v>
      </c>
      <c r="G125" s="704">
        <f t="shared" si="125"/>
        <v>0.0</v>
      </c>
      <c r="H125" s="326">
        <v>0.0</v>
      </c>
      <c r="I125" s="704">
        <f t="shared" si="126"/>
        <v>0.0</v>
      </c>
      <c r="J125" s="326">
        <v>0.0</v>
      </c>
      <c r="K125" s="704">
        <f t="shared" si="127"/>
        <v>0.0</v>
      </c>
      <c r="L125" s="5"/>
    </row>
    <row hidden="1" r="126" customHeight="1" ht="17.0" outlineLevel="1">
      <c r="A126" s="5"/>
      <c r="B126" s="45" t="s">
        <v>388</v>
      </c>
      <c r="C126" s="68" t="s">
        <v>208</v>
      </c>
      <c r="D126" s="326">
        <v>0.0</v>
      </c>
      <c r="E126" s="704">
        <f t="shared" si="124"/>
        <v>0.0</v>
      </c>
      <c r="F126" s="326">
        <v>0.0</v>
      </c>
      <c r="G126" s="704">
        <f t="shared" si="125"/>
        <v>0.0</v>
      </c>
      <c r="H126" s="326">
        <v>0.0</v>
      </c>
      <c r="I126" s="704">
        <f t="shared" si="126"/>
        <v>0.0</v>
      </c>
      <c r="J126" s="326">
        <v>0.0</v>
      </c>
      <c r="K126" s="704">
        <f t="shared" si="127"/>
        <v>0.0</v>
      </c>
      <c r="L126" s="5"/>
    </row>
    <row hidden="1" r="127" customHeight="1" ht="17.0" outlineLevel="1">
      <c r="A127" s="5"/>
      <c r="B127" s="98"/>
      <c r="C127" s="68" t="s">
        <v>208</v>
      </c>
      <c r="D127" s="306">
        <f>0-SUM(D104:D126)</f>
        <v>0.0</v>
      </c>
      <c r="E127" s="704">
        <f t="shared" si="124"/>
        <v>0.0</v>
      </c>
      <c r="F127" s="306">
        <f>0-SUM(F104:F126)</f>
        <v>0.0</v>
      </c>
      <c r="G127" s="704">
        <f t="shared" si="125"/>
        <v>0.0</v>
      </c>
      <c r="H127" s="306">
        <f>0-SUM(H104:H126)</f>
        <v>0.0</v>
      </c>
      <c r="I127" s="704">
        <f t="shared" si="126"/>
        <v>0.0</v>
      </c>
      <c r="J127" s="306">
        <f>0-SUM(J104:J126)</f>
        <v>0.0</v>
      </c>
      <c r="K127" s="704">
        <f t="shared" si="127"/>
        <v>0.0</v>
      </c>
      <c r="L127" s="5"/>
    </row>
    <row hidden="1" r="128" customHeight="1" ht="17.0" outlineLevel="1">
      <c r="A128" s="5"/>
      <c r="B128" s="98"/>
      <c r="C128" s="310" t="s">
        <v>209</v>
      </c>
      <c r="D128" s="330">
        <f>SUM(D104:D127)</f>
        <v>0.0</v>
      </c>
      <c r="E128" s="704">
        <f t="shared" si="124"/>
        <v>0.0</v>
      </c>
      <c r="F128" s="330">
        <f>SUM(F104:F127)</f>
        <v>0.0</v>
      </c>
      <c r="G128" s="704">
        <f t="shared" si="125"/>
        <v>0.0</v>
      </c>
      <c r="H128" s="330">
        <f>SUM(H104:H127)</f>
        <v>0.0</v>
      </c>
      <c r="I128" s="704">
        <f t="shared" si="126"/>
        <v>0.0</v>
      </c>
      <c r="J128" s="330">
        <f>SUM(J104:J127)</f>
        <v>0.0</v>
      </c>
      <c r="K128" s="704">
        <f t="shared" si="127"/>
        <v>0.0</v>
      </c>
      <c r="L128" s="5"/>
    </row>
    <row hidden="1" r="129" customHeight="1" ht="17.0" outlineLevel="1">
      <c r="A129" s="5"/>
      <c r="B129" s="98"/>
      <c r="C129" s="310"/>
      <c r="D129" s="708"/>
      <c r="E129" s="706"/>
      <c r="F129" s="708"/>
      <c r="G129" s="706"/>
      <c r="H129" s="708"/>
      <c r="I129" s="706"/>
      <c r="J129" s="708"/>
      <c r="K129" s="706"/>
      <c r="L129" s="5"/>
    </row>
    <row hidden="1" r="130" customHeight="1" ht="17.0" outlineLevel="1">
      <c r="A130" s="5"/>
      <c r="B130" s="98"/>
      <c r="C130" s="310" t="s">
        <v>210</v>
      </c>
      <c r="D130" s="330">
        <f>D101-D128</f>
        <v>0.0</v>
      </c>
      <c r="E130" s="704">
        <f>IF(D$99=0,0,D130/D$99)</f>
        <v>0.0</v>
      </c>
      <c r="F130" s="330">
        <f>F101-F128</f>
        <v>0.0</v>
      </c>
      <c r="G130" s="704">
        <f>IF(F$99=0,0,F130/F$99)</f>
        <v>0.0</v>
      </c>
      <c r="H130" s="330">
        <f>H101-H128</f>
        <v>0.0</v>
      </c>
      <c r="I130" s="704">
        <f>IF(H$99=0,0,H130/H$99)</f>
        <v>0.0</v>
      </c>
      <c r="J130" s="330">
        <f>J101-J128</f>
        <v>0.0</v>
      </c>
      <c r="K130" s="704">
        <f>IF(J$99=0,0,J130/J$99)</f>
        <v>0.0</v>
      </c>
      <c r="L130" s="5"/>
    </row>
    <row hidden="1" r="131" customHeight="1" ht="17.0" outlineLevel="1">
      <c r="A131" s="5"/>
      <c r="B131" s="98"/>
      <c r="C131" s="310"/>
      <c r="D131" s="709"/>
      <c r="E131" s="706"/>
      <c r="F131" s="709"/>
      <c r="G131" s="706"/>
      <c r="H131" s="709"/>
      <c r="I131" s="706"/>
      <c r="J131" s="709"/>
      <c r="K131" s="706"/>
      <c r="L131" s="5"/>
    </row>
    <row hidden="1" r="132" customHeight="1" ht="17.0" outlineLevel="1">
      <c r="A132" s="5"/>
      <c r="B132" s="98"/>
      <c r="C132" s="68" t="s">
        <v>211</v>
      </c>
      <c r="D132" s="301">
        <v>0.0</v>
      </c>
      <c r="E132" s="704">
        <f t="shared" ref="E132:E136" si="144">IF(D$99=0,0,D132/D$99)</f>
        <v>0.0</v>
      </c>
      <c r="F132" s="301">
        <v>0.0</v>
      </c>
      <c r="G132" s="704">
        <f t="shared" ref="G132:G136" si="145">IF(F$99=0,0,F132/F$99)</f>
        <v>0.0</v>
      </c>
      <c r="H132" s="301">
        <v>0.0</v>
      </c>
      <c r="I132" s="704">
        <f t="shared" ref="I132:I136" si="146">IF(H$99=0,0,H132/H$99)</f>
        <v>0.0</v>
      </c>
      <c r="J132" s="301">
        <v>0.0</v>
      </c>
      <c r="K132" s="704">
        <f t="shared" ref="K132:K136" si="147">IF(J$99=0,0,J132/J$99)</f>
        <v>0.0</v>
      </c>
      <c r="L132" s="5"/>
    </row>
    <row hidden="1" r="133" customHeight="1" ht="17.0" outlineLevel="1">
      <c r="A133" s="5"/>
      <c r="B133" s="98"/>
      <c r="C133" s="68" t="s">
        <v>211</v>
      </c>
      <c r="D133" s="326">
        <v>0.0</v>
      </c>
      <c r="E133" s="704">
        <f t="shared" si="144"/>
        <v>0.0</v>
      </c>
      <c r="F133" s="326">
        <v>0.0</v>
      </c>
      <c r="G133" s="704">
        <f t="shared" si="145"/>
        <v>0.0</v>
      </c>
      <c r="H133" s="326">
        <v>0.0</v>
      </c>
      <c r="I133" s="704">
        <f t="shared" si="146"/>
        <v>0.0</v>
      </c>
      <c r="J133" s="326">
        <v>0.0</v>
      </c>
      <c r="K133" s="704">
        <f t="shared" si="147"/>
        <v>0.0</v>
      </c>
      <c r="L133" s="5"/>
    </row>
    <row hidden="1" r="134" customHeight="1" ht="17.0" outlineLevel="1">
      <c r="A134" s="5"/>
      <c r="B134" s="98"/>
      <c r="C134" s="68" t="s">
        <v>213</v>
      </c>
      <c r="D134" s="326">
        <v>0.0</v>
      </c>
      <c r="E134" s="704">
        <f t="shared" si="144"/>
        <v>0.0</v>
      </c>
      <c r="F134" s="326">
        <v>0.0</v>
      </c>
      <c r="G134" s="704">
        <f t="shared" si="145"/>
        <v>0.0</v>
      </c>
      <c r="H134" s="326">
        <v>0.0</v>
      </c>
      <c r="I134" s="704">
        <f t="shared" si="146"/>
        <v>0.0</v>
      </c>
      <c r="J134" s="326">
        <v>0.0</v>
      </c>
      <c r="K134" s="704">
        <f t="shared" si="147"/>
        <v>0.0</v>
      </c>
      <c r="L134" s="5"/>
    </row>
    <row hidden="1" r="135" customHeight="1" ht="17.0" outlineLevel="1">
      <c r="A135" s="5"/>
      <c r="B135" s="98"/>
      <c r="C135" s="68" t="s">
        <v>213</v>
      </c>
      <c r="D135" s="306">
        <v>0.0</v>
      </c>
      <c r="E135" s="704">
        <f t="shared" si="144"/>
        <v>0.0</v>
      </c>
      <c r="F135" s="306">
        <v>0.0</v>
      </c>
      <c r="G135" s="704">
        <f t="shared" si="145"/>
        <v>0.0</v>
      </c>
      <c r="H135" s="306">
        <v>0.0</v>
      </c>
      <c r="I135" s="704">
        <f t="shared" si="146"/>
        <v>0.0</v>
      </c>
      <c r="J135" s="306">
        <v>0.0</v>
      </c>
      <c r="K135" s="704">
        <f t="shared" si="147"/>
        <v>0.0</v>
      </c>
      <c r="L135" s="5"/>
    </row>
    <row hidden="1" r="136" customHeight="1" ht="17.0" outlineLevel="1">
      <c r="A136" s="5"/>
      <c r="B136" s="98"/>
      <c r="C136" s="310" t="s">
        <v>214</v>
      </c>
      <c r="D136" s="330">
        <f>SUM(D132:D135)</f>
        <v>0.0</v>
      </c>
      <c r="E136" s="704">
        <f t="shared" si="144"/>
        <v>0.0</v>
      </c>
      <c r="F136" s="330">
        <f>SUM(F132:F135)</f>
        <v>0.0</v>
      </c>
      <c r="G136" s="704">
        <f t="shared" si="145"/>
        <v>0.0</v>
      </c>
      <c r="H136" s="330">
        <f>SUM(H132:H135)</f>
        <v>0.0</v>
      </c>
      <c r="I136" s="704">
        <f t="shared" si="146"/>
        <v>0.0</v>
      </c>
      <c r="J136" s="330">
        <f>SUM(J132:J135)</f>
        <v>0.0</v>
      </c>
      <c r="K136" s="704">
        <f t="shared" si="147"/>
        <v>0.0</v>
      </c>
      <c r="L136" s="5"/>
    </row>
    <row hidden="1" r="137" customHeight="1" ht="17.0" outlineLevel="1">
      <c r="A137" s="5"/>
      <c r="B137" s="98"/>
      <c r="C137" s="310"/>
      <c r="D137" s="708"/>
      <c r="E137" s="706"/>
      <c r="F137" s="708"/>
      <c r="G137" s="706"/>
      <c r="H137" s="708"/>
      <c r="I137" s="706"/>
      <c r="J137" s="708"/>
      <c r="K137" s="710"/>
      <c r="L137" s="5"/>
    </row>
    <row hidden="1" r="138" customHeight="1" ht="17.0" outlineLevel="1">
      <c r="A138" s="5"/>
      <c r="B138" s="98"/>
      <c r="C138" s="310" t="s">
        <v>215</v>
      </c>
      <c r="D138" s="330">
        <f>D101-D128+D136</f>
        <v>0.0</v>
      </c>
      <c r="E138" s="704">
        <f t="shared" ref="E138:E139" si="153">IF(D$99=0,0,D138/D$99)</f>
        <v>0.0</v>
      </c>
      <c r="F138" s="330">
        <f>F101-F128+F136</f>
        <v>0.0</v>
      </c>
      <c r="G138" s="704">
        <f t="shared" ref="G138:G139" si="155">IF(F$99=0,0,F138/F$99)</f>
        <v>0.0</v>
      </c>
      <c r="H138" s="330">
        <f>H101-H128+H136</f>
        <v>0.0</v>
      </c>
      <c r="I138" s="704">
        <f t="shared" ref="I138:I139" si="157">IF(H$99=0,0,H138/H$99)</f>
        <v>0.0</v>
      </c>
      <c r="J138" s="330">
        <f>J101-J128+J136</f>
        <v>0.0</v>
      </c>
      <c r="K138" s="704">
        <f t="shared" ref="K138:K139" si="159">IF(J$99=0,0,J138/J$99)</f>
        <v>0.0</v>
      </c>
      <c r="L138" s="5"/>
    </row>
    <row hidden="1" r="139" customHeight="1" ht="17.0" outlineLevel="1">
      <c r="A139" s="5"/>
      <c r="B139" s="98"/>
      <c r="C139" s="310" t="s">
        <v>216</v>
      </c>
      <c r="D139" s="330">
        <v>0.0</v>
      </c>
      <c r="E139" s="704">
        <f t="shared" si="153"/>
        <v>0.0</v>
      </c>
      <c r="F139" s="330">
        <v>0.0</v>
      </c>
      <c r="G139" s="704">
        <f t="shared" si="155"/>
        <v>0.0</v>
      </c>
      <c r="H139" s="330">
        <v>0.0</v>
      </c>
      <c r="I139" s="704">
        <f t="shared" si="157"/>
        <v>0.0</v>
      </c>
      <c r="J139" s="330">
        <v>0.0</v>
      </c>
      <c r="K139" s="704">
        <f t="shared" si="159"/>
        <v>0.0</v>
      </c>
      <c r="L139" s="5"/>
    </row>
    <row hidden="1" r="140" customHeight="1" ht="17.0" outlineLevel="1">
      <c r="A140" s="5"/>
      <c r="B140" s="98"/>
      <c r="C140" s="340"/>
      <c r="D140" s="711"/>
      <c r="E140" s="704"/>
      <c r="F140" s="711"/>
      <c r="G140" s="704"/>
      <c r="H140" s="711"/>
      <c r="I140" s="704"/>
      <c r="J140" s="711"/>
      <c r="K140" s="712"/>
      <c r="L140" s="5"/>
    </row>
    <row hidden="1" r="141" customHeight="1" ht="17.0" outlineLevel="1">
      <c r="A141" s="5"/>
      <c r="B141" s="98"/>
      <c r="C141" s="310" t="s">
        <v>217</v>
      </c>
      <c r="D141" s="330">
        <f>D138-D139</f>
        <v>0.0</v>
      </c>
      <c r="E141" s="704">
        <f>IF(D$99=0,0,D141/D$99)</f>
        <v>0.0</v>
      </c>
      <c r="F141" s="330">
        <f>F138-F139</f>
        <v>0.0</v>
      </c>
      <c r="G141" s="704">
        <f>IF(F$99=0,0,F141/F$99)</f>
        <v>0.0</v>
      </c>
      <c r="H141" s="330">
        <f>H138-H139</f>
        <v>0.0</v>
      </c>
      <c r="I141" s="704">
        <f>IF(H$99=0,0,H141/H$99)</f>
        <v>0.0</v>
      </c>
      <c r="J141" s="330">
        <f>J138-J139</f>
        <v>0.0</v>
      </c>
      <c r="K141" s="704">
        <f>IF(J$99=0,0,J141/J$99)</f>
        <v>0.0</v>
      </c>
      <c r="L141" s="5"/>
    </row>
    <row hidden="1" r="142" customHeight="1" ht="17.0" outlineLevel="1">
      <c r="A142" s="5"/>
      <c r="B142" s="98"/>
      <c r="C142" s="68"/>
      <c r="D142" s="346"/>
      <c r="E142" s="322"/>
      <c r="F142" s="346"/>
      <c r="G142" s="322"/>
      <c r="H142" s="346"/>
      <c r="I142" s="322"/>
      <c r="J142" s="346"/>
      <c r="K142" s="722"/>
      <c r="L142" s="5"/>
    </row>
    <row hidden="1" r="143" customHeight="1" ht="17.0" outlineLevel="1">
      <c r="A143" s="5"/>
      <c r="B143" s="723"/>
      <c r="C143" s="724" t="s">
        <v>218</v>
      </c>
      <c r="D143" s="725"/>
      <c r="E143" s="725"/>
      <c r="F143" s="725"/>
      <c r="G143" s="725"/>
      <c r="H143" s="725"/>
      <c r="I143" s="725"/>
      <c r="J143" s="725"/>
      <c r="K143" s="726"/>
      <c r="L143" s="5"/>
    </row>
    <row hidden="1" r="144" customHeight="1" ht="17.0" outlineLevel="1">
      <c r="A144" s="5"/>
      <c r="B144" s="98"/>
      <c r="C144" s="350" t="s">
        <v>219</v>
      </c>
      <c r="D144" s="353">
        <f>D104</f>
        <v>0.0</v>
      </c>
      <c r="E144" s="30"/>
      <c r="F144" s="353">
        <f>F104</f>
        <v>0.0</v>
      </c>
      <c r="G144" s="30"/>
      <c r="H144" s="353">
        <f>H104</f>
        <v>0.0</v>
      </c>
      <c r="I144" s="30"/>
      <c r="J144" s="353">
        <f>J104</f>
        <v>0.0</v>
      </c>
      <c r="K144" s="38"/>
      <c r="L144" s="5"/>
    </row>
    <row hidden="1" r="145" customHeight="1" ht="17.0" outlineLevel="1">
      <c r="A145" s="5"/>
      <c r="B145" s="98"/>
      <c r="C145" s="354" t="s">
        <v>220</v>
      </c>
      <c r="D145" s="353">
        <f>D111</f>
        <v>0.0</v>
      </c>
      <c r="E145" s="30"/>
      <c r="F145" s="353">
        <f>F111</f>
        <v>0.0</v>
      </c>
      <c r="G145" s="30"/>
      <c r="H145" s="353">
        <f>H111</f>
        <v>0.0</v>
      </c>
      <c r="I145" s="30"/>
      <c r="J145" s="353">
        <f>J111</f>
        <v>0.0</v>
      </c>
      <c r="K145" s="38"/>
      <c r="L145" s="5"/>
    </row>
    <row hidden="1" r="146" customHeight="1" ht="17.0" outlineLevel="1">
      <c r="A146" s="5"/>
      <c r="B146" s="98"/>
      <c r="C146" s="354" t="s">
        <v>221</v>
      </c>
      <c r="D146" s="353">
        <f>D110</f>
        <v>0.0</v>
      </c>
      <c r="E146" s="30"/>
      <c r="F146" s="353">
        <f>F110</f>
        <v>0.0</v>
      </c>
      <c r="G146" s="30"/>
      <c r="H146" s="353">
        <f>H110</f>
        <v>0.0</v>
      </c>
      <c r="I146" s="30"/>
      <c r="J146" s="353">
        <f>J110</f>
        <v>0.0</v>
      </c>
      <c r="K146" s="38"/>
      <c r="L146" s="5"/>
    </row>
    <row hidden="1" r="147" customHeight="1" ht="17.0" outlineLevel="1">
      <c r="A147" s="5"/>
      <c r="B147" s="98"/>
      <c r="C147" s="354" t="s">
        <v>222</v>
      </c>
      <c r="D147" s="353">
        <v>0.0</v>
      </c>
      <c r="E147" s="30"/>
      <c r="F147" s="353">
        <v>0.0</v>
      </c>
      <c r="G147" s="30"/>
      <c r="H147" s="353">
        <v>0.0</v>
      </c>
      <c r="I147" s="30"/>
      <c r="J147" s="353">
        <v>0.0</v>
      </c>
      <c r="K147" s="38"/>
      <c r="L147" s="5"/>
    </row>
    <row hidden="1" r="148" customHeight="1" ht="17.0" outlineLevel="1">
      <c r="A148" s="5"/>
      <c r="B148" s="98"/>
      <c r="C148" s="356" t="s">
        <v>223</v>
      </c>
      <c r="D148" s="353">
        <v>0.0</v>
      </c>
      <c r="E148" s="30"/>
      <c r="F148" s="353">
        <v>0.0</v>
      </c>
      <c r="G148" s="30"/>
      <c r="H148" s="353">
        <v>0.0</v>
      </c>
      <c r="I148" s="30"/>
      <c r="J148" s="353">
        <v>0.0</v>
      </c>
      <c r="K148" s="38"/>
      <c r="L148" s="5"/>
    </row>
    <row hidden="1" r="149" customHeight="1" ht="17.0" outlineLevel="1">
      <c r="A149" s="5"/>
      <c r="B149" s="98"/>
      <c r="C149" s="356" t="s">
        <v>223</v>
      </c>
      <c r="D149" s="353">
        <v>0.0</v>
      </c>
      <c r="E149" s="30"/>
      <c r="F149" s="353">
        <v>0.0</v>
      </c>
      <c r="G149" s="30"/>
      <c r="H149" s="353">
        <v>0.0</v>
      </c>
      <c r="I149" s="30"/>
      <c r="J149" s="353">
        <v>0.0</v>
      </c>
      <c r="K149" s="38"/>
      <c r="L149" s="5"/>
    </row>
    <row hidden="1" r="150" customHeight="1" ht="17.0" outlineLevel="1">
      <c r="A150" s="5"/>
      <c r="B150" s="98"/>
      <c r="C150" s="354" t="s">
        <v>224</v>
      </c>
      <c r="D150" s="353">
        <v>0.0</v>
      </c>
      <c r="E150" s="30"/>
      <c r="F150" s="353">
        <v>0.0</v>
      </c>
      <c r="G150" s="30"/>
      <c r="H150" s="353">
        <v>0.0</v>
      </c>
      <c r="I150" s="30"/>
      <c r="J150" s="353">
        <v>0.0</v>
      </c>
      <c r="K150" s="38"/>
      <c r="L150" s="5"/>
    </row>
    <row hidden="1" r="151" customHeight="1" ht="17.0" outlineLevel="1">
      <c r="A151" s="5"/>
      <c r="B151" s="98"/>
      <c r="C151" s="354" t="s">
        <v>225</v>
      </c>
      <c r="D151" s="359">
        <v>0.0</v>
      </c>
      <c r="E151" s="30"/>
      <c r="F151" s="359">
        <v>0.0</v>
      </c>
      <c r="G151" s="30"/>
      <c r="H151" s="359">
        <v>0.0</v>
      </c>
      <c r="I151" s="30"/>
      <c r="J151" s="359">
        <v>0.0</v>
      </c>
      <c r="K151" s="38"/>
      <c r="L151" s="5"/>
    </row>
    <row hidden="1" r="152" customHeight="1" ht="17.0" outlineLevel="1">
      <c r="A152" s="5"/>
      <c r="B152" s="98"/>
      <c r="C152" s="354"/>
      <c r="D152" s="30"/>
      <c r="E152" s="30"/>
      <c r="F152" s="30"/>
      <c r="G152" s="30"/>
      <c r="H152" s="30"/>
      <c r="I152" s="30"/>
      <c r="J152" s="30"/>
      <c r="K152" s="38"/>
      <c r="L152" s="5"/>
    </row>
    <row hidden="1" r="153" customHeight="1" ht="17.0" outlineLevel="1">
      <c r="A153" s="5"/>
      <c r="B153" s="98"/>
      <c r="C153" s="354" t="s">
        <v>226</v>
      </c>
      <c r="D153" s="363">
        <f>D141+SUM(D144:D151)</f>
        <v>0.0</v>
      </c>
      <c r="E153" s="354"/>
      <c r="F153" s="363">
        <f>F141+SUM(F144:F151)</f>
        <v>0.0</v>
      </c>
      <c r="G153" s="354"/>
      <c r="H153" s="363">
        <f>H141+SUM(H144:H151)</f>
        <v>0.0</v>
      </c>
      <c r="I153" s="354"/>
      <c r="J153" s="363">
        <f>J141+SUM(J144:J151)</f>
        <v>0.0</v>
      </c>
      <c r="K153" s="38"/>
      <c r="L153" s="5"/>
    </row>
    <row hidden="1" r="154" customHeight="1" ht="17.0" outlineLevel="1">
      <c r="A154" s="5"/>
      <c r="B154" s="98"/>
      <c r="C154" s="354"/>
      <c r="D154" s="30"/>
      <c r="E154" s="30"/>
      <c r="F154" s="30"/>
      <c r="G154" s="30"/>
      <c r="H154" s="30"/>
      <c r="I154" s="30"/>
      <c r="J154" s="30"/>
      <c r="K154" s="38"/>
      <c r="L154" s="5"/>
    </row>
    <row hidden="1" r="155" customHeight="1" ht="17.0" outlineLevel="1">
      <c r="A155" s="5"/>
      <c r="B155" s="98"/>
      <c r="C155" s="68" t="s">
        <v>375</v>
      </c>
      <c r="D155" s="353">
        <v>0.0</v>
      </c>
      <c r="E155" s="30"/>
      <c r="F155" s="353">
        <v>0.0</v>
      </c>
      <c r="G155" s="30"/>
      <c r="H155" s="353">
        <v>0.0</v>
      </c>
      <c r="I155" s="30"/>
      <c r="J155" s="353">
        <v>0.0</v>
      </c>
      <c r="K155" s="38"/>
      <c r="L155" s="5"/>
    </row>
    <row hidden="1" r="156" customHeight="1" ht="17.0" outlineLevel="1">
      <c r="A156" s="5"/>
      <c r="B156" s="98"/>
      <c r="C156" s="68" t="s">
        <v>227</v>
      </c>
      <c r="D156" s="308">
        <f>D155*D86</f>
        <v>0.0</v>
      </c>
      <c r="E156" s="30"/>
      <c r="F156" s="308">
        <f>F155*F86</f>
        <v>0.0</v>
      </c>
      <c r="G156" s="30"/>
      <c r="H156" s="308">
        <f>H155*H86</f>
        <v>0.0</v>
      </c>
      <c r="I156" s="30"/>
      <c r="J156" s="308">
        <f>J155*J86</f>
        <v>0.0</v>
      </c>
      <c r="K156" s="38"/>
      <c r="L156" s="5"/>
    </row>
    <row hidden="1" r="157" customHeight="1" ht="17.0" outlineLevel="1">
      <c r="A157" s="5"/>
      <c r="B157" s="98"/>
      <c r="C157" s="30"/>
      <c r="D157" s="30"/>
      <c r="E157" s="30"/>
      <c r="F157" s="30"/>
      <c r="G157" s="30"/>
      <c r="H157" s="30"/>
      <c r="I157" s="30"/>
      <c r="J157" s="30"/>
      <c r="K157" s="38"/>
      <c r="L157" s="5"/>
    </row>
    <row hidden="1" r="158" customHeight="1" ht="17.0" outlineLevel="1">
      <c r="A158" s="5"/>
      <c r="B158" s="98"/>
      <c r="C158" s="310" t="s">
        <v>232</v>
      </c>
      <c r="D158" s="366">
        <f>IFERROR(D153/D156,0)</f>
        <v>0.0</v>
      </c>
      <c r="E158" s="30"/>
      <c r="F158" s="366">
        <f>IFERROR(F153/F156,0)</f>
        <v>0.0</v>
      </c>
      <c r="G158" s="30"/>
      <c r="H158" s="366">
        <f>IFERROR(H153/H156,0)</f>
        <v>0.0</v>
      </c>
      <c r="I158" s="30"/>
      <c r="J158" s="366">
        <f>IFERROR(J153/J156,0)</f>
        <v>0.0</v>
      </c>
      <c r="K158" s="38"/>
      <c r="L158" s="5"/>
    </row>
    <row hidden="1" r="159" customHeight="1" ht="17.0" outlineLevel="1">
      <c r="A159" s="5"/>
      <c r="B159" s="727" t="s">
        <v>400</v>
      </c>
      <c r="C159" s="717"/>
      <c r="D159" s="717"/>
      <c r="E159" s="73"/>
      <c r="F159" s="73"/>
      <c r="G159" s="73"/>
      <c r="H159" s="73"/>
      <c r="I159" s="73"/>
      <c r="J159" s="73"/>
      <c r="K159" s="74"/>
      <c r="L159" s="5"/>
    </row>
    <row r="160" customHeight="1" ht="17.0" collapsed="1">
      <c r="B160" s="4"/>
      <c r="C160" s="4"/>
      <c r="D160" s="4"/>
      <c r="E160" s="6"/>
      <c r="F160" s="6"/>
      <c r="G160" s="6"/>
      <c r="H160" s="6"/>
      <c r="I160" s="6"/>
      <c r="J160" s="6"/>
      <c r="K160" s="6"/>
    </row>
    <row r="161" ht="17.0">
      <c r="A161" s="5"/>
      <c r="B161" s="267" t="s">
        <v>20</v>
      </c>
      <c r="C161" s="268"/>
      <c r="D161" s="268"/>
      <c r="E161" s="268"/>
      <c r="F161" s="268"/>
      <c r="G161" s="268"/>
      <c r="H161" s="268"/>
      <c r="I161" s="268"/>
      <c r="J161" s="268"/>
      <c r="K161" s="269"/>
      <c r="L161" s="5"/>
    </row>
    <row r="162" ht="17.0">
      <c r="B162" s="728" t="s">
        <v>379</v>
      </c>
      <c r="C162" s="273"/>
      <c r="D162" s="273"/>
      <c r="E162" s="273"/>
      <c r="F162" s="273"/>
      <c r="G162" s="273"/>
      <c r="H162" s="273"/>
      <c r="I162" s="273"/>
      <c r="J162" s="273"/>
      <c r="K162" s="729"/>
    </row>
    <row r="163" customHeight="1" ht="17.0" outlineLevel="1">
      <c r="A163" s="5"/>
      <c r="B163" s="698" t="s">
        <v>176</v>
      </c>
      <c r="C163" s="699" t="s">
        <v>385</v>
      </c>
      <c r="D163" s="700"/>
      <c r="E163" s="700"/>
      <c r="F163" s="700"/>
      <c r="G163" s="700"/>
      <c r="H163" s="700"/>
      <c r="I163" s="700"/>
      <c r="J163" s="700"/>
      <c r="K163" s="701"/>
      <c r="L163" s="5"/>
    </row>
    <row r="164" customHeight="1" ht="17.0" outlineLevel="1">
      <c r="A164" s="5"/>
      <c r="B164" s="282" t="s">
        <v>178</v>
      </c>
      <c r="C164" s="68"/>
      <c r="D164" s="283">
        <v>44926.0</v>
      </c>
      <c r="E164" s="284"/>
      <c r="F164" s="283">
        <f>EOMONTH(D164,F165)</f>
        <v>45291.0</v>
      </c>
      <c r="G164" s="284"/>
      <c r="H164" s="283">
        <f>EOMONTH(F164,H165)</f>
        <v>45657.0</v>
      </c>
      <c r="I164" s="284"/>
      <c r="J164" s="283">
        <f>EOMONTH(H164,J165)</f>
        <v>45747.0</v>
      </c>
      <c r="K164" s="38"/>
      <c r="L164" s="5"/>
    </row>
    <row r="165" customHeight="1" ht="17.0" outlineLevel="1">
      <c r="A165" s="5"/>
      <c r="B165" s="282" t="s">
        <v>180</v>
      </c>
      <c r="C165" s="68"/>
      <c r="D165" s="286">
        <v>12.0</v>
      </c>
      <c r="E165" s="287"/>
      <c r="F165" s="286">
        <v>12.0</v>
      </c>
      <c r="G165" s="287"/>
      <c r="H165" s="286">
        <v>12.0</v>
      </c>
      <c r="I165" s="287"/>
      <c r="J165" s="286">
        <v>3.0</v>
      </c>
      <c r="K165" s="288"/>
      <c r="L165" s="5"/>
    </row>
    <row r="166" customHeight="1" ht="17.0" outlineLevel="1">
      <c r="A166" s="5"/>
      <c r="B166" s="282" t="s">
        <v>182</v>
      </c>
      <c r="C166" s="68"/>
      <c r="D166" s="289" t="s">
        <v>183</v>
      </c>
      <c r="E166" s="290"/>
      <c r="F166" s="289" t="s">
        <v>183</v>
      </c>
      <c r="G166" s="290"/>
      <c r="H166" s="289"/>
      <c r="I166" s="290"/>
      <c r="J166" s="289" t="s">
        <v>184</v>
      </c>
      <c r="K166" s="288"/>
      <c r="L166" s="5"/>
    </row>
    <row r="167" customHeight="1" ht="17.0" outlineLevel="1">
      <c r="A167" s="5"/>
      <c r="B167" s="282" t="s">
        <v>186</v>
      </c>
      <c r="C167" s="68"/>
      <c r="D167" s="289"/>
      <c r="E167" s="290"/>
      <c r="F167" s="289"/>
      <c r="G167" s="290"/>
      <c r="H167" s="289"/>
      <c r="I167" s="290"/>
      <c r="J167" s="289"/>
      <c r="K167" s="288"/>
      <c r="L167" s="5"/>
    </row>
    <row r="168" customHeight="1" ht="17.0" outlineLevel="1">
      <c r="A168" s="5"/>
      <c r="B168" s="293" t="s">
        <v>187</v>
      </c>
      <c r="C168" s="294"/>
      <c r="D168" s="702"/>
      <c r="E168" s="703"/>
      <c r="F168" s="702"/>
      <c r="G168" s="703"/>
      <c r="H168" s="702"/>
      <c r="I168" s="703"/>
      <c r="J168" s="296">
        <f>(J169/J165)*12</f>
        <v>0.0</v>
      </c>
      <c r="K168" s="297"/>
      <c r="L168" s="5"/>
    </row>
    <row r="169" customHeight="1" ht="17.0" outlineLevel="1">
      <c r="A169" s="5"/>
      <c r="B169" s="45" t="s">
        <v>188</v>
      </c>
      <c r="C169" s="68" t="s">
        <v>189</v>
      </c>
      <c r="D169" s="301">
        <v>0.0</v>
      </c>
      <c r="E169" s="704">
        <f t="shared" ref="E169:E180" si="196">IF(D$178=0,0,D169/D$178)</f>
        <v>0.0</v>
      </c>
      <c r="F169" s="301">
        <v>0.0</v>
      </c>
      <c r="G169" s="704">
        <f t="shared" ref="G169:G180" si="197">IF(F$178=0,0,F169/F$178)</f>
        <v>0.0</v>
      </c>
      <c r="H169" s="301">
        <v>0.0</v>
      </c>
      <c r="I169" s="704">
        <f t="shared" ref="I169:I180" si="198">IF(H$178=0,0,H169/H$178)</f>
        <v>0.0</v>
      </c>
      <c r="J169" s="301">
        <v>0.0</v>
      </c>
      <c r="K169" s="704">
        <f t="shared" ref="K169:K180" si="199">IF(J$178=0,0,J169/J$178)</f>
        <v>0.0</v>
      </c>
      <c r="L169" s="5"/>
    </row>
    <row r="170" customHeight="1" ht="17.0" outlineLevel="1">
      <c r="A170" s="5"/>
      <c r="B170" s="45" t="s">
        <v>191</v>
      </c>
      <c r="C170" s="68" t="s">
        <v>189</v>
      </c>
      <c r="D170" s="306">
        <v>0.0</v>
      </c>
      <c r="E170" s="704">
        <f t="shared" si="196"/>
        <v>0.0</v>
      </c>
      <c r="F170" s="306">
        <v>0.0</v>
      </c>
      <c r="G170" s="704">
        <f t="shared" si="197"/>
        <v>0.0</v>
      </c>
      <c r="H170" s="306">
        <v>0.0</v>
      </c>
      <c r="I170" s="704">
        <f t="shared" si="198"/>
        <v>0.0</v>
      </c>
      <c r="J170" s="306">
        <v>0.0</v>
      </c>
      <c r="K170" s="704">
        <f t="shared" si="199"/>
        <v>0.0</v>
      </c>
      <c r="L170" s="5"/>
    </row>
    <row r="171" customHeight="1" ht="17.0" outlineLevel="1">
      <c r="A171" s="5"/>
      <c r="B171" s="45" t="s">
        <v>193</v>
      </c>
      <c r="C171" s="68" t="s">
        <v>189</v>
      </c>
      <c r="D171" s="308">
        <f>D169-D170</f>
        <v>0.0</v>
      </c>
      <c r="E171" s="704">
        <f t="shared" si="196"/>
        <v>0.0</v>
      </c>
      <c r="F171" s="308">
        <f>F169-F170</f>
        <v>0.0</v>
      </c>
      <c r="G171" s="704">
        <f t="shared" si="197"/>
        <v>0.0</v>
      </c>
      <c r="H171" s="308">
        <f>H169-H170</f>
        <v>0.0</v>
      </c>
      <c r="I171" s="704">
        <f t="shared" si="198"/>
        <v>0.0</v>
      </c>
      <c r="J171" s="308">
        <f>J169-J170</f>
        <v>0.0</v>
      </c>
      <c r="K171" s="704">
        <f t="shared" si="199"/>
        <v>0.0</v>
      </c>
      <c r="L171" s="5"/>
    </row>
    <row r="172" customHeight="1" ht="17.0" outlineLevel="1">
      <c r="A172" s="5"/>
      <c r="B172" s="45" t="s">
        <v>188</v>
      </c>
      <c r="C172" s="68" t="s">
        <v>386</v>
      </c>
      <c r="D172" s="301">
        <v>0.0</v>
      </c>
      <c r="E172" s="704">
        <f t="shared" si="196"/>
        <v>0.0</v>
      </c>
      <c r="F172" s="301">
        <v>0.0</v>
      </c>
      <c r="G172" s="704">
        <f t="shared" si="197"/>
        <v>0.0</v>
      </c>
      <c r="H172" s="301">
        <v>0.0</v>
      </c>
      <c r="I172" s="704">
        <f t="shared" si="198"/>
        <v>0.0</v>
      </c>
      <c r="J172" s="301">
        <v>0.0</v>
      </c>
      <c r="K172" s="704">
        <f t="shared" si="199"/>
        <v>0.0</v>
      </c>
      <c r="L172" s="5"/>
    </row>
    <row r="173" customHeight="1" ht="17.0" outlineLevel="1">
      <c r="A173" s="5"/>
      <c r="B173" s="45" t="s">
        <v>191</v>
      </c>
      <c r="C173" s="68" t="s">
        <v>386</v>
      </c>
      <c r="D173" s="306">
        <v>0.0</v>
      </c>
      <c r="E173" s="704">
        <f t="shared" si="196"/>
        <v>0.0</v>
      </c>
      <c r="F173" s="306">
        <v>0.0</v>
      </c>
      <c r="G173" s="704">
        <f t="shared" si="197"/>
        <v>0.0</v>
      </c>
      <c r="H173" s="306">
        <v>0.0</v>
      </c>
      <c r="I173" s="704">
        <f t="shared" si="198"/>
        <v>0.0</v>
      </c>
      <c r="J173" s="306">
        <v>0.0</v>
      </c>
      <c r="K173" s="704">
        <f t="shared" si="199"/>
        <v>0.0</v>
      </c>
      <c r="L173" s="5"/>
    </row>
    <row r="174" customHeight="1" ht="17.0" outlineLevel="1">
      <c r="A174" s="5"/>
      <c r="B174" s="45" t="s">
        <v>193</v>
      </c>
      <c r="C174" s="68" t="s">
        <v>386</v>
      </c>
      <c r="D174" s="308">
        <f>D172-D173</f>
        <v>0.0</v>
      </c>
      <c r="E174" s="704">
        <f t="shared" si="196"/>
        <v>0.0</v>
      </c>
      <c r="F174" s="308">
        <f>F172-F173</f>
        <v>0.0</v>
      </c>
      <c r="G174" s="704">
        <f t="shared" si="197"/>
        <v>0.0</v>
      </c>
      <c r="H174" s="308">
        <f>H172-H173</f>
        <v>0.0</v>
      </c>
      <c r="I174" s="704">
        <f t="shared" si="198"/>
        <v>0.0</v>
      </c>
      <c r="J174" s="308">
        <f>J172-J173</f>
        <v>0.0</v>
      </c>
      <c r="K174" s="704">
        <f t="shared" si="199"/>
        <v>0.0</v>
      </c>
      <c r="L174" s="5"/>
    </row>
    <row r="175" customHeight="1" ht="17.0" outlineLevel="1">
      <c r="A175" s="5"/>
      <c r="B175" s="45" t="s">
        <v>188</v>
      </c>
      <c r="C175" s="68" t="s">
        <v>387</v>
      </c>
      <c r="D175" s="301">
        <v>0.0</v>
      </c>
      <c r="E175" s="704">
        <f t="shared" si="196"/>
        <v>0.0</v>
      </c>
      <c r="F175" s="301">
        <v>0.0</v>
      </c>
      <c r="G175" s="704">
        <f t="shared" si="197"/>
        <v>0.0</v>
      </c>
      <c r="H175" s="301">
        <v>0.0</v>
      </c>
      <c r="I175" s="704">
        <f t="shared" si="198"/>
        <v>0.0</v>
      </c>
      <c r="J175" s="301">
        <v>0.0</v>
      </c>
      <c r="K175" s="704">
        <f t="shared" si="199"/>
        <v>0.0</v>
      </c>
      <c r="L175" s="5"/>
    </row>
    <row r="176" customHeight="1" ht="17.0" outlineLevel="1">
      <c r="A176" s="5"/>
      <c r="B176" s="45" t="s">
        <v>191</v>
      </c>
      <c r="C176" s="68" t="s">
        <v>387</v>
      </c>
      <c r="D176" s="306">
        <v>0.0</v>
      </c>
      <c r="E176" s="704">
        <f t="shared" si="196"/>
        <v>0.0</v>
      </c>
      <c r="F176" s="306">
        <v>0.0</v>
      </c>
      <c r="G176" s="704">
        <f t="shared" si="197"/>
        <v>0.0</v>
      </c>
      <c r="H176" s="306">
        <v>0.0</v>
      </c>
      <c r="I176" s="704">
        <f t="shared" si="198"/>
        <v>0.0</v>
      </c>
      <c r="J176" s="306">
        <v>0.0</v>
      </c>
      <c r="K176" s="704">
        <f t="shared" si="199"/>
        <v>0.0</v>
      </c>
      <c r="L176" s="5"/>
    </row>
    <row r="177" customHeight="1" ht="17.0" outlineLevel="1">
      <c r="A177" s="5"/>
      <c r="B177" s="45" t="s">
        <v>193</v>
      </c>
      <c r="C177" s="68" t="s">
        <v>387</v>
      </c>
      <c r="D177" s="308">
        <f>D175-D176</f>
        <v>0.0</v>
      </c>
      <c r="E177" s="704">
        <f t="shared" si="196"/>
        <v>0.0</v>
      </c>
      <c r="F177" s="308">
        <f>F175-F176</f>
        <v>0.0</v>
      </c>
      <c r="G177" s="704">
        <f t="shared" si="197"/>
        <v>0.0</v>
      </c>
      <c r="H177" s="308">
        <f>H175-H176</f>
        <v>0.0</v>
      </c>
      <c r="I177" s="704">
        <f t="shared" si="198"/>
        <v>0.0</v>
      </c>
      <c r="J177" s="308">
        <f>J175-J176</f>
        <v>0.0</v>
      </c>
      <c r="K177" s="704">
        <f t="shared" si="199"/>
        <v>0.0</v>
      </c>
      <c r="L177" s="5"/>
    </row>
    <row r="178" customHeight="1" ht="17.0" outlineLevel="1">
      <c r="A178" s="5"/>
      <c r="B178" s="45" t="s">
        <v>388</v>
      </c>
      <c r="C178" s="310" t="s">
        <v>195</v>
      </c>
      <c r="D178" s="313">
        <f t="shared" ref="D178:D179" si="212">D169+D172+D175</f>
        <v>0.0</v>
      </c>
      <c r="E178" s="704">
        <f t="shared" si="196"/>
        <v>0.0</v>
      </c>
      <c r="F178" s="313">
        <f t="shared" ref="F178:F179" si="213">F169+F172+F175</f>
        <v>0.0</v>
      </c>
      <c r="G178" s="704">
        <f t="shared" si="197"/>
        <v>0.0</v>
      </c>
      <c r="H178" s="313">
        <f t="shared" ref="H178:H179" si="214">H169+H172+H175</f>
        <v>0.0</v>
      </c>
      <c r="I178" s="704">
        <f t="shared" si="198"/>
        <v>0.0</v>
      </c>
      <c r="J178" s="313">
        <f t="shared" ref="J178:J179" si="215">J169+J172+J175</f>
        <v>0.0</v>
      </c>
      <c r="K178" s="704">
        <f t="shared" si="199"/>
        <v>0.0</v>
      </c>
      <c r="L178" s="5"/>
    </row>
    <row r="179" customHeight="1" ht="17.0" outlineLevel="1">
      <c r="A179" s="5"/>
      <c r="B179" s="98"/>
      <c r="C179" s="310" t="s">
        <v>196</v>
      </c>
      <c r="D179" s="315">
        <f t="shared" si="212"/>
        <v>0.0</v>
      </c>
      <c r="E179" s="704">
        <f t="shared" si="196"/>
        <v>0.0</v>
      </c>
      <c r="F179" s="315">
        <f t="shared" si="213"/>
        <v>0.0</v>
      </c>
      <c r="G179" s="704">
        <f t="shared" si="197"/>
        <v>0.0</v>
      </c>
      <c r="H179" s="315">
        <f t="shared" si="214"/>
        <v>0.0</v>
      </c>
      <c r="I179" s="704">
        <f t="shared" si="198"/>
        <v>0.0</v>
      </c>
      <c r="J179" s="315">
        <f t="shared" si="215"/>
        <v>0.0</v>
      </c>
      <c r="K179" s="704">
        <f t="shared" si="199"/>
        <v>0.0</v>
      </c>
      <c r="L179" s="5"/>
    </row>
    <row r="180" customHeight="1" ht="17.0" outlineLevel="1">
      <c r="A180" s="5"/>
      <c r="B180" s="98"/>
      <c r="C180" s="310" t="s">
        <v>197</v>
      </c>
      <c r="D180" s="317">
        <f>D178-D179</f>
        <v>0.0</v>
      </c>
      <c r="E180" s="704">
        <f t="shared" si="196"/>
        <v>0.0</v>
      </c>
      <c r="F180" s="317">
        <f>F178-F179</f>
        <v>0.0</v>
      </c>
      <c r="G180" s="704">
        <f t="shared" si="197"/>
        <v>0.0</v>
      </c>
      <c r="H180" s="317">
        <f>H178-H179</f>
        <v>0.0</v>
      </c>
      <c r="I180" s="704">
        <f t="shared" si="198"/>
        <v>0.0</v>
      </c>
      <c r="J180" s="317">
        <f>J178-J179</f>
        <v>0.0</v>
      </c>
      <c r="K180" s="704">
        <f t="shared" si="199"/>
        <v>0.0</v>
      </c>
      <c r="L180" s="5"/>
    </row>
    <row r="181" customHeight="1" ht="17.0" outlineLevel="1">
      <c r="A181" s="5"/>
      <c r="B181" s="98"/>
      <c r="C181" s="310"/>
      <c r="D181" s="705"/>
      <c r="E181" s="706"/>
      <c r="F181" s="705"/>
      <c r="G181" s="706"/>
      <c r="H181" s="705"/>
      <c r="I181" s="706"/>
      <c r="J181" s="705"/>
      <c r="K181" s="706"/>
      <c r="L181" s="5"/>
    </row>
    <row r="182" customHeight="1" ht="17.0" outlineLevel="1">
      <c r="A182" s="5"/>
      <c r="B182" s="98"/>
      <c r="C182" s="310" t="s">
        <v>198</v>
      </c>
      <c r="D182" s="707"/>
      <c r="E182" s="704"/>
      <c r="F182" s="707"/>
      <c r="G182" s="704"/>
      <c r="H182" s="707"/>
      <c r="I182" s="704"/>
      <c r="J182" s="707"/>
      <c r="K182" s="706"/>
      <c r="L182" s="5"/>
    </row>
    <row r="183" customHeight="1" ht="17.0" outlineLevel="1">
      <c r="A183" s="5"/>
      <c r="B183" s="98"/>
      <c r="C183" s="68" t="s">
        <v>199</v>
      </c>
      <c r="D183" s="301">
        <v>0.0</v>
      </c>
      <c r="E183" s="704">
        <f t="shared" ref="E183:E207" si="220">IF(D$178=0,0,D183/D$178)</f>
        <v>0.0</v>
      </c>
      <c r="F183" s="301">
        <v>0.0</v>
      </c>
      <c r="G183" s="704">
        <f t="shared" ref="G183:G207" si="221">IF(F$178=0,0,F183/F$178)</f>
        <v>0.0</v>
      </c>
      <c r="H183" s="301">
        <v>0.0</v>
      </c>
      <c r="I183" s="704">
        <f t="shared" ref="I183:I207" si="222">IF(H$178=0,0,H183/H$178)</f>
        <v>0.0</v>
      </c>
      <c r="J183" s="301">
        <v>0.0</v>
      </c>
      <c r="K183" s="704">
        <f t="shared" ref="K183:K207" si="223">IF(J$178=0,0,J183/J$178)</f>
        <v>0.0</v>
      </c>
      <c r="L183" s="5"/>
    </row>
    <row r="184" customHeight="1" ht="17.0" outlineLevel="1">
      <c r="A184" s="5"/>
      <c r="B184" s="98"/>
      <c r="C184" s="68" t="s">
        <v>200</v>
      </c>
      <c r="D184" s="326">
        <v>0.0</v>
      </c>
      <c r="E184" s="704">
        <f t="shared" si="220"/>
        <v>0.0</v>
      </c>
      <c r="F184" s="326">
        <v>0.0</v>
      </c>
      <c r="G184" s="704">
        <f t="shared" si="221"/>
        <v>0.0</v>
      </c>
      <c r="H184" s="326">
        <v>0.0</v>
      </c>
      <c r="I184" s="704">
        <f t="shared" si="222"/>
        <v>0.0</v>
      </c>
      <c r="J184" s="326">
        <v>0.0</v>
      </c>
      <c r="K184" s="704">
        <f t="shared" si="223"/>
        <v>0.0</v>
      </c>
      <c r="L184" s="5"/>
    </row>
    <row r="185" customHeight="1" ht="17.0" outlineLevel="1">
      <c r="A185" s="5"/>
      <c r="B185" s="98"/>
      <c r="C185" s="68" t="s">
        <v>201</v>
      </c>
      <c r="D185" s="326">
        <v>0.0</v>
      </c>
      <c r="E185" s="704">
        <f t="shared" si="220"/>
        <v>0.0</v>
      </c>
      <c r="F185" s="326">
        <v>0.0</v>
      </c>
      <c r="G185" s="704">
        <f t="shared" si="221"/>
        <v>0.0</v>
      </c>
      <c r="H185" s="326">
        <v>0.0</v>
      </c>
      <c r="I185" s="704">
        <f t="shared" si="222"/>
        <v>0.0</v>
      </c>
      <c r="J185" s="326">
        <v>0.0</v>
      </c>
      <c r="K185" s="704">
        <f t="shared" si="223"/>
        <v>0.0</v>
      </c>
      <c r="L185" s="5"/>
    </row>
    <row r="186" customHeight="1" ht="17.0" outlineLevel="1">
      <c r="A186" s="5"/>
      <c r="B186" s="98"/>
      <c r="C186" s="68" t="s">
        <v>202</v>
      </c>
      <c r="D186" s="326">
        <v>0.0</v>
      </c>
      <c r="E186" s="704">
        <f t="shared" si="220"/>
        <v>0.0</v>
      </c>
      <c r="F186" s="326">
        <v>0.0</v>
      </c>
      <c r="G186" s="704">
        <f t="shared" si="221"/>
        <v>0.0</v>
      </c>
      <c r="H186" s="326">
        <v>0.0</v>
      </c>
      <c r="I186" s="704">
        <f t="shared" si="222"/>
        <v>0.0</v>
      </c>
      <c r="J186" s="326">
        <v>0.0</v>
      </c>
      <c r="K186" s="704">
        <f t="shared" si="223"/>
        <v>0.0</v>
      </c>
      <c r="L186" s="5"/>
    </row>
    <row r="187" customHeight="1" ht="17.0" outlineLevel="1">
      <c r="A187" s="5"/>
      <c r="B187" s="98"/>
      <c r="C187" s="68" t="s">
        <v>203</v>
      </c>
      <c r="D187" s="326">
        <v>0.0</v>
      </c>
      <c r="E187" s="704">
        <f t="shared" si="220"/>
        <v>0.0</v>
      </c>
      <c r="F187" s="326">
        <v>0.0</v>
      </c>
      <c r="G187" s="704">
        <f t="shared" si="221"/>
        <v>0.0</v>
      </c>
      <c r="H187" s="326">
        <v>0.0</v>
      </c>
      <c r="I187" s="704">
        <f t="shared" si="222"/>
        <v>0.0</v>
      </c>
      <c r="J187" s="326">
        <v>0.0</v>
      </c>
      <c r="K187" s="704">
        <f t="shared" si="223"/>
        <v>0.0</v>
      </c>
      <c r="L187" s="5"/>
    </row>
    <row r="188" customHeight="1" ht="17.0" outlineLevel="1">
      <c r="A188" s="5"/>
      <c r="B188" s="98"/>
      <c r="C188" s="68" t="s">
        <v>204</v>
      </c>
      <c r="D188" s="326">
        <v>0.0</v>
      </c>
      <c r="E188" s="704">
        <f t="shared" si="220"/>
        <v>0.0</v>
      </c>
      <c r="F188" s="326">
        <v>0.0</v>
      </c>
      <c r="G188" s="704">
        <f t="shared" si="221"/>
        <v>0.0</v>
      </c>
      <c r="H188" s="326">
        <v>0.0</v>
      </c>
      <c r="I188" s="704">
        <f t="shared" si="222"/>
        <v>0.0</v>
      </c>
      <c r="J188" s="326">
        <v>0.0</v>
      </c>
      <c r="K188" s="704">
        <f t="shared" si="223"/>
        <v>0.0</v>
      </c>
      <c r="L188" s="5"/>
    </row>
    <row r="189" customHeight="1" ht="17.0" outlineLevel="1">
      <c r="A189" s="5"/>
      <c r="B189" s="98"/>
      <c r="C189" s="68" t="s">
        <v>205</v>
      </c>
      <c r="D189" s="326">
        <v>0.0</v>
      </c>
      <c r="E189" s="704">
        <f t="shared" si="220"/>
        <v>0.0</v>
      </c>
      <c r="F189" s="326">
        <v>0.0</v>
      </c>
      <c r="G189" s="704">
        <f t="shared" si="221"/>
        <v>0.0</v>
      </c>
      <c r="H189" s="326">
        <v>0.0</v>
      </c>
      <c r="I189" s="704">
        <f t="shared" si="222"/>
        <v>0.0</v>
      </c>
      <c r="J189" s="326">
        <v>0.0</v>
      </c>
      <c r="K189" s="704">
        <f t="shared" si="223"/>
        <v>0.0</v>
      </c>
      <c r="L189" s="5"/>
    </row>
    <row r="190" customHeight="1" ht="17.0" outlineLevel="1">
      <c r="A190" s="5"/>
      <c r="B190" s="98"/>
      <c r="C190" s="68" t="s">
        <v>206</v>
      </c>
      <c r="D190" s="326">
        <v>0.0</v>
      </c>
      <c r="E190" s="704">
        <f t="shared" si="220"/>
        <v>0.0</v>
      </c>
      <c r="F190" s="326">
        <v>0.0</v>
      </c>
      <c r="G190" s="704">
        <f t="shared" si="221"/>
        <v>0.0</v>
      </c>
      <c r="H190" s="326">
        <v>0.0</v>
      </c>
      <c r="I190" s="704">
        <f t="shared" si="222"/>
        <v>0.0</v>
      </c>
      <c r="J190" s="326">
        <v>0.0</v>
      </c>
      <c r="K190" s="704">
        <f t="shared" si="223"/>
        <v>0.0</v>
      </c>
      <c r="L190" s="5"/>
    </row>
    <row r="191" customHeight="1" ht="17.0" outlineLevel="1">
      <c r="A191" s="5"/>
      <c r="B191" s="98"/>
      <c r="C191" s="68" t="s">
        <v>207</v>
      </c>
      <c r="D191" s="326">
        <v>0.0</v>
      </c>
      <c r="E191" s="704">
        <f t="shared" si="220"/>
        <v>0.0</v>
      </c>
      <c r="F191" s="326">
        <v>0.0</v>
      </c>
      <c r="G191" s="704">
        <f t="shared" si="221"/>
        <v>0.0</v>
      </c>
      <c r="H191" s="326">
        <v>0.0</v>
      </c>
      <c r="I191" s="704">
        <f t="shared" si="222"/>
        <v>0.0</v>
      </c>
      <c r="J191" s="326">
        <v>0.0</v>
      </c>
      <c r="K191" s="704">
        <f t="shared" si="223"/>
        <v>0.0</v>
      </c>
      <c r="L191" s="5"/>
    </row>
    <row r="192" customHeight="1" ht="17.0" outlineLevel="1">
      <c r="A192" s="5"/>
      <c r="B192" s="98"/>
      <c r="C192" s="68" t="s">
        <v>389</v>
      </c>
      <c r="D192" s="326">
        <v>0.0</v>
      </c>
      <c r="E192" s="704">
        <f t="shared" si="220"/>
        <v>0.0</v>
      </c>
      <c r="F192" s="326">
        <v>0.0</v>
      </c>
      <c r="G192" s="704">
        <f t="shared" si="221"/>
        <v>0.0</v>
      </c>
      <c r="H192" s="326">
        <v>0.0</v>
      </c>
      <c r="I192" s="704">
        <f t="shared" si="222"/>
        <v>0.0</v>
      </c>
      <c r="J192" s="326">
        <v>0.0</v>
      </c>
      <c r="K192" s="704">
        <f t="shared" si="223"/>
        <v>0.0</v>
      </c>
      <c r="L192" s="5"/>
    </row>
    <row r="193" customHeight="1" ht="17.0" outlineLevel="1">
      <c r="A193" s="5"/>
      <c r="B193" s="98"/>
      <c r="C193" s="68" t="s">
        <v>390</v>
      </c>
      <c r="D193" s="326">
        <v>0.0</v>
      </c>
      <c r="E193" s="704">
        <f t="shared" si="220"/>
        <v>0.0</v>
      </c>
      <c r="F193" s="326">
        <v>0.0</v>
      </c>
      <c r="G193" s="704">
        <f t="shared" si="221"/>
        <v>0.0</v>
      </c>
      <c r="H193" s="326">
        <v>0.0</v>
      </c>
      <c r="I193" s="704">
        <f t="shared" si="222"/>
        <v>0.0</v>
      </c>
      <c r="J193" s="326">
        <v>0.0</v>
      </c>
      <c r="K193" s="704">
        <f t="shared" si="223"/>
        <v>0.0</v>
      </c>
      <c r="L193" s="5"/>
    </row>
    <row r="194" customHeight="1" ht="17.0" outlineLevel="1">
      <c r="A194" s="5"/>
      <c r="B194" s="98"/>
      <c r="C194" s="68" t="s">
        <v>391</v>
      </c>
      <c r="D194" s="326">
        <v>0.0</v>
      </c>
      <c r="E194" s="704">
        <f t="shared" si="220"/>
        <v>0.0</v>
      </c>
      <c r="F194" s="326">
        <v>0.0</v>
      </c>
      <c r="G194" s="704">
        <f t="shared" si="221"/>
        <v>0.0</v>
      </c>
      <c r="H194" s="326">
        <v>0.0</v>
      </c>
      <c r="I194" s="704">
        <f t="shared" si="222"/>
        <v>0.0</v>
      </c>
      <c r="J194" s="326">
        <v>0.0</v>
      </c>
      <c r="K194" s="704">
        <f t="shared" si="223"/>
        <v>0.0</v>
      </c>
      <c r="L194" s="5"/>
    </row>
    <row r="195" customHeight="1" ht="17.0" outlineLevel="1">
      <c r="A195" s="5"/>
      <c r="B195" s="98"/>
      <c r="C195" s="68" t="s">
        <v>392</v>
      </c>
      <c r="D195" s="326">
        <v>0.0</v>
      </c>
      <c r="E195" s="704">
        <f t="shared" si="220"/>
        <v>0.0</v>
      </c>
      <c r="F195" s="326">
        <v>0.0</v>
      </c>
      <c r="G195" s="704">
        <f t="shared" si="221"/>
        <v>0.0</v>
      </c>
      <c r="H195" s="326">
        <v>0.0</v>
      </c>
      <c r="I195" s="704">
        <f t="shared" si="222"/>
        <v>0.0</v>
      </c>
      <c r="J195" s="326">
        <v>0.0</v>
      </c>
      <c r="K195" s="704">
        <f t="shared" si="223"/>
        <v>0.0</v>
      </c>
      <c r="L195" s="5"/>
    </row>
    <row r="196" customHeight="1" ht="17.0" outlineLevel="1">
      <c r="A196" s="5"/>
      <c r="B196" s="98"/>
      <c r="C196" s="68" t="s">
        <v>393</v>
      </c>
      <c r="D196" s="326">
        <v>0.0</v>
      </c>
      <c r="E196" s="704">
        <f t="shared" si="220"/>
        <v>0.0</v>
      </c>
      <c r="F196" s="326">
        <v>0.0</v>
      </c>
      <c r="G196" s="704">
        <f t="shared" si="221"/>
        <v>0.0</v>
      </c>
      <c r="H196" s="326">
        <v>0.0</v>
      </c>
      <c r="I196" s="704">
        <f t="shared" si="222"/>
        <v>0.0</v>
      </c>
      <c r="J196" s="326">
        <v>0.0</v>
      </c>
      <c r="K196" s="704">
        <f t="shared" si="223"/>
        <v>0.0</v>
      </c>
      <c r="L196" s="5"/>
    </row>
    <row r="197" customHeight="1" ht="17.0" outlineLevel="1">
      <c r="A197" s="5"/>
      <c r="B197" s="98"/>
      <c r="C197" s="68" t="s">
        <v>394</v>
      </c>
      <c r="D197" s="326">
        <v>0.0</v>
      </c>
      <c r="E197" s="704">
        <f t="shared" si="220"/>
        <v>0.0</v>
      </c>
      <c r="F197" s="326">
        <v>0.0</v>
      </c>
      <c r="G197" s="704">
        <f t="shared" si="221"/>
        <v>0.0</v>
      </c>
      <c r="H197" s="326">
        <v>0.0</v>
      </c>
      <c r="I197" s="704">
        <f t="shared" si="222"/>
        <v>0.0</v>
      </c>
      <c r="J197" s="326">
        <v>0.0</v>
      </c>
      <c r="K197" s="704">
        <f t="shared" si="223"/>
        <v>0.0</v>
      </c>
      <c r="L197" s="5"/>
    </row>
    <row r="198" customHeight="1" ht="17.0" outlineLevel="1">
      <c r="A198" s="5"/>
      <c r="B198" s="98"/>
      <c r="C198" s="68" t="s">
        <v>395</v>
      </c>
      <c r="D198" s="326">
        <v>0.0</v>
      </c>
      <c r="E198" s="704">
        <f t="shared" si="220"/>
        <v>0.0</v>
      </c>
      <c r="F198" s="326">
        <v>0.0</v>
      </c>
      <c r="G198" s="704">
        <f t="shared" si="221"/>
        <v>0.0</v>
      </c>
      <c r="H198" s="326">
        <v>0.0</v>
      </c>
      <c r="I198" s="704">
        <f t="shared" si="222"/>
        <v>0.0</v>
      </c>
      <c r="J198" s="326">
        <v>0.0</v>
      </c>
      <c r="K198" s="704">
        <f t="shared" si="223"/>
        <v>0.0</v>
      </c>
      <c r="L198" s="5"/>
    </row>
    <row r="199" customHeight="1" ht="17.0" outlineLevel="1">
      <c r="A199" s="5"/>
      <c r="B199" s="98"/>
      <c r="C199" s="68" t="s">
        <v>396</v>
      </c>
      <c r="D199" s="326">
        <v>0.0</v>
      </c>
      <c r="E199" s="704">
        <f t="shared" si="220"/>
        <v>0.0</v>
      </c>
      <c r="F199" s="326">
        <v>0.0</v>
      </c>
      <c r="G199" s="704">
        <f t="shared" si="221"/>
        <v>0.0</v>
      </c>
      <c r="H199" s="326">
        <v>0.0</v>
      </c>
      <c r="I199" s="704">
        <f t="shared" si="222"/>
        <v>0.0</v>
      </c>
      <c r="J199" s="326">
        <v>0.0</v>
      </c>
      <c r="K199" s="704">
        <f t="shared" si="223"/>
        <v>0.0</v>
      </c>
      <c r="L199" s="5"/>
    </row>
    <row r="200" customHeight="1" ht="17.0" outlineLevel="1">
      <c r="A200" s="5"/>
      <c r="B200" s="98"/>
      <c r="C200" s="68" t="s">
        <v>397</v>
      </c>
      <c r="D200" s="326">
        <v>0.0</v>
      </c>
      <c r="E200" s="704">
        <f t="shared" si="220"/>
        <v>0.0</v>
      </c>
      <c r="F200" s="326">
        <v>0.0</v>
      </c>
      <c r="G200" s="704">
        <f t="shared" si="221"/>
        <v>0.0</v>
      </c>
      <c r="H200" s="326">
        <v>0.0</v>
      </c>
      <c r="I200" s="704">
        <f t="shared" si="222"/>
        <v>0.0</v>
      </c>
      <c r="J200" s="326">
        <v>0.0</v>
      </c>
      <c r="K200" s="704">
        <f t="shared" si="223"/>
        <v>0.0</v>
      </c>
      <c r="L200" s="5"/>
    </row>
    <row r="201" customHeight="1" ht="17.0" outlineLevel="1">
      <c r="A201" s="5"/>
      <c r="B201" s="98"/>
      <c r="C201" s="68" t="s">
        <v>398</v>
      </c>
      <c r="D201" s="326">
        <v>0.0</v>
      </c>
      <c r="E201" s="704">
        <f t="shared" si="220"/>
        <v>0.0</v>
      </c>
      <c r="F201" s="326">
        <v>0.0</v>
      </c>
      <c r="G201" s="704">
        <f t="shared" si="221"/>
        <v>0.0</v>
      </c>
      <c r="H201" s="326">
        <v>0.0</v>
      </c>
      <c r="I201" s="704">
        <f t="shared" si="222"/>
        <v>0.0</v>
      </c>
      <c r="J201" s="326">
        <v>0.0</v>
      </c>
      <c r="K201" s="704">
        <f t="shared" si="223"/>
        <v>0.0</v>
      </c>
      <c r="L201" s="5"/>
    </row>
    <row r="202" customHeight="1" ht="17.0" outlineLevel="1">
      <c r="A202" s="5"/>
      <c r="B202" s="98"/>
      <c r="C202" s="68" t="s">
        <v>208</v>
      </c>
      <c r="D202" s="326">
        <v>0.0</v>
      </c>
      <c r="E202" s="704">
        <f t="shared" si="220"/>
        <v>0.0</v>
      </c>
      <c r="F202" s="326">
        <v>0.0</v>
      </c>
      <c r="G202" s="704">
        <f t="shared" si="221"/>
        <v>0.0</v>
      </c>
      <c r="H202" s="326">
        <v>0.0</v>
      </c>
      <c r="I202" s="704">
        <f t="shared" si="222"/>
        <v>0.0</v>
      </c>
      <c r="J202" s="326">
        <v>0.0</v>
      </c>
      <c r="K202" s="704">
        <f t="shared" si="223"/>
        <v>0.0</v>
      </c>
      <c r="L202" s="5"/>
    </row>
    <row r="203" customHeight="1" ht="17.0" outlineLevel="1">
      <c r="A203" s="5"/>
      <c r="B203" s="98"/>
      <c r="C203" s="68" t="s">
        <v>208</v>
      </c>
      <c r="D203" s="326">
        <v>0.0</v>
      </c>
      <c r="E203" s="704">
        <f t="shared" si="220"/>
        <v>0.0</v>
      </c>
      <c r="F203" s="326">
        <v>0.0</v>
      </c>
      <c r="G203" s="704">
        <f t="shared" si="221"/>
        <v>0.0</v>
      </c>
      <c r="H203" s="326">
        <v>0.0</v>
      </c>
      <c r="I203" s="704">
        <f t="shared" si="222"/>
        <v>0.0</v>
      </c>
      <c r="J203" s="326">
        <v>0.0</v>
      </c>
      <c r="K203" s="704">
        <f t="shared" si="223"/>
        <v>0.0</v>
      </c>
      <c r="L203" s="5"/>
    </row>
    <row r="204" customHeight="1" ht="17.0" outlineLevel="1">
      <c r="A204" s="5"/>
      <c r="B204" s="98"/>
      <c r="C204" s="68" t="s">
        <v>208</v>
      </c>
      <c r="D204" s="326">
        <v>0.0</v>
      </c>
      <c r="E204" s="704">
        <f t="shared" si="220"/>
        <v>0.0</v>
      </c>
      <c r="F204" s="326">
        <v>0.0</v>
      </c>
      <c r="G204" s="704">
        <f t="shared" si="221"/>
        <v>0.0</v>
      </c>
      <c r="H204" s="326">
        <v>0.0</v>
      </c>
      <c r="I204" s="704">
        <f t="shared" si="222"/>
        <v>0.0</v>
      </c>
      <c r="J204" s="326">
        <v>0.0</v>
      </c>
      <c r="K204" s="704">
        <f t="shared" si="223"/>
        <v>0.0</v>
      </c>
      <c r="L204" s="5"/>
    </row>
    <row r="205" customHeight="1" ht="17.0" outlineLevel="1">
      <c r="A205" s="5"/>
      <c r="B205" s="45" t="s">
        <v>388</v>
      </c>
      <c r="C205" s="68" t="s">
        <v>208</v>
      </c>
      <c r="D205" s="326">
        <v>0.0</v>
      </c>
      <c r="E205" s="704">
        <f t="shared" si="220"/>
        <v>0.0</v>
      </c>
      <c r="F205" s="326">
        <v>0.0</v>
      </c>
      <c r="G205" s="704">
        <f t="shared" si="221"/>
        <v>0.0</v>
      </c>
      <c r="H205" s="326">
        <v>0.0</v>
      </c>
      <c r="I205" s="704">
        <f t="shared" si="222"/>
        <v>0.0</v>
      </c>
      <c r="J205" s="326">
        <v>0.0</v>
      </c>
      <c r="K205" s="704">
        <f t="shared" si="223"/>
        <v>0.0</v>
      </c>
      <c r="L205" s="5"/>
    </row>
    <row r="206" customHeight="1" ht="17.0" outlineLevel="1">
      <c r="A206" s="5"/>
      <c r="B206" s="98"/>
      <c r="C206" s="68" t="s">
        <v>208</v>
      </c>
      <c r="D206" s="306">
        <f>0-SUM(D183:D205)</f>
        <v>0.0</v>
      </c>
      <c r="E206" s="704">
        <f t="shared" si="220"/>
        <v>0.0</v>
      </c>
      <c r="F206" s="306">
        <f>0-SUM(F183:F205)</f>
        <v>0.0</v>
      </c>
      <c r="G206" s="704">
        <f t="shared" si="221"/>
        <v>0.0</v>
      </c>
      <c r="H206" s="306">
        <f>0-SUM(H183:H205)</f>
        <v>0.0</v>
      </c>
      <c r="I206" s="704">
        <f t="shared" si="222"/>
        <v>0.0</v>
      </c>
      <c r="J206" s="306">
        <f>0-SUM(J183:J205)</f>
        <v>0.0</v>
      </c>
      <c r="K206" s="704">
        <f t="shared" si="223"/>
        <v>0.0</v>
      </c>
      <c r="L206" s="5"/>
    </row>
    <row r="207" customHeight="1" ht="17.0" outlineLevel="1">
      <c r="A207" s="5"/>
      <c r="B207" s="98"/>
      <c r="C207" s="310" t="s">
        <v>209</v>
      </c>
      <c r="D207" s="330">
        <f>SUM(D183:D206)</f>
        <v>0.0</v>
      </c>
      <c r="E207" s="704">
        <f t="shared" si="220"/>
        <v>0.0</v>
      </c>
      <c r="F207" s="330">
        <f>SUM(F183:F206)</f>
        <v>0.0</v>
      </c>
      <c r="G207" s="704">
        <f t="shared" si="221"/>
        <v>0.0</v>
      </c>
      <c r="H207" s="330">
        <f>SUM(H183:H206)</f>
        <v>0.0</v>
      </c>
      <c r="I207" s="704">
        <f t="shared" si="222"/>
        <v>0.0</v>
      </c>
      <c r="J207" s="330">
        <f>SUM(J183:J206)</f>
        <v>0.0</v>
      </c>
      <c r="K207" s="704">
        <f t="shared" si="223"/>
        <v>0.0</v>
      </c>
      <c r="L207" s="5"/>
    </row>
    <row r="208" customHeight="1" ht="17.0" outlineLevel="1">
      <c r="A208" s="5"/>
      <c r="B208" s="98"/>
      <c r="C208" s="310"/>
      <c r="D208" s="708"/>
      <c r="E208" s="706"/>
      <c r="F208" s="708"/>
      <c r="G208" s="706"/>
      <c r="H208" s="708"/>
      <c r="I208" s="706"/>
      <c r="J208" s="708"/>
      <c r="K208" s="706"/>
      <c r="L208" s="5"/>
    </row>
    <row r="209" customHeight="1" ht="17.0" outlineLevel="1">
      <c r="A209" s="5"/>
      <c r="B209" s="98"/>
      <c r="C209" s="310" t="s">
        <v>210</v>
      </c>
      <c r="D209" s="330">
        <f>D180-D207</f>
        <v>0.0</v>
      </c>
      <c r="E209" s="704">
        <f>IF(D$178=0,0,D209/D$178)</f>
        <v>0.0</v>
      </c>
      <c r="F209" s="330">
        <f>F180-F207</f>
        <v>0.0</v>
      </c>
      <c r="G209" s="704">
        <f>IF(F$178=0,0,F209/F$178)</f>
        <v>0.0</v>
      </c>
      <c r="H209" s="330">
        <f>H180-H207</f>
        <v>0.0</v>
      </c>
      <c r="I209" s="704">
        <f>IF(H$178=0,0,H209/H$178)</f>
        <v>0.0</v>
      </c>
      <c r="J209" s="330">
        <f>J180-J207</f>
        <v>0.0</v>
      </c>
      <c r="K209" s="704">
        <f>IF(J$178=0,0,J209/J$178)</f>
        <v>0.0</v>
      </c>
      <c r="L209" s="5"/>
    </row>
    <row r="210" customHeight="1" ht="17.0" outlineLevel="1">
      <c r="A210" s="5"/>
      <c r="B210" s="98"/>
      <c r="C210" s="310"/>
      <c r="D210" s="709"/>
      <c r="E210" s="706"/>
      <c r="F210" s="709"/>
      <c r="G210" s="706"/>
      <c r="H210" s="709"/>
      <c r="I210" s="706"/>
      <c r="J210" s="709"/>
      <c r="K210" s="706"/>
      <c r="L210" s="5"/>
    </row>
    <row r="211" customHeight="1" ht="17.0" outlineLevel="1">
      <c r="A211" s="5"/>
      <c r="B211" s="98"/>
      <c r="C211" s="68" t="s">
        <v>211</v>
      </c>
      <c r="D211" s="301">
        <v>0.0</v>
      </c>
      <c r="E211" s="704">
        <f t="shared" ref="E211:E215" si="240">IF(D$178=0,0,D211/D$178)</f>
        <v>0.0</v>
      </c>
      <c r="F211" s="301">
        <v>0.0</v>
      </c>
      <c r="G211" s="704">
        <f t="shared" ref="G211:G215" si="241">IF(F$178=0,0,F211/F$178)</f>
        <v>0.0</v>
      </c>
      <c r="H211" s="301">
        <v>0.0</v>
      </c>
      <c r="I211" s="704">
        <f t="shared" ref="I211:I215" si="242">IF(H$178=0,0,H211/H$178)</f>
        <v>0.0</v>
      </c>
      <c r="J211" s="301">
        <v>0.0</v>
      </c>
      <c r="K211" s="704">
        <f t="shared" ref="K211:K215" si="243">IF(J$178=0,0,J211/J$178)</f>
        <v>0.0</v>
      </c>
      <c r="L211" s="5"/>
    </row>
    <row r="212" customHeight="1" ht="17.0" outlineLevel="1">
      <c r="A212" s="5"/>
      <c r="B212" s="98"/>
      <c r="C212" s="68" t="s">
        <v>211</v>
      </c>
      <c r="D212" s="326">
        <v>0.0</v>
      </c>
      <c r="E212" s="704">
        <f t="shared" si="240"/>
        <v>0.0</v>
      </c>
      <c r="F212" s="326">
        <v>0.0</v>
      </c>
      <c r="G212" s="704">
        <f t="shared" si="241"/>
        <v>0.0</v>
      </c>
      <c r="H212" s="326">
        <v>0.0</v>
      </c>
      <c r="I212" s="704">
        <f t="shared" si="242"/>
        <v>0.0</v>
      </c>
      <c r="J212" s="326">
        <v>0.0</v>
      </c>
      <c r="K212" s="704">
        <f t="shared" si="243"/>
        <v>0.0</v>
      </c>
      <c r="L212" s="5"/>
    </row>
    <row r="213" customHeight="1" ht="17.0" outlineLevel="1">
      <c r="A213" s="5"/>
      <c r="B213" s="98"/>
      <c r="C213" s="68" t="s">
        <v>213</v>
      </c>
      <c r="D213" s="326">
        <v>0.0</v>
      </c>
      <c r="E213" s="704">
        <f t="shared" si="240"/>
        <v>0.0</v>
      </c>
      <c r="F213" s="326">
        <v>0.0</v>
      </c>
      <c r="G213" s="704">
        <f t="shared" si="241"/>
        <v>0.0</v>
      </c>
      <c r="H213" s="326">
        <v>0.0</v>
      </c>
      <c r="I213" s="704">
        <f t="shared" si="242"/>
        <v>0.0</v>
      </c>
      <c r="J213" s="326">
        <v>0.0</v>
      </c>
      <c r="K213" s="704">
        <f t="shared" si="243"/>
        <v>0.0</v>
      </c>
      <c r="L213" s="5"/>
    </row>
    <row r="214" customHeight="1" ht="17.0" outlineLevel="1">
      <c r="A214" s="5"/>
      <c r="B214" s="98"/>
      <c r="C214" s="68" t="s">
        <v>213</v>
      </c>
      <c r="D214" s="306">
        <v>0.0</v>
      </c>
      <c r="E214" s="704">
        <f t="shared" si="240"/>
        <v>0.0</v>
      </c>
      <c r="F214" s="306">
        <v>0.0</v>
      </c>
      <c r="G214" s="704">
        <f t="shared" si="241"/>
        <v>0.0</v>
      </c>
      <c r="H214" s="306">
        <v>0.0</v>
      </c>
      <c r="I214" s="704">
        <f t="shared" si="242"/>
        <v>0.0</v>
      </c>
      <c r="J214" s="306">
        <v>0.0</v>
      </c>
      <c r="K214" s="704">
        <f t="shared" si="243"/>
        <v>0.0</v>
      </c>
      <c r="L214" s="5"/>
    </row>
    <row r="215" customHeight="1" ht="17.0" outlineLevel="1">
      <c r="A215" s="5"/>
      <c r="B215" s="98"/>
      <c r="C215" s="310" t="s">
        <v>214</v>
      </c>
      <c r="D215" s="330">
        <f>SUM(D211:D214)</f>
        <v>0.0</v>
      </c>
      <c r="E215" s="704">
        <f t="shared" si="240"/>
        <v>0.0</v>
      </c>
      <c r="F215" s="330">
        <f>SUM(F211:F214)</f>
        <v>0.0</v>
      </c>
      <c r="G215" s="704">
        <f t="shared" si="241"/>
        <v>0.0</v>
      </c>
      <c r="H215" s="330">
        <f>SUM(H211:H214)</f>
        <v>0.0</v>
      </c>
      <c r="I215" s="704">
        <f t="shared" si="242"/>
        <v>0.0</v>
      </c>
      <c r="J215" s="330">
        <f>SUM(J211:J214)</f>
        <v>0.0</v>
      </c>
      <c r="K215" s="704">
        <f t="shared" si="243"/>
        <v>0.0</v>
      </c>
      <c r="L215" s="5"/>
    </row>
    <row r="216" customHeight="1" ht="17.0" outlineLevel="1">
      <c r="A216" s="5"/>
      <c r="B216" s="98"/>
      <c r="C216" s="310"/>
      <c r="D216" s="708"/>
      <c r="E216" s="706"/>
      <c r="F216" s="708"/>
      <c r="G216" s="706"/>
      <c r="H216" s="708"/>
      <c r="I216" s="706"/>
      <c r="J216" s="708"/>
      <c r="K216" s="710"/>
      <c r="L216" s="5"/>
    </row>
    <row r="217" customHeight="1" ht="17.0" outlineLevel="1">
      <c r="A217" s="5"/>
      <c r="B217" s="98"/>
      <c r="C217" s="310" t="s">
        <v>215</v>
      </c>
      <c r="D217" s="330">
        <f>D180-D207+D215</f>
        <v>0.0</v>
      </c>
      <c r="E217" s="704">
        <f t="shared" ref="E217:E218" si="249">IF(D$178=0,0,D217/D$178)</f>
        <v>0.0</v>
      </c>
      <c r="F217" s="330">
        <f>F180-F207+F215</f>
        <v>0.0</v>
      </c>
      <c r="G217" s="704">
        <f t="shared" ref="G217:G218" si="251">IF(F$178=0,0,F217/F$178)</f>
        <v>0.0</v>
      </c>
      <c r="H217" s="330">
        <f>H180-H207+H215</f>
        <v>0.0</v>
      </c>
      <c r="I217" s="704">
        <f t="shared" ref="I217:I218" si="253">IF(H$178=0,0,H217/H$178)</f>
        <v>0.0</v>
      </c>
      <c r="J217" s="330">
        <f>J180-J207+J215</f>
        <v>0.0</v>
      </c>
      <c r="K217" s="704">
        <f t="shared" ref="K217:K218" si="255">IF(J$178=0,0,J217/J$178)</f>
        <v>0.0</v>
      </c>
      <c r="L217" s="5"/>
    </row>
    <row r="218" customHeight="1" ht="17.0" outlineLevel="1">
      <c r="A218" s="5"/>
      <c r="B218" s="98"/>
      <c r="C218" s="310" t="s">
        <v>216</v>
      </c>
      <c r="D218" s="330">
        <v>0.0</v>
      </c>
      <c r="E218" s="704">
        <f t="shared" si="249"/>
        <v>0.0</v>
      </c>
      <c r="F218" s="330">
        <v>0.0</v>
      </c>
      <c r="G218" s="704">
        <f t="shared" si="251"/>
        <v>0.0</v>
      </c>
      <c r="H218" s="330">
        <v>0.0</v>
      </c>
      <c r="I218" s="704">
        <f t="shared" si="253"/>
        <v>0.0</v>
      </c>
      <c r="J218" s="330">
        <v>0.0</v>
      </c>
      <c r="K218" s="704">
        <f t="shared" si="255"/>
        <v>0.0</v>
      </c>
      <c r="L218" s="5"/>
    </row>
    <row r="219" customHeight="1" ht="17.0" outlineLevel="1">
      <c r="A219" s="5"/>
      <c r="B219" s="98"/>
      <c r="C219" s="340"/>
      <c r="D219" s="711"/>
      <c r="E219" s="704"/>
      <c r="F219" s="711"/>
      <c r="G219" s="704"/>
      <c r="H219" s="711"/>
      <c r="I219" s="704"/>
      <c r="J219" s="711"/>
      <c r="K219" s="712"/>
      <c r="L219" s="5"/>
    </row>
    <row r="220" customHeight="1" ht="17.0" outlineLevel="1">
      <c r="A220" s="5"/>
      <c r="B220" s="98"/>
      <c r="C220" s="310" t="s">
        <v>217</v>
      </c>
      <c r="D220" s="330">
        <f>D217-D218</f>
        <v>0.0</v>
      </c>
      <c r="E220" s="704">
        <f>IF(D$178=0,0,D220/D$178)</f>
        <v>0.0</v>
      </c>
      <c r="F220" s="330">
        <f>F217-F218</f>
        <v>0.0</v>
      </c>
      <c r="G220" s="704">
        <f>IF(F$178=0,0,F220/F$178)</f>
        <v>0.0</v>
      </c>
      <c r="H220" s="330">
        <f>H217-H218</f>
        <v>0.0</v>
      </c>
      <c r="I220" s="704">
        <f>IF(H$178=0,0,H220/H$178)</f>
        <v>0.0</v>
      </c>
      <c r="J220" s="330">
        <f>J217-J218</f>
        <v>0.0</v>
      </c>
      <c r="K220" s="704">
        <f>IF(J$178=0,0,J220/J$178)</f>
        <v>0.0</v>
      </c>
      <c r="L220" s="5"/>
    </row>
    <row r="221" customHeight="1" ht="17.0" outlineLevel="1">
      <c r="A221" s="5"/>
      <c r="B221" s="72"/>
      <c r="C221" s="367"/>
      <c r="D221" s="713"/>
      <c r="E221" s="714"/>
      <c r="F221" s="713"/>
      <c r="G221" s="714"/>
      <c r="H221" s="713"/>
      <c r="I221" s="714"/>
      <c r="J221" s="713"/>
      <c r="K221" s="715"/>
      <c r="L221" s="5"/>
    </row>
    <row r="222" customHeight="1" ht="17.0" outlineLevel="1">
      <c r="B222" s="730"/>
      <c r="C222" s="348" t="s">
        <v>218</v>
      </c>
      <c r="D222" s="30"/>
      <c r="E222" s="30"/>
      <c r="F222" s="30"/>
      <c r="G222" s="30"/>
      <c r="H222" s="30"/>
      <c r="I222" s="30"/>
      <c r="J222" s="30"/>
      <c r="K222" s="731"/>
    </row>
    <row r="223" customHeight="1" ht="17.0" outlineLevel="1">
      <c r="B223" s="730"/>
      <c r="C223" s="350" t="s">
        <v>219</v>
      </c>
      <c r="D223" s="353">
        <f>D183</f>
        <v>0.0</v>
      </c>
      <c r="E223" s="30"/>
      <c r="F223" s="353">
        <f>F183</f>
        <v>0.0</v>
      </c>
      <c r="G223" s="30"/>
      <c r="H223" s="353">
        <f>H183</f>
        <v>0.0</v>
      </c>
      <c r="I223" s="30"/>
      <c r="J223" s="353">
        <f>J183</f>
        <v>0.0</v>
      </c>
      <c r="K223" s="731"/>
    </row>
    <row r="224" customHeight="1" ht="17.0" outlineLevel="1">
      <c r="B224" s="730"/>
      <c r="C224" s="354" t="s">
        <v>220</v>
      </c>
      <c r="D224" s="353">
        <f>D190</f>
        <v>0.0</v>
      </c>
      <c r="E224" s="30"/>
      <c r="F224" s="353">
        <f>F190</f>
        <v>0.0</v>
      </c>
      <c r="G224" s="30"/>
      <c r="H224" s="353">
        <f>H190</f>
        <v>0.0</v>
      </c>
      <c r="I224" s="30"/>
      <c r="J224" s="353">
        <f>J190</f>
        <v>0.0</v>
      </c>
      <c r="K224" s="731"/>
    </row>
    <row r="225" customHeight="1" ht="17.0" outlineLevel="1">
      <c r="B225" s="730"/>
      <c r="C225" s="354" t="s">
        <v>221</v>
      </c>
      <c r="D225" s="353">
        <f>D189</f>
        <v>0.0</v>
      </c>
      <c r="E225" s="30"/>
      <c r="F225" s="353">
        <f>F189</f>
        <v>0.0</v>
      </c>
      <c r="G225" s="30"/>
      <c r="H225" s="353">
        <f>H189</f>
        <v>0.0</v>
      </c>
      <c r="I225" s="30"/>
      <c r="J225" s="353">
        <f>J189</f>
        <v>0.0</v>
      </c>
      <c r="K225" s="731"/>
    </row>
    <row r="226" customHeight="1" ht="17.0" outlineLevel="1">
      <c r="B226" s="730"/>
      <c r="C226" s="354" t="s">
        <v>222</v>
      </c>
      <c r="D226" s="353">
        <v>0.0</v>
      </c>
      <c r="E226" s="30"/>
      <c r="F226" s="353">
        <v>0.0</v>
      </c>
      <c r="G226" s="30"/>
      <c r="H226" s="353">
        <v>0.0</v>
      </c>
      <c r="I226" s="30"/>
      <c r="J226" s="353">
        <v>0.0</v>
      </c>
      <c r="K226" s="731"/>
    </row>
    <row r="227" customHeight="1" ht="17.0" outlineLevel="1">
      <c r="B227" s="730"/>
      <c r="C227" s="356" t="s">
        <v>223</v>
      </c>
      <c r="D227" s="353">
        <v>0.0</v>
      </c>
      <c r="E227" s="30"/>
      <c r="F227" s="353">
        <v>0.0</v>
      </c>
      <c r="G227" s="30"/>
      <c r="H227" s="353">
        <v>0.0</v>
      </c>
      <c r="I227" s="30"/>
      <c r="J227" s="353">
        <v>0.0</v>
      </c>
      <c r="K227" s="731"/>
    </row>
    <row r="228" customHeight="1" ht="17.0" outlineLevel="1">
      <c r="B228" s="730"/>
      <c r="C228" s="356" t="s">
        <v>223</v>
      </c>
      <c r="D228" s="353">
        <v>0.0</v>
      </c>
      <c r="E228" s="30"/>
      <c r="F228" s="353">
        <v>0.0</v>
      </c>
      <c r="G228" s="30"/>
      <c r="H228" s="353">
        <v>0.0</v>
      </c>
      <c r="I228" s="30"/>
      <c r="J228" s="353">
        <v>0.0</v>
      </c>
      <c r="K228" s="731"/>
    </row>
    <row r="229" customHeight="1" ht="17.0" outlineLevel="1">
      <c r="B229" s="730"/>
      <c r="C229" s="354" t="s">
        <v>224</v>
      </c>
      <c r="D229" s="353">
        <v>0.0</v>
      </c>
      <c r="E229" s="30"/>
      <c r="F229" s="353">
        <v>0.0</v>
      </c>
      <c r="G229" s="30"/>
      <c r="H229" s="353">
        <v>0.0</v>
      </c>
      <c r="I229" s="30"/>
      <c r="J229" s="353">
        <v>0.0</v>
      </c>
      <c r="K229" s="731"/>
    </row>
    <row r="230" customHeight="1" ht="17.0" outlineLevel="1">
      <c r="B230" s="730"/>
      <c r="C230" s="354" t="s">
        <v>225</v>
      </c>
      <c r="D230" s="359">
        <v>0.0</v>
      </c>
      <c r="E230" s="30"/>
      <c r="F230" s="359">
        <v>0.0</v>
      </c>
      <c r="G230" s="30"/>
      <c r="H230" s="359">
        <v>0.0</v>
      </c>
      <c r="I230" s="30"/>
      <c r="J230" s="359">
        <v>0.0</v>
      </c>
      <c r="K230" s="731"/>
    </row>
    <row r="231" customHeight="1" ht="17.0" outlineLevel="1">
      <c r="B231" s="730"/>
      <c r="C231" s="354"/>
      <c r="D231" s="30"/>
      <c r="E231" s="30"/>
      <c r="F231" s="30"/>
      <c r="G231" s="30"/>
      <c r="H231" s="30"/>
      <c r="I231" s="30"/>
      <c r="J231" s="30"/>
      <c r="K231" s="731"/>
    </row>
    <row r="232" customHeight="1" ht="17.0" outlineLevel="1">
      <c r="B232" s="730"/>
      <c r="C232" s="354" t="s">
        <v>226</v>
      </c>
      <c r="D232" s="363">
        <f>D220+SUM(D223:D230)</f>
        <v>0.0</v>
      </c>
      <c r="E232" s="354"/>
      <c r="F232" s="363">
        <f>F220+SUM(F223:F230)</f>
        <v>0.0</v>
      </c>
      <c r="G232" s="354"/>
      <c r="H232" s="363">
        <f>H220+SUM(H223:H230)</f>
        <v>0.0</v>
      </c>
      <c r="I232" s="354"/>
      <c r="J232" s="363">
        <f>J220+SUM(J223:J230)</f>
        <v>0.0</v>
      </c>
      <c r="K232" s="731"/>
    </row>
    <row r="233" customHeight="1" ht="17.0" outlineLevel="1">
      <c r="B233" s="730"/>
      <c r="C233" s="354"/>
      <c r="D233" s="30"/>
      <c r="E233" s="30"/>
      <c r="F233" s="30"/>
      <c r="G233" s="30"/>
      <c r="H233" s="30"/>
      <c r="I233" s="30"/>
      <c r="J233" s="30"/>
      <c r="K233" s="731"/>
    </row>
    <row r="234" customHeight="1" ht="17.0" outlineLevel="1">
      <c r="B234" s="730"/>
      <c r="C234" s="68" t="s">
        <v>375</v>
      </c>
      <c r="D234" s="353">
        <v>0.0</v>
      </c>
      <c r="E234" s="30"/>
      <c r="F234" s="353">
        <v>0.0</v>
      </c>
      <c r="G234" s="30"/>
      <c r="H234" s="353">
        <v>0.0</v>
      </c>
      <c r="I234" s="30"/>
      <c r="J234" s="353">
        <v>0.0</v>
      </c>
      <c r="K234" s="731"/>
    </row>
    <row r="235" customHeight="1" ht="17.0" outlineLevel="1">
      <c r="B235" s="730"/>
      <c r="C235" s="68" t="s">
        <v>227</v>
      </c>
      <c r="D235" s="308">
        <f>D234*D165</f>
        <v>0.0</v>
      </c>
      <c r="E235" s="30"/>
      <c r="F235" s="308">
        <f>F234*F165</f>
        <v>0.0</v>
      </c>
      <c r="G235" s="30"/>
      <c r="H235" s="308">
        <f>H234*H165</f>
        <v>0.0</v>
      </c>
      <c r="I235" s="30"/>
      <c r="J235" s="308">
        <f>J234*J165</f>
        <v>0.0</v>
      </c>
      <c r="K235" s="731"/>
    </row>
    <row r="236" customHeight="1" ht="17.0" outlineLevel="1">
      <c r="B236" s="730"/>
      <c r="C236" s="30"/>
      <c r="D236" s="30"/>
      <c r="E236" s="30"/>
      <c r="F236" s="30"/>
      <c r="G236" s="30"/>
      <c r="H236" s="30"/>
      <c r="I236" s="30"/>
      <c r="J236" s="30"/>
      <c r="K236" s="731"/>
    </row>
    <row r="237" customHeight="1" ht="17.0" outlineLevel="1">
      <c r="B237" s="730"/>
      <c r="C237" s="310" t="s">
        <v>232</v>
      </c>
      <c r="D237" s="366">
        <f>IFERROR(D232/D235,0)</f>
        <v>0.0</v>
      </c>
      <c r="E237" s="30"/>
      <c r="F237" s="366">
        <f>IFERROR(F232/F235,0)</f>
        <v>0.0</v>
      </c>
      <c r="G237" s="30"/>
      <c r="H237" s="366">
        <f>IFERROR(H232/H235,0)</f>
        <v>0.0</v>
      </c>
      <c r="I237" s="30"/>
      <c r="J237" s="366">
        <f>IFERROR(J232/J235,0)</f>
        <v>0.0</v>
      </c>
      <c r="K237" s="731"/>
    </row>
    <row r="238" customHeight="1" ht="17.0" outlineLevel="1">
      <c r="B238" s="732" t="s">
        <v>401</v>
      </c>
      <c r="C238" s="733"/>
      <c r="D238" s="733"/>
      <c r="E238" s="734"/>
      <c r="F238" s="734"/>
      <c r="G238" s="734"/>
      <c r="H238" s="734"/>
      <c r="I238" s="734"/>
      <c r="J238" s="734"/>
      <c r="K238" s="735"/>
    </row>
    <row r="239" customHeight="1" ht="17.0">
      <c r="B239" s="736"/>
      <c r="C239" s="736"/>
      <c r="D239" s="736"/>
      <c r="E239" s="737"/>
      <c r="F239" s="737"/>
      <c r="G239" s="737"/>
      <c r="H239" s="737"/>
      <c r="I239" s="737"/>
      <c r="J239" s="737"/>
      <c r="K239" s="737"/>
    </row>
    <row r="240" ht="17.0">
      <c r="A240" s="5"/>
      <c r="B240" s="9" t="s">
        <v>20</v>
      </c>
      <c r="C240" s="373"/>
      <c r="D240" s="373"/>
      <c r="E240" s="373"/>
      <c r="F240" s="373"/>
      <c r="G240" s="373"/>
      <c r="H240" s="373"/>
      <c r="I240" s="373"/>
      <c r="J240" s="373"/>
      <c r="K240" s="374"/>
      <c r="L240" s="5"/>
    </row>
    <row r="241" ht="17.0">
      <c r="A241" s="5"/>
      <c r="B241" s="718" t="s">
        <v>381</v>
      </c>
      <c r="C241" s="719"/>
      <c r="D241" s="719"/>
      <c r="E241" s="719"/>
      <c r="F241" s="719"/>
      <c r="G241" s="719"/>
      <c r="H241" s="719"/>
      <c r="I241" s="719"/>
      <c r="J241" s="719"/>
      <c r="K241" s="720"/>
      <c r="L241" s="5"/>
    </row>
    <row hidden="1" r="242" customHeight="1" ht="17.0" outlineLevel="1">
      <c r="A242" s="5"/>
      <c r="B242" s="278" t="s">
        <v>176</v>
      </c>
      <c r="C242" s="721" t="s">
        <v>385</v>
      </c>
      <c r="D242" s="280"/>
      <c r="E242" s="280"/>
      <c r="F242" s="280"/>
      <c r="G242" s="280"/>
      <c r="H242" s="280"/>
      <c r="I242" s="280"/>
      <c r="J242" s="280"/>
      <c r="K242" s="281"/>
      <c r="L242" s="5"/>
    </row>
    <row hidden="1" r="243" customHeight="1" ht="17.0" outlineLevel="1">
      <c r="A243" s="5"/>
      <c r="B243" s="282" t="s">
        <v>178</v>
      </c>
      <c r="C243" s="68"/>
      <c r="D243" s="283">
        <v>44926.0</v>
      </c>
      <c r="E243" s="284"/>
      <c r="F243" s="283">
        <f>EOMONTH(D243,F244)</f>
        <v>45291.0</v>
      </c>
      <c r="G243" s="284"/>
      <c r="H243" s="283">
        <f>EOMONTH(F243,H244)</f>
        <v>45657.0</v>
      </c>
      <c r="I243" s="284"/>
      <c r="J243" s="283">
        <f>EOMONTH(H243,J244)</f>
        <v>45747.0</v>
      </c>
      <c r="K243" s="38"/>
      <c r="L243" s="5"/>
    </row>
    <row hidden="1" r="244" customHeight="1" ht="17.0" outlineLevel="1">
      <c r="A244" s="5"/>
      <c r="B244" s="282" t="s">
        <v>180</v>
      </c>
      <c r="C244" s="68"/>
      <c r="D244" s="286">
        <v>12.0</v>
      </c>
      <c r="E244" s="287"/>
      <c r="F244" s="286">
        <v>12.0</v>
      </c>
      <c r="G244" s="287"/>
      <c r="H244" s="286">
        <v>12.0</v>
      </c>
      <c r="I244" s="287"/>
      <c r="J244" s="286">
        <v>3.0</v>
      </c>
      <c r="K244" s="288"/>
      <c r="L244" s="5"/>
    </row>
    <row hidden="1" r="245" customHeight="1" ht="17.0" outlineLevel="1">
      <c r="A245" s="5"/>
      <c r="B245" s="282" t="s">
        <v>182</v>
      </c>
      <c r="C245" s="68"/>
      <c r="D245" s="289" t="s">
        <v>183</v>
      </c>
      <c r="E245" s="290"/>
      <c r="F245" s="289" t="s">
        <v>183</v>
      </c>
      <c r="G245" s="290"/>
      <c r="H245" s="289"/>
      <c r="I245" s="290"/>
      <c r="J245" s="289" t="s">
        <v>184</v>
      </c>
      <c r="K245" s="288"/>
      <c r="L245" s="5"/>
    </row>
    <row hidden="1" r="246" customHeight="1" ht="17.0" outlineLevel="1">
      <c r="A246" s="5"/>
      <c r="B246" s="282" t="s">
        <v>186</v>
      </c>
      <c r="C246" s="68"/>
      <c r="D246" s="289"/>
      <c r="E246" s="290"/>
      <c r="F246" s="289"/>
      <c r="G246" s="290"/>
      <c r="H246" s="289"/>
      <c r="I246" s="290"/>
      <c r="J246" s="289"/>
      <c r="K246" s="288"/>
      <c r="L246" s="5"/>
    </row>
    <row hidden="1" r="247" customHeight="1" ht="17.0" outlineLevel="1">
      <c r="A247" s="5"/>
      <c r="B247" s="293" t="s">
        <v>187</v>
      </c>
      <c r="C247" s="294"/>
      <c r="D247" s="702"/>
      <c r="E247" s="703"/>
      <c r="F247" s="702"/>
      <c r="G247" s="703"/>
      <c r="H247" s="702"/>
      <c r="I247" s="703"/>
      <c r="J247" s="296">
        <f>(J248/J244)*12</f>
        <v>0.0</v>
      </c>
      <c r="K247" s="297"/>
      <c r="L247" s="5"/>
    </row>
    <row hidden="1" r="248" customHeight="1" ht="17.0" outlineLevel="1">
      <c r="A248" s="5"/>
      <c r="B248" s="45" t="s">
        <v>188</v>
      </c>
      <c r="C248" s="68" t="s">
        <v>189</v>
      </c>
      <c r="D248" s="301">
        <v>0.0</v>
      </c>
      <c r="E248" s="704">
        <f t="shared" ref="E248:E259" si="292">IF(D$257=0,0,D248/D$257)</f>
        <v>0.0</v>
      </c>
      <c r="F248" s="301">
        <v>0.0</v>
      </c>
      <c r="G248" s="704">
        <f t="shared" ref="G248:G259" si="293">IF(F$257=0,0,F248/F$257)</f>
        <v>0.0</v>
      </c>
      <c r="H248" s="301">
        <v>0.0</v>
      </c>
      <c r="I248" s="704">
        <f t="shared" ref="I248:I259" si="294">IF(H$257=0,0,H248/H$257)</f>
        <v>0.0</v>
      </c>
      <c r="J248" s="301">
        <v>0.0</v>
      </c>
      <c r="K248" s="704">
        <f t="shared" ref="K248:K259" si="295">IF(J$257=0,0,J248/J$257)</f>
        <v>0.0</v>
      </c>
      <c r="L248" s="5"/>
    </row>
    <row hidden="1" r="249" customHeight="1" ht="17.0" outlineLevel="1">
      <c r="A249" s="5"/>
      <c r="B249" s="45" t="s">
        <v>191</v>
      </c>
      <c r="C249" s="68" t="s">
        <v>189</v>
      </c>
      <c r="D249" s="306">
        <v>0.0</v>
      </c>
      <c r="E249" s="704">
        <f t="shared" si="292"/>
        <v>0.0</v>
      </c>
      <c r="F249" s="306">
        <v>0.0</v>
      </c>
      <c r="G249" s="704">
        <f t="shared" si="293"/>
        <v>0.0</v>
      </c>
      <c r="H249" s="306">
        <v>0.0</v>
      </c>
      <c r="I249" s="704">
        <f t="shared" si="294"/>
        <v>0.0</v>
      </c>
      <c r="J249" s="306">
        <v>0.0</v>
      </c>
      <c r="K249" s="704">
        <f t="shared" si="295"/>
        <v>0.0</v>
      </c>
      <c r="L249" s="5"/>
    </row>
    <row hidden="1" r="250" customHeight="1" ht="17.0" outlineLevel="1">
      <c r="A250" s="5"/>
      <c r="B250" s="45" t="s">
        <v>193</v>
      </c>
      <c r="C250" s="68" t="s">
        <v>189</v>
      </c>
      <c r="D250" s="308">
        <f>D248-D249</f>
        <v>0.0</v>
      </c>
      <c r="E250" s="704">
        <f t="shared" si="292"/>
        <v>0.0</v>
      </c>
      <c r="F250" s="308">
        <f>F248-F249</f>
        <v>0.0</v>
      </c>
      <c r="G250" s="704">
        <f t="shared" si="293"/>
        <v>0.0</v>
      </c>
      <c r="H250" s="308">
        <f>H248-H249</f>
        <v>0.0</v>
      </c>
      <c r="I250" s="704">
        <f t="shared" si="294"/>
        <v>0.0</v>
      </c>
      <c r="J250" s="308">
        <f>J248-J249</f>
        <v>0.0</v>
      </c>
      <c r="K250" s="704">
        <f t="shared" si="295"/>
        <v>0.0</v>
      </c>
      <c r="L250" s="5"/>
    </row>
    <row hidden="1" r="251" customHeight="1" ht="17.0" outlineLevel="1">
      <c r="A251" s="5"/>
      <c r="B251" s="45" t="s">
        <v>188</v>
      </c>
      <c r="C251" s="68" t="s">
        <v>386</v>
      </c>
      <c r="D251" s="301">
        <v>0.0</v>
      </c>
      <c r="E251" s="704">
        <f t="shared" si="292"/>
        <v>0.0</v>
      </c>
      <c r="F251" s="301">
        <v>0.0</v>
      </c>
      <c r="G251" s="704">
        <f t="shared" si="293"/>
        <v>0.0</v>
      </c>
      <c r="H251" s="301">
        <v>0.0</v>
      </c>
      <c r="I251" s="704">
        <f t="shared" si="294"/>
        <v>0.0</v>
      </c>
      <c r="J251" s="301">
        <v>0.0</v>
      </c>
      <c r="K251" s="704">
        <f t="shared" si="295"/>
        <v>0.0</v>
      </c>
      <c r="L251" s="5"/>
    </row>
    <row hidden="1" r="252" customHeight="1" ht="17.0" outlineLevel="1">
      <c r="A252" s="5"/>
      <c r="B252" s="45" t="s">
        <v>191</v>
      </c>
      <c r="C252" s="68" t="s">
        <v>386</v>
      </c>
      <c r="D252" s="306">
        <v>0.0</v>
      </c>
      <c r="E252" s="704">
        <f t="shared" si="292"/>
        <v>0.0</v>
      </c>
      <c r="F252" s="306">
        <v>0.0</v>
      </c>
      <c r="G252" s="704">
        <f t="shared" si="293"/>
        <v>0.0</v>
      </c>
      <c r="H252" s="306">
        <v>0.0</v>
      </c>
      <c r="I252" s="704">
        <f t="shared" si="294"/>
        <v>0.0</v>
      </c>
      <c r="J252" s="306">
        <v>0.0</v>
      </c>
      <c r="K252" s="704">
        <f t="shared" si="295"/>
        <v>0.0</v>
      </c>
      <c r="L252" s="5"/>
    </row>
    <row hidden="1" r="253" customHeight="1" ht="17.0" outlineLevel="1">
      <c r="A253" s="5"/>
      <c r="B253" s="45" t="s">
        <v>193</v>
      </c>
      <c r="C253" s="68" t="s">
        <v>386</v>
      </c>
      <c r="D253" s="308">
        <f>D251-D252</f>
        <v>0.0</v>
      </c>
      <c r="E253" s="704">
        <f t="shared" si="292"/>
        <v>0.0</v>
      </c>
      <c r="F253" s="308">
        <f>F251-F252</f>
        <v>0.0</v>
      </c>
      <c r="G253" s="704">
        <f t="shared" si="293"/>
        <v>0.0</v>
      </c>
      <c r="H253" s="308">
        <f>H251-H252</f>
        <v>0.0</v>
      </c>
      <c r="I253" s="704">
        <f t="shared" si="294"/>
        <v>0.0</v>
      </c>
      <c r="J253" s="308">
        <f>J251-J252</f>
        <v>0.0</v>
      </c>
      <c r="K253" s="704">
        <f t="shared" si="295"/>
        <v>0.0</v>
      </c>
      <c r="L253" s="5"/>
    </row>
    <row hidden="1" r="254" customHeight="1" ht="17.0" outlineLevel="1">
      <c r="A254" s="5"/>
      <c r="B254" s="45" t="s">
        <v>188</v>
      </c>
      <c r="C254" s="68" t="s">
        <v>387</v>
      </c>
      <c r="D254" s="301">
        <v>0.0</v>
      </c>
      <c r="E254" s="704">
        <f t="shared" si="292"/>
        <v>0.0</v>
      </c>
      <c r="F254" s="301">
        <v>0.0</v>
      </c>
      <c r="G254" s="704">
        <f t="shared" si="293"/>
        <v>0.0</v>
      </c>
      <c r="H254" s="301">
        <v>0.0</v>
      </c>
      <c r="I254" s="704">
        <f t="shared" si="294"/>
        <v>0.0</v>
      </c>
      <c r="J254" s="301">
        <v>0.0</v>
      </c>
      <c r="K254" s="704">
        <f t="shared" si="295"/>
        <v>0.0</v>
      </c>
      <c r="L254" s="5"/>
    </row>
    <row hidden="1" r="255" customHeight="1" ht="17.0" outlineLevel="1">
      <c r="A255" s="5"/>
      <c r="B255" s="45" t="s">
        <v>191</v>
      </c>
      <c r="C255" s="68" t="s">
        <v>387</v>
      </c>
      <c r="D255" s="306">
        <v>0.0</v>
      </c>
      <c r="E255" s="704">
        <f t="shared" si="292"/>
        <v>0.0</v>
      </c>
      <c r="F255" s="306">
        <v>0.0</v>
      </c>
      <c r="G255" s="704">
        <f t="shared" si="293"/>
        <v>0.0</v>
      </c>
      <c r="H255" s="306">
        <v>0.0</v>
      </c>
      <c r="I255" s="704">
        <f t="shared" si="294"/>
        <v>0.0</v>
      </c>
      <c r="J255" s="306">
        <v>0.0</v>
      </c>
      <c r="K255" s="704">
        <f t="shared" si="295"/>
        <v>0.0</v>
      </c>
      <c r="L255" s="5"/>
    </row>
    <row hidden="1" r="256" customHeight="1" ht="17.0" outlineLevel="1">
      <c r="A256" s="5"/>
      <c r="B256" s="45" t="s">
        <v>193</v>
      </c>
      <c r="C256" s="68" t="s">
        <v>387</v>
      </c>
      <c r="D256" s="308">
        <f>D254-D255</f>
        <v>0.0</v>
      </c>
      <c r="E256" s="704">
        <f t="shared" si="292"/>
        <v>0.0</v>
      </c>
      <c r="F256" s="308">
        <f>F254-F255</f>
        <v>0.0</v>
      </c>
      <c r="G256" s="704">
        <f t="shared" si="293"/>
        <v>0.0</v>
      </c>
      <c r="H256" s="308">
        <f>H254-H255</f>
        <v>0.0</v>
      </c>
      <c r="I256" s="704">
        <f t="shared" si="294"/>
        <v>0.0</v>
      </c>
      <c r="J256" s="308">
        <f>J254-J255</f>
        <v>0.0</v>
      </c>
      <c r="K256" s="704">
        <f t="shared" si="295"/>
        <v>0.0</v>
      </c>
      <c r="L256" s="5"/>
    </row>
    <row hidden="1" r="257" customHeight="1" ht="17.0" outlineLevel="1">
      <c r="A257" s="5"/>
      <c r="B257" s="45" t="s">
        <v>388</v>
      </c>
      <c r="C257" s="310" t="s">
        <v>195</v>
      </c>
      <c r="D257" s="313">
        <f t="shared" ref="D257:D258" si="308">D248+D251+D254</f>
        <v>0.0</v>
      </c>
      <c r="E257" s="704">
        <f t="shared" si="292"/>
        <v>0.0</v>
      </c>
      <c r="F257" s="313">
        <f t="shared" ref="F257:F258" si="309">F248+F251+F254</f>
        <v>0.0</v>
      </c>
      <c r="G257" s="704">
        <f t="shared" si="293"/>
        <v>0.0</v>
      </c>
      <c r="H257" s="313">
        <f t="shared" ref="H257:H258" si="310">H248+H251+H254</f>
        <v>0.0</v>
      </c>
      <c r="I257" s="704">
        <f t="shared" si="294"/>
        <v>0.0</v>
      </c>
      <c r="J257" s="313">
        <f t="shared" ref="J257:J258" si="311">J248+J251+J254</f>
        <v>0.0</v>
      </c>
      <c r="K257" s="704">
        <f t="shared" si="295"/>
        <v>0.0</v>
      </c>
      <c r="L257" s="5"/>
    </row>
    <row hidden="1" r="258" customHeight="1" ht="17.0" outlineLevel="1">
      <c r="A258" s="5"/>
      <c r="B258" s="98"/>
      <c r="C258" s="310" t="s">
        <v>196</v>
      </c>
      <c r="D258" s="315">
        <f t="shared" si="308"/>
        <v>0.0</v>
      </c>
      <c r="E258" s="704">
        <f t="shared" si="292"/>
        <v>0.0</v>
      </c>
      <c r="F258" s="315">
        <f t="shared" si="309"/>
        <v>0.0</v>
      </c>
      <c r="G258" s="704">
        <f t="shared" si="293"/>
        <v>0.0</v>
      </c>
      <c r="H258" s="315">
        <f t="shared" si="310"/>
        <v>0.0</v>
      </c>
      <c r="I258" s="704">
        <f t="shared" si="294"/>
        <v>0.0</v>
      </c>
      <c r="J258" s="315">
        <f t="shared" si="311"/>
        <v>0.0</v>
      </c>
      <c r="K258" s="704">
        <f t="shared" si="295"/>
        <v>0.0</v>
      </c>
      <c r="L258" s="5"/>
    </row>
    <row hidden="1" r="259" customHeight="1" ht="17.0" outlineLevel="1">
      <c r="A259" s="5"/>
      <c r="B259" s="98"/>
      <c r="C259" s="310" t="s">
        <v>197</v>
      </c>
      <c r="D259" s="317">
        <f>D257-D258</f>
        <v>0.0</v>
      </c>
      <c r="E259" s="704">
        <f t="shared" si="292"/>
        <v>0.0</v>
      </c>
      <c r="F259" s="317">
        <f>F257-F258</f>
        <v>0.0</v>
      </c>
      <c r="G259" s="704">
        <f t="shared" si="293"/>
        <v>0.0</v>
      </c>
      <c r="H259" s="317">
        <f>H257-H258</f>
        <v>0.0</v>
      </c>
      <c r="I259" s="704">
        <f t="shared" si="294"/>
        <v>0.0</v>
      </c>
      <c r="J259" s="317">
        <f>J257-J258</f>
        <v>0.0</v>
      </c>
      <c r="K259" s="704">
        <f t="shared" si="295"/>
        <v>0.0</v>
      </c>
      <c r="L259" s="5"/>
    </row>
    <row hidden="1" r="260" customHeight="1" ht="17.0" outlineLevel="1">
      <c r="A260" s="5"/>
      <c r="B260" s="98"/>
      <c r="C260" s="310"/>
      <c r="D260" s="705"/>
      <c r="E260" s="706"/>
      <c r="F260" s="705"/>
      <c r="G260" s="706"/>
      <c r="H260" s="705"/>
      <c r="I260" s="706"/>
      <c r="J260" s="705"/>
      <c r="K260" s="706"/>
      <c r="L260" s="5"/>
    </row>
    <row hidden="1" r="261" customHeight="1" ht="17.0" outlineLevel="1">
      <c r="A261" s="5"/>
      <c r="B261" s="98"/>
      <c r="C261" s="310" t="s">
        <v>198</v>
      </c>
      <c r="D261" s="707"/>
      <c r="E261" s="704"/>
      <c r="F261" s="707"/>
      <c r="G261" s="704"/>
      <c r="H261" s="707"/>
      <c r="I261" s="704"/>
      <c r="J261" s="707"/>
      <c r="K261" s="706"/>
      <c r="L261" s="5"/>
    </row>
    <row hidden="1" r="262" customHeight="1" ht="17.0" outlineLevel="1">
      <c r="A262" s="5"/>
      <c r="B262" s="98"/>
      <c r="C262" s="68" t="s">
        <v>199</v>
      </c>
      <c r="D262" s="301">
        <v>0.0</v>
      </c>
      <c r="E262" s="704">
        <f t="shared" ref="E262:E286" si="316">IF(D$257=0,0,D262/D$257)</f>
        <v>0.0</v>
      </c>
      <c r="F262" s="301">
        <v>0.0</v>
      </c>
      <c r="G262" s="704">
        <f t="shared" ref="G262:G286" si="317">IF(F$257=0,0,F262/F$257)</f>
        <v>0.0</v>
      </c>
      <c r="H262" s="301">
        <v>0.0</v>
      </c>
      <c r="I262" s="704">
        <f t="shared" ref="I262:I286" si="318">IF(H$257=0,0,H262/H$257)</f>
        <v>0.0</v>
      </c>
      <c r="J262" s="301">
        <v>0.0</v>
      </c>
      <c r="K262" s="704">
        <f t="shared" ref="K262:K286" si="319">IF(J$257=0,0,J262/J$257)</f>
        <v>0.0</v>
      </c>
      <c r="L262" s="5"/>
    </row>
    <row hidden="1" r="263" customHeight="1" ht="17.0" outlineLevel="1">
      <c r="A263" s="5"/>
      <c r="B263" s="98"/>
      <c r="C263" s="68" t="s">
        <v>200</v>
      </c>
      <c r="D263" s="326">
        <v>0.0</v>
      </c>
      <c r="E263" s="704">
        <f t="shared" si="316"/>
        <v>0.0</v>
      </c>
      <c r="F263" s="326">
        <v>0.0</v>
      </c>
      <c r="G263" s="704">
        <f t="shared" si="317"/>
        <v>0.0</v>
      </c>
      <c r="H263" s="326">
        <v>0.0</v>
      </c>
      <c r="I263" s="704">
        <f t="shared" si="318"/>
        <v>0.0</v>
      </c>
      <c r="J263" s="326">
        <v>0.0</v>
      </c>
      <c r="K263" s="704">
        <f t="shared" si="319"/>
        <v>0.0</v>
      </c>
      <c r="L263" s="5"/>
    </row>
    <row hidden="1" r="264" customHeight="1" ht="17.0" outlineLevel="1">
      <c r="A264" s="5"/>
      <c r="B264" s="98"/>
      <c r="C264" s="68" t="s">
        <v>201</v>
      </c>
      <c r="D264" s="326">
        <v>0.0</v>
      </c>
      <c r="E264" s="704">
        <f t="shared" si="316"/>
        <v>0.0</v>
      </c>
      <c r="F264" s="326">
        <v>0.0</v>
      </c>
      <c r="G264" s="704">
        <f t="shared" si="317"/>
        <v>0.0</v>
      </c>
      <c r="H264" s="326">
        <v>0.0</v>
      </c>
      <c r="I264" s="704">
        <f t="shared" si="318"/>
        <v>0.0</v>
      </c>
      <c r="J264" s="326">
        <v>0.0</v>
      </c>
      <c r="K264" s="704">
        <f t="shared" si="319"/>
        <v>0.0</v>
      </c>
      <c r="L264" s="5"/>
    </row>
    <row hidden="1" r="265" customHeight="1" ht="17.0" outlineLevel="1">
      <c r="A265" s="5"/>
      <c r="B265" s="98"/>
      <c r="C265" s="68" t="s">
        <v>202</v>
      </c>
      <c r="D265" s="326">
        <v>0.0</v>
      </c>
      <c r="E265" s="704">
        <f t="shared" si="316"/>
        <v>0.0</v>
      </c>
      <c r="F265" s="326">
        <v>0.0</v>
      </c>
      <c r="G265" s="704">
        <f t="shared" si="317"/>
        <v>0.0</v>
      </c>
      <c r="H265" s="326">
        <v>0.0</v>
      </c>
      <c r="I265" s="704">
        <f t="shared" si="318"/>
        <v>0.0</v>
      </c>
      <c r="J265" s="326">
        <v>0.0</v>
      </c>
      <c r="K265" s="704">
        <f t="shared" si="319"/>
        <v>0.0</v>
      </c>
      <c r="L265" s="5"/>
    </row>
    <row hidden="1" r="266" customHeight="1" ht="17.0" outlineLevel="1">
      <c r="A266" s="5"/>
      <c r="B266" s="98"/>
      <c r="C266" s="68" t="s">
        <v>203</v>
      </c>
      <c r="D266" s="326">
        <v>0.0</v>
      </c>
      <c r="E266" s="704">
        <f t="shared" si="316"/>
        <v>0.0</v>
      </c>
      <c r="F266" s="326">
        <v>0.0</v>
      </c>
      <c r="G266" s="704">
        <f t="shared" si="317"/>
        <v>0.0</v>
      </c>
      <c r="H266" s="326">
        <v>0.0</v>
      </c>
      <c r="I266" s="704">
        <f t="shared" si="318"/>
        <v>0.0</v>
      </c>
      <c r="J266" s="326">
        <v>0.0</v>
      </c>
      <c r="K266" s="704">
        <f t="shared" si="319"/>
        <v>0.0</v>
      </c>
      <c r="L266" s="5"/>
    </row>
    <row hidden="1" r="267" customHeight="1" ht="17.0" outlineLevel="1">
      <c r="A267" s="5"/>
      <c r="B267" s="98"/>
      <c r="C267" s="68" t="s">
        <v>204</v>
      </c>
      <c r="D267" s="326">
        <v>0.0</v>
      </c>
      <c r="E267" s="704">
        <f t="shared" si="316"/>
        <v>0.0</v>
      </c>
      <c r="F267" s="326">
        <v>0.0</v>
      </c>
      <c r="G267" s="704">
        <f t="shared" si="317"/>
        <v>0.0</v>
      </c>
      <c r="H267" s="326">
        <v>0.0</v>
      </c>
      <c r="I267" s="704">
        <f t="shared" si="318"/>
        <v>0.0</v>
      </c>
      <c r="J267" s="326">
        <v>0.0</v>
      </c>
      <c r="K267" s="704">
        <f t="shared" si="319"/>
        <v>0.0</v>
      </c>
      <c r="L267" s="5"/>
    </row>
    <row hidden="1" r="268" customHeight="1" ht="17.0" outlineLevel="1">
      <c r="A268" s="5"/>
      <c r="B268" s="98"/>
      <c r="C268" s="68" t="s">
        <v>205</v>
      </c>
      <c r="D268" s="326">
        <v>0.0</v>
      </c>
      <c r="E268" s="704">
        <f t="shared" si="316"/>
        <v>0.0</v>
      </c>
      <c r="F268" s="326">
        <v>0.0</v>
      </c>
      <c r="G268" s="704">
        <f t="shared" si="317"/>
        <v>0.0</v>
      </c>
      <c r="H268" s="326">
        <v>0.0</v>
      </c>
      <c r="I268" s="704">
        <f t="shared" si="318"/>
        <v>0.0</v>
      </c>
      <c r="J268" s="326">
        <v>0.0</v>
      </c>
      <c r="K268" s="704">
        <f t="shared" si="319"/>
        <v>0.0</v>
      </c>
      <c r="L268" s="5"/>
    </row>
    <row hidden="1" r="269" customHeight="1" ht="17.0" outlineLevel="1">
      <c r="A269" s="5"/>
      <c r="B269" s="98"/>
      <c r="C269" s="68" t="s">
        <v>206</v>
      </c>
      <c r="D269" s="326">
        <v>0.0</v>
      </c>
      <c r="E269" s="704">
        <f t="shared" si="316"/>
        <v>0.0</v>
      </c>
      <c r="F269" s="326">
        <v>0.0</v>
      </c>
      <c r="G269" s="704">
        <f t="shared" si="317"/>
        <v>0.0</v>
      </c>
      <c r="H269" s="326">
        <v>0.0</v>
      </c>
      <c r="I269" s="704">
        <f t="shared" si="318"/>
        <v>0.0</v>
      </c>
      <c r="J269" s="326">
        <v>0.0</v>
      </c>
      <c r="K269" s="704">
        <f t="shared" si="319"/>
        <v>0.0</v>
      </c>
      <c r="L269" s="5"/>
    </row>
    <row hidden="1" r="270" customHeight="1" ht="17.0" outlineLevel="1">
      <c r="A270" s="5"/>
      <c r="B270" s="98"/>
      <c r="C270" s="68" t="s">
        <v>207</v>
      </c>
      <c r="D270" s="326">
        <v>0.0</v>
      </c>
      <c r="E270" s="704">
        <f t="shared" si="316"/>
        <v>0.0</v>
      </c>
      <c r="F270" s="326">
        <v>0.0</v>
      </c>
      <c r="G270" s="704">
        <f t="shared" si="317"/>
        <v>0.0</v>
      </c>
      <c r="H270" s="326">
        <v>0.0</v>
      </c>
      <c r="I270" s="704">
        <f t="shared" si="318"/>
        <v>0.0</v>
      </c>
      <c r="J270" s="326">
        <v>0.0</v>
      </c>
      <c r="K270" s="704">
        <f t="shared" si="319"/>
        <v>0.0</v>
      </c>
      <c r="L270" s="5"/>
    </row>
    <row hidden="1" r="271" customHeight="1" ht="17.0" outlineLevel="1">
      <c r="A271" s="5"/>
      <c r="B271" s="98"/>
      <c r="C271" s="68" t="s">
        <v>389</v>
      </c>
      <c r="D271" s="326">
        <v>0.0</v>
      </c>
      <c r="E271" s="704">
        <f t="shared" si="316"/>
        <v>0.0</v>
      </c>
      <c r="F271" s="326">
        <v>0.0</v>
      </c>
      <c r="G271" s="704">
        <f t="shared" si="317"/>
        <v>0.0</v>
      </c>
      <c r="H271" s="326">
        <v>0.0</v>
      </c>
      <c r="I271" s="704">
        <f t="shared" si="318"/>
        <v>0.0</v>
      </c>
      <c r="J271" s="326">
        <v>0.0</v>
      </c>
      <c r="K271" s="704">
        <f t="shared" si="319"/>
        <v>0.0</v>
      </c>
      <c r="L271" s="5"/>
    </row>
    <row hidden="1" r="272" customHeight="1" ht="17.0" outlineLevel="1">
      <c r="A272" s="5"/>
      <c r="B272" s="98"/>
      <c r="C272" s="68" t="s">
        <v>390</v>
      </c>
      <c r="D272" s="326">
        <v>0.0</v>
      </c>
      <c r="E272" s="704">
        <f t="shared" si="316"/>
        <v>0.0</v>
      </c>
      <c r="F272" s="326">
        <v>0.0</v>
      </c>
      <c r="G272" s="704">
        <f t="shared" si="317"/>
        <v>0.0</v>
      </c>
      <c r="H272" s="326">
        <v>0.0</v>
      </c>
      <c r="I272" s="704">
        <f t="shared" si="318"/>
        <v>0.0</v>
      </c>
      <c r="J272" s="326">
        <v>0.0</v>
      </c>
      <c r="K272" s="704">
        <f t="shared" si="319"/>
        <v>0.0</v>
      </c>
      <c r="L272" s="5"/>
    </row>
    <row hidden="1" r="273" customHeight="1" ht="17.0" outlineLevel="1">
      <c r="A273" s="5"/>
      <c r="B273" s="98"/>
      <c r="C273" s="68" t="s">
        <v>391</v>
      </c>
      <c r="D273" s="326">
        <v>0.0</v>
      </c>
      <c r="E273" s="704">
        <f t="shared" si="316"/>
        <v>0.0</v>
      </c>
      <c r="F273" s="326">
        <v>0.0</v>
      </c>
      <c r="G273" s="704">
        <f t="shared" si="317"/>
        <v>0.0</v>
      </c>
      <c r="H273" s="326">
        <v>0.0</v>
      </c>
      <c r="I273" s="704">
        <f t="shared" si="318"/>
        <v>0.0</v>
      </c>
      <c r="J273" s="326">
        <v>0.0</v>
      </c>
      <c r="K273" s="704">
        <f t="shared" si="319"/>
        <v>0.0</v>
      </c>
      <c r="L273" s="5"/>
    </row>
    <row hidden="1" r="274" customHeight="1" ht="17.0" outlineLevel="1">
      <c r="A274" s="5"/>
      <c r="B274" s="98"/>
      <c r="C274" s="68" t="s">
        <v>392</v>
      </c>
      <c r="D274" s="326">
        <v>0.0</v>
      </c>
      <c r="E274" s="704">
        <f t="shared" si="316"/>
        <v>0.0</v>
      </c>
      <c r="F274" s="326">
        <v>0.0</v>
      </c>
      <c r="G274" s="704">
        <f t="shared" si="317"/>
        <v>0.0</v>
      </c>
      <c r="H274" s="326">
        <v>0.0</v>
      </c>
      <c r="I274" s="704">
        <f t="shared" si="318"/>
        <v>0.0</v>
      </c>
      <c r="J274" s="326">
        <v>0.0</v>
      </c>
      <c r="K274" s="704">
        <f t="shared" si="319"/>
        <v>0.0</v>
      </c>
      <c r="L274" s="5"/>
    </row>
    <row hidden="1" r="275" customHeight="1" ht="17.0" outlineLevel="1">
      <c r="A275" s="5"/>
      <c r="B275" s="98"/>
      <c r="C275" s="68" t="s">
        <v>393</v>
      </c>
      <c r="D275" s="326">
        <v>0.0</v>
      </c>
      <c r="E275" s="704">
        <f t="shared" si="316"/>
        <v>0.0</v>
      </c>
      <c r="F275" s="326">
        <v>0.0</v>
      </c>
      <c r="G275" s="704">
        <f t="shared" si="317"/>
        <v>0.0</v>
      </c>
      <c r="H275" s="326">
        <v>0.0</v>
      </c>
      <c r="I275" s="704">
        <f t="shared" si="318"/>
        <v>0.0</v>
      </c>
      <c r="J275" s="326">
        <v>0.0</v>
      </c>
      <c r="K275" s="704">
        <f t="shared" si="319"/>
        <v>0.0</v>
      </c>
      <c r="L275" s="5"/>
    </row>
    <row hidden="1" r="276" customHeight="1" ht="17.0" outlineLevel="1">
      <c r="A276" s="5"/>
      <c r="B276" s="98"/>
      <c r="C276" s="68" t="s">
        <v>394</v>
      </c>
      <c r="D276" s="326">
        <v>0.0</v>
      </c>
      <c r="E276" s="704">
        <f t="shared" si="316"/>
        <v>0.0</v>
      </c>
      <c r="F276" s="326">
        <v>0.0</v>
      </c>
      <c r="G276" s="704">
        <f t="shared" si="317"/>
        <v>0.0</v>
      </c>
      <c r="H276" s="326">
        <v>0.0</v>
      </c>
      <c r="I276" s="704">
        <f t="shared" si="318"/>
        <v>0.0</v>
      </c>
      <c r="J276" s="326">
        <v>0.0</v>
      </c>
      <c r="K276" s="704">
        <f t="shared" si="319"/>
        <v>0.0</v>
      </c>
      <c r="L276" s="5"/>
    </row>
    <row hidden="1" r="277" customHeight="1" ht="17.0" outlineLevel="1">
      <c r="A277" s="5"/>
      <c r="B277" s="98"/>
      <c r="C277" s="68" t="s">
        <v>395</v>
      </c>
      <c r="D277" s="326">
        <v>0.0</v>
      </c>
      <c r="E277" s="704">
        <f t="shared" si="316"/>
        <v>0.0</v>
      </c>
      <c r="F277" s="326">
        <v>0.0</v>
      </c>
      <c r="G277" s="704">
        <f t="shared" si="317"/>
        <v>0.0</v>
      </c>
      <c r="H277" s="326">
        <v>0.0</v>
      </c>
      <c r="I277" s="704">
        <f t="shared" si="318"/>
        <v>0.0</v>
      </c>
      <c r="J277" s="326">
        <v>0.0</v>
      </c>
      <c r="K277" s="704">
        <f t="shared" si="319"/>
        <v>0.0</v>
      </c>
      <c r="L277" s="5"/>
    </row>
    <row hidden="1" r="278" customHeight="1" ht="17.0" outlineLevel="1">
      <c r="A278" s="5"/>
      <c r="B278" s="98"/>
      <c r="C278" s="68" t="s">
        <v>396</v>
      </c>
      <c r="D278" s="326">
        <v>0.0</v>
      </c>
      <c r="E278" s="704">
        <f t="shared" si="316"/>
        <v>0.0</v>
      </c>
      <c r="F278" s="326">
        <v>0.0</v>
      </c>
      <c r="G278" s="704">
        <f t="shared" si="317"/>
        <v>0.0</v>
      </c>
      <c r="H278" s="326">
        <v>0.0</v>
      </c>
      <c r="I278" s="704">
        <f t="shared" si="318"/>
        <v>0.0</v>
      </c>
      <c r="J278" s="326">
        <v>0.0</v>
      </c>
      <c r="K278" s="704">
        <f t="shared" si="319"/>
        <v>0.0</v>
      </c>
      <c r="L278" s="5"/>
    </row>
    <row hidden="1" r="279" customHeight="1" ht="17.0" outlineLevel="1">
      <c r="A279" s="5"/>
      <c r="B279" s="98"/>
      <c r="C279" s="68" t="s">
        <v>397</v>
      </c>
      <c r="D279" s="326">
        <v>0.0</v>
      </c>
      <c r="E279" s="704">
        <f t="shared" si="316"/>
        <v>0.0</v>
      </c>
      <c r="F279" s="326">
        <v>0.0</v>
      </c>
      <c r="G279" s="704">
        <f t="shared" si="317"/>
        <v>0.0</v>
      </c>
      <c r="H279" s="326">
        <v>0.0</v>
      </c>
      <c r="I279" s="704">
        <f t="shared" si="318"/>
        <v>0.0</v>
      </c>
      <c r="J279" s="326">
        <v>0.0</v>
      </c>
      <c r="K279" s="704">
        <f t="shared" si="319"/>
        <v>0.0</v>
      </c>
      <c r="L279" s="5"/>
    </row>
    <row hidden="1" r="280" customHeight="1" ht="17.0" outlineLevel="1">
      <c r="A280" s="5"/>
      <c r="B280" s="98"/>
      <c r="C280" s="68" t="s">
        <v>398</v>
      </c>
      <c r="D280" s="326">
        <v>0.0</v>
      </c>
      <c r="E280" s="704">
        <f t="shared" si="316"/>
        <v>0.0</v>
      </c>
      <c r="F280" s="326">
        <v>0.0</v>
      </c>
      <c r="G280" s="704">
        <f t="shared" si="317"/>
        <v>0.0</v>
      </c>
      <c r="H280" s="326">
        <v>0.0</v>
      </c>
      <c r="I280" s="704">
        <f t="shared" si="318"/>
        <v>0.0</v>
      </c>
      <c r="J280" s="326">
        <v>0.0</v>
      </c>
      <c r="K280" s="704">
        <f t="shared" si="319"/>
        <v>0.0</v>
      </c>
      <c r="L280" s="5"/>
    </row>
    <row hidden="1" r="281" customHeight="1" ht="17.0" outlineLevel="1">
      <c r="A281" s="5"/>
      <c r="B281" s="98"/>
      <c r="C281" s="68" t="s">
        <v>208</v>
      </c>
      <c r="D281" s="326">
        <v>0.0</v>
      </c>
      <c r="E281" s="704">
        <f t="shared" si="316"/>
        <v>0.0</v>
      </c>
      <c r="F281" s="326">
        <v>0.0</v>
      </c>
      <c r="G281" s="704">
        <f t="shared" si="317"/>
        <v>0.0</v>
      </c>
      <c r="H281" s="326">
        <v>0.0</v>
      </c>
      <c r="I281" s="704">
        <f t="shared" si="318"/>
        <v>0.0</v>
      </c>
      <c r="J281" s="326">
        <v>0.0</v>
      </c>
      <c r="K281" s="704">
        <f t="shared" si="319"/>
        <v>0.0</v>
      </c>
      <c r="L281" s="5"/>
    </row>
    <row hidden="1" r="282" customHeight="1" ht="17.0" outlineLevel="1">
      <c r="A282" s="5"/>
      <c r="B282" s="98"/>
      <c r="C282" s="68" t="s">
        <v>208</v>
      </c>
      <c r="D282" s="326">
        <v>0.0</v>
      </c>
      <c r="E282" s="704">
        <f t="shared" si="316"/>
        <v>0.0</v>
      </c>
      <c r="F282" s="326">
        <v>0.0</v>
      </c>
      <c r="G282" s="704">
        <f t="shared" si="317"/>
        <v>0.0</v>
      </c>
      <c r="H282" s="326">
        <v>0.0</v>
      </c>
      <c r="I282" s="704">
        <f t="shared" si="318"/>
        <v>0.0</v>
      </c>
      <c r="J282" s="326">
        <v>0.0</v>
      </c>
      <c r="K282" s="704">
        <f t="shared" si="319"/>
        <v>0.0</v>
      </c>
      <c r="L282" s="5"/>
    </row>
    <row hidden="1" r="283" customHeight="1" ht="17.0" outlineLevel="1">
      <c r="A283" s="5"/>
      <c r="B283" s="98"/>
      <c r="C283" s="68" t="s">
        <v>208</v>
      </c>
      <c r="D283" s="326">
        <v>0.0</v>
      </c>
      <c r="E283" s="704">
        <f t="shared" si="316"/>
        <v>0.0</v>
      </c>
      <c r="F283" s="326">
        <v>0.0</v>
      </c>
      <c r="G283" s="704">
        <f t="shared" si="317"/>
        <v>0.0</v>
      </c>
      <c r="H283" s="326">
        <v>0.0</v>
      </c>
      <c r="I283" s="704">
        <f t="shared" si="318"/>
        <v>0.0</v>
      </c>
      <c r="J283" s="326">
        <v>0.0</v>
      </c>
      <c r="K283" s="704">
        <f t="shared" si="319"/>
        <v>0.0</v>
      </c>
      <c r="L283" s="5"/>
    </row>
    <row hidden="1" r="284" customHeight="1" ht="17.0" outlineLevel="1">
      <c r="A284" s="5"/>
      <c r="B284" s="45" t="s">
        <v>388</v>
      </c>
      <c r="C284" s="68" t="s">
        <v>208</v>
      </c>
      <c r="D284" s="326">
        <v>0.0</v>
      </c>
      <c r="E284" s="704">
        <f t="shared" si="316"/>
        <v>0.0</v>
      </c>
      <c r="F284" s="326">
        <v>0.0</v>
      </c>
      <c r="G284" s="704">
        <f t="shared" si="317"/>
        <v>0.0</v>
      </c>
      <c r="H284" s="326">
        <v>0.0</v>
      </c>
      <c r="I284" s="704">
        <f t="shared" si="318"/>
        <v>0.0</v>
      </c>
      <c r="J284" s="326">
        <v>0.0</v>
      </c>
      <c r="K284" s="704">
        <f t="shared" si="319"/>
        <v>0.0</v>
      </c>
      <c r="L284" s="5"/>
    </row>
    <row hidden="1" r="285" customHeight="1" ht="17.0" outlineLevel="1">
      <c r="A285" s="5"/>
      <c r="B285" s="98"/>
      <c r="C285" s="68" t="s">
        <v>208</v>
      </c>
      <c r="D285" s="306">
        <f>0-SUM(D262:D284)</f>
        <v>0.0</v>
      </c>
      <c r="E285" s="704">
        <f t="shared" si="316"/>
        <v>0.0</v>
      </c>
      <c r="F285" s="306">
        <f>0-SUM(F262:F284)</f>
        <v>0.0</v>
      </c>
      <c r="G285" s="704">
        <f t="shared" si="317"/>
        <v>0.0</v>
      </c>
      <c r="H285" s="306">
        <f>0-SUM(H262:H284)</f>
        <v>0.0</v>
      </c>
      <c r="I285" s="704">
        <f t="shared" si="318"/>
        <v>0.0</v>
      </c>
      <c r="J285" s="306">
        <f>0-SUM(J262:J284)</f>
        <v>0.0</v>
      </c>
      <c r="K285" s="704">
        <f t="shared" si="319"/>
        <v>0.0</v>
      </c>
      <c r="L285" s="5"/>
    </row>
    <row hidden="1" r="286" customHeight="1" ht="17.0" outlineLevel="1">
      <c r="A286" s="5"/>
      <c r="B286" s="98"/>
      <c r="C286" s="310" t="s">
        <v>209</v>
      </c>
      <c r="D286" s="330">
        <f>SUM(D262:D285)</f>
        <v>0.0</v>
      </c>
      <c r="E286" s="704">
        <f t="shared" si="316"/>
        <v>0.0</v>
      </c>
      <c r="F286" s="330">
        <f>SUM(F262:F285)</f>
        <v>0.0</v>
      </c>
      <c r="G286" s="704">
        <f t="shared" si="317"/>
        <v>0.0</v>
      </c>
      <c r="H286" s="330">
        <f>SUM(H262:H285)</f>
        <v>0.0</v>
      </c>
      <c r="I286" s="704">
        <f t="shared" si="318"/>
        <v>0.0</v>
      </c>
      <c r="J286" s="330">
        <f>SUM(J262:J285)</f>
        <v>0.0</v>
      </c>
      <c r="K286" s="704">
        <f t="shared" si="319"/>
        <v>0.0</v>
      </c>
      <c r="L286" s="5"/>
    </row>
    <row hidden="1" r="287" customHeight="1" ht="17.0" outlineLevel="1">
      <c r="A287" s="5"/>
      <c r="B287" s="98"/>
      <c r="C287" s="310"/>
      <c r="D287" s="708"/>
      <c r="E287" s="706"/>
      <c r="F287" s="708"/>
      <c r="G287" s="706"/>
      <c r="H287" s="708"/>
      <c r="I287" s="706"/>
      <c r="J287" s="708"/>
      <c r="K287" s="706"/>
      <c r="L287" s="5"/>
    </row>
    <row hidden="1" r="288" customHeight="1" ht="17.0" outlineLevel="1">
      <c r="A288" s="5"/>
      <c r="B288" s="98"/>
      <c r="C288" s="310" t="s">
        <v>210</v>
      </c>
      <c r="D288" s="330">
        <f>D259-D286</f>
        <v>0.0</v>
      </c>
      <c r="E288" s="704">
        <f>IF(D$257=0,0,D288/D$257)</f>
        <v>0.0</v>
      </c>
      <c r="F288" s="330">
        <f>F259-F286</f>
        <v>0.0</v>
      </c>
      <c r="G288" s="704">
        <f>IF(F$257=0,0,F288/F$257)</f>
        <v>0.0</v>
      </c>
      <c r="H288" s="330">
        <f>H259-H286</f>
        <v>0.0</v>
      </c>
      <c r="I288" s="704">
        <f>IF(H$257=0,0,H288/H$257)</f>
        <v>0.0</v>
      </c>
      <c r="J288" s="330">
        <f>J259-J286</f>
        <v>0.0</v>
      </c>
      <c r="K288" s="704">
        <f>IF(J$257=0,0,J288/J$257)</f>
        <v>0.0</v>
      </c>
      <c r="L288" s="5"/>
    </row>
    <row hidden="1" r="289" customHeight="1" ht="17.0" outlineLevel="1">
      <c r="A289" s="5"/>
      <c r="B289" s="98"/>
      <c r="C289" s="310"/>
      <c r="D289" s="709"/>
      <c r="E289" s="706"/>
      <c r="F289" s="709"/>
      <c r="G289" s="706"/>
      <c r="H289" s="709"/>
      <c r="I289" s="706"/>
      <c r="J289" s="709"/>
      <c r="K289" s="706"/>
      <c r="L289" s="5"/>
    </row>
    <row hidden="1" r="290" customHeight="1" ht="17.0" outlineLevel="1">
      <c r="A290" s="5"/>
      <c r="B290" s="98"/>
      <c r="C290" s="68" t="s">
        <v>211</v>
      </c>
      <c r="D290" s="301">
        <v>0.0</v>
      </c>
      <c r="E290" s="704">
        <f t="shared" ref="E290:E294" si="336">IF(D$257=0,0,D290/D$257)</f>
        <v>0.0</v>
      </c>
      <c r="F290" s="301">
        <v>0.0</v>
      </c>
      <c r="G290" s="704">
        <f t="shared" ref="G290:G294" si="337">IF(F$257=0,0,F290/F$257)</f>
        <v>0.0</v>
      </c>
      <c r="H290" s="301">
        <v>0.0</v>
      </c>
      <c r="I290" s="704">
        <f t="shared" ref="I290:I294" si="338">IF(H$257=0,0,H290/H$257)</f>
        <v>0.0</v>
      </c>
      <c r="J290" s="301">
        <v>0.0</v>
      </c>
      <c r="K290" s="704">
        <f t="shared" ref="K290:K294" si="339">IF(J$257=0,0,J290/J$257)</f>
        <v>0.0</v>
      </c>
      <c r="L290" s="5"/>
    </row>
    <row hidden="1" r="291" customHeight="1" ht="17.0" outlineLevel="1">
      <c r="A291" s="5"/>
      <c r="B291" s="98"/>
      <c r="C291" s="68" t="s">
        <v>211</v>
      </c>
      <c r="D291" s="326">
        <v>0.0</v>
      </c>
      <c r="E291" s="704">
        <f t="shared" si="336"/>
        <v>0.0</v>
      </c>
      <c r="F291" s="326">
        <v>0.0</v>
      </c>
      <c r="G291" s="704">
        <f t="shared" si="337"/>
        <v>0.0</v>
      </c>
      <c r="H291" s="326">
        <v>0.0</v>
      </c>
      <c r="I291" s="704">
        <f t="shared" si="338"/>
        <v>0.0</v>
      </c>
      <c r="J291" s="326">
        <v>0.0</v>
      </c>
      <c r="K291" s="704">
        <f t="shared" si="339"/>
        <v>0.0</v>
      </c>
      <c r="L291" s="5"/>
    </row>
    <row hidden="1" r="292" customHeight="1" ht="17.0" outlineLevel="1">
      <c r="A292" s="5"/>
      <c r="B292" s="98"/>
      <c r="C292" s="68" t="s">
        <v>213</v>
      </c>
      <c r="D292" s="326">
        <v>0.0</v>
      </c>
      <c r="E292" s="704">
        <f t="shared" si="336"/>
        <v>0.0</v>
      </c>
      <c r="F292" s="326">
        <v>0.0</v>
      </c>
      <c r="G292" s="704">
        <f t="shared" si="337"/>
        <v>0.0</v>
      </c>
      <c r="H292" s="326">
        <v>0.0</v>
      </c>
      <c r="I292" s="704">
        <f t="shared" si="338"/>
        <v>0.0</v>
      </c>
      <c r="J292" s="326">
        <v>0.0</v>
      </c>
      <c r="K292" s="704">
        <f t="shared" si="339"/>
        <v>0.0</v>
      </c>
      <c r="L292" s="5"/>
    </row>
    <row hidden="1" r="293" customHeight="1" ht="17.0" outlineLevel="1">
      <c r="A293" s="5"/>
      <c r="B293" s="98"/>
      <c r="C293" s="68" t="s">
        <v>213</v>
      </c>
      <c r="D293" s="306">
        <v>0.0</v>
      </c>
      <c r="E293" s="704">
        <f t="shared" si="336"/>
        <v>0.0</v>
      </c>
      <c r="F293" s="306">
        <v>0.0</v>
      </c>
      <c r="G293" s="704">
        <f t="shared" si="337"/>
        <v>0.0</v>
      </c>
      <c r="H293" s="306">
        <v>0.0</v>
      </c>
      <c r="I293" s="704">
        <f t="shared" si="338"/>
        <v>0.0</v>
      </c>
      <c r="J293" s="306">
        <v>0.0</v>
      </c>
      <c r="K293" s="704">
        <f t="shared" si="339"/>
        <v>0.0</v>
      </c>
      <c r="L293" s="5"/>
    </row>
    <row hidden="1" r="294" customHeight="1" ht="17.0" outlineLevel="1">
      <c r="A294" s="5"/>
      <c r="B294" s="98"/>
      <c r="C294" s="310" t="s">
        <v>214</v>
      </c>
      <c r="D294" s="330">
        <f>SUM(D290:D293)</f>
        <v>0.0</v>
      </c>
      <c r="E294" s="704">
        <f t="shared" si="336"/>
        <v>0.0</v>
      </c>
      <c r="F294" s="330">
        <f>SUM(F290:F293)</f>
        <v>0.0</v>
      </c>
      <c r="G294" s="704">
        <f t="shared" si="337"/>
        <v>0.0</v>
      </c>
      <c r="H294" s="330">
        <f>SUM(H290:H293)</f>
        <v>0.0</v>
      </c>
      <c r="I294" s="704">
        <f t="shared" si="338"/>
        <v>0.0</v>
      </c>
      <c r="J294" s="330">
        <f>SUM(J290:J293)</f>
        <v>0.0</v>
      </c>
      <c r="K294" s="704">
        <f t="shared" si="339"/>
        <v>0.0</v>
      </c>
      <c r="L294" s="5"/>
    </row>
    <row hidden="1" r="295" customHeight="1" ht="17.0" outlineLevel="1">
      <c r="A295" s="5"/>
      <c r="B295" s="98"/>
      <c r="C295" s="310"/>
      <c r="D295" s="708"/>
      <c r="E295" s="706"/>
      <c r="F295" s="708"/>
      <c r="G295" s="706"/>
      <c r="H295" s="708"/>
      <c r="I295" s="706"/>
      <c r="J295" s="708"/>
      <c r="K295" s="710"/>
      <c r="L295" s="5"/>
    </row>
    <row hidden="1" r="296" customHeight="1" ht="17.0" outlineLevel="1">
      <c r="A296" s="5"/>
      <c r="B296" s="98"/>
      <c r="C296" s="310" t="s">
        <v>215</v>
      </c>
      <c r="D296" s="330">
        <f>D259-D286+D294</f>
        <v>0.0</v>
      </c>
      <c r="E296" s="704">
        <f t="shared" ref="E296:E297" si="345">IF(D$257=0,0,D296/D$257)</f>
        <v>0.0</v>
      </c>
      <c r="F296" s="330">
        <f>F259-F286+F294</f>
        <v>0.0</v>
      </c>
      <c r="G296" s="704">
        <f t="shared" ref="G296:G297" si="347">IF(F$257=0,0,F296/F$257)</f>
        <v>0.0</v>
      </c>
      <c r="H296" s="330">
        <f>H259-H286+H294</f>
        <v>0.0</v>
      </c>
      <c r="I296" s="704">
        <f t="shared" ref="I296:I297" si="349">IF(H$257=0,0,H296/H$257)</f>
        <v>0.0</v>
      </c>
      <c r="J296" s="330">
        <f>J259-J286+J294</f>
        <v>0.0</v>
      </c>
      <c r="K296" s="704">
        <f t="shared" ref="K296:K297" si="351">IF(J$257=0,0,J296/J$257)</f>
        <v>0.0</v>
      </c>
      <c r="L296" s="5"/>
    </row>
    <row hidden="1" r="297" customHeight="1" ht="17.0" outlineLevel="1">
      <c r="A297" s="5"/>
      <c r="B297" s="98"/>
      <c r="C297" s="310" t="s">
        <v>216</v>
      </c>
      <c r="D297" s="330">
        <v>0.0</v>
      </c>
      <c r="E297" s="704">
        <f t="shared" si="345"/>
        <v>0.0</v>
      </c>
      <c r="F297" s="330">
        <v>0.0</v>
      </c>
      <c r="G297" s="704">
        <f t="shared" si="347"/>
        <v>0.0</v>
      </c>
      <c r="H297" s="330">
        <v>0.0</v>
      </c>
      <c r="I297" s="704">
        <f t="shared" si="349"/>
        <v>0.0</v>
      </c>
      <c r="J297" s="330">
        <v>0.0</v>
      </c>
      <c r="K297" s="704">
        <f t="shared" si="351"/>
        <v>0.0</v>
      </c>
      <c r="L297" s="5"/>
    </row>
    <row hidden="1" r="298" customHeight="1" ht="17.0" outlineLevel="1">
      <c r="A298" s="5"/>
      <c r="B298" s="98"/>
      <c r="C298" s="340"/>
      <c r="D298" s="711"/>
      <c r="E298" s="704"/>
      <c r="F298" s="711"/>
      <c r="G298" s="704"/>
      <c r="H298" s="711"/>
      <c r="I298" s="704"/>
      <c r="J298" s="711"/>
      <c r="K298" s="712"/>
      <c r="L298" s="5"/>
    </row>
    <row hidden="1" r="299" customHeight="1" ht="17.0" outlineLevel="1">
      <c r="A299" s="5"/>
      <c r="B299" s="98"/>
      <c r="C299" s="310" t="s">
        <v>217</v>
      </c>
      <c r="D299" s="330">
        <f>D296-D297</f>
        <v>0.0</v>
      </c>
      <c r="E299" s="704">
        <f>IF(D$257=0,0,D299/D$257)</f>
        <v>0.0</v>
      </c>
      <c r="F299" s="330">
        <f>F296-F297</f>
        <v>0.0</v>
      </c>
      <c r="G299" s="704">
        <f>IF(F$257=0,0,F299/F$257)</f>
        <v>0.0</v>
      </c>
      <c r="H299" s="330">
        <f>H296-H297</f>
        <v>0.0</v>
      </c>
      <c r="I299" s="704">
        <f>IF(H$257=0,0,H299/H$257)</f>
        <v>0.0</v>
      </c>
      <c r="J299" s="330">
        <f>J296-J297</f>
        <v>0.0</v>
      </c>
      <c r="K299" s="704">
        <f>IF(J$257=0,0,J299/J$257)</f>
        <v>0.0</v>
      </c>
      <c r="L299" s="5"/>
    </row>
    <row hidden="1" r="300" customHeight="1" ht="17.0" outlineLevel="1">
      <c r="A300" s="5"/>
      <c r="B300" s="98"/>
      <c r="C300" s="68"/>
      <c r="D300" s="346"/>
      <c r="E300" s="322"/>
      <c r="F300" s="346"/>
      <c r="G300" s="322"/>
      <c r="H300" s="346"/>
      <c r="I300" s="322"/>
      <c r="J300" s="346"/>
      <c r="K300" s="722"/>
      <c r="L300" s="5"/>
    </row>
    <row hidden="1" r="301" customHeight="1" ht="17.0" outlineLevel="1">
      <c r="A301" s="5"/>
      <c r="B301" s="723"/>
      <c r="C301" s="724" t="s">
        <v>218</v>
      </c>
      <c r="D301" s="725"/>
      <c r="E301" s="725"/>
      <c r="F301" s="725"/>
      <c r="G301" s="725"/>
      <c r="H301" s="725"/>
      <c r="I301" s="725"/>
      <c r="J301" s="725"/>
      <c r="K301" s="726"/>
      <c r="L301" s="5"/>
    </row>
    <row hidden="1" r="302" customHeight="1" ht="17.0" outlineLevel="1">
      <c r="A302" s="5"/>
      <c r="B302" s="98"/>
      <c r="C302" s="350" t="s">
        <v>219</v>
      </c>
      <c r="D302" s="353">
        <f>D262</f>
        <v>0.0</v>
      </c>
      <c r="E302" s="30"/>
      <c r="F302" s="353">
        <f>F262</f>
        <v>0.0</v>
      </c>
      <c r="G302" s="30"/>
      <c r="H302" s="353">
        <f>H262</f>
        <v>0.0</v>
      </c>
      <c r="I302" s="30"/>
      <c r="J302" s="353">
        <f>J262</f>
        <v>0.0</v>
      </c>
      <c r="K302" s="38"/>
      <c r="L302" s="5"/>
    </row>
    <row hidden="1" r="303" customHeight="1" ht="17.0" outlineLevel="1">
      <c r="A303" s="5"/>
      <c r="B303" s="98"/>
      <c r="C303" s="354" t="s">
        <v>220</v>
      </c>
      <c r="D303" s="353">
        <f>D269</f>
        <v>0.0</v>
      </c>
      <c r="E303" s="30"/>
      <c r="F303" s="353">
        <f>F269</f>
        <v>0.0</v>
      </c>
      <c r="G303" s="30"/>
      <c r="H303" s="353">
        <f>H269</f>
        <v>0.0</v>
      </c>
      <c r="I303" s="30"/>
      <c r="J303" s="353">
        <f>J269</f>
        <v>0.0</v>
      </c>
      <c r="K303" s="38"/>
      <c r="L303" s="5"/>
    </row>
    <row hidden="1" r="304" customHeight="1" ht="17.0" outlineLevel="1">
      <c r="A304" s="5"/>
      <c r="B304" s="98"/>
      <c r="C304" s="354" t="s">
        <v>221</v>
      </c>
      <c r="D304" s="353">
        <f>D268</f>
        <v>0.0</v>
      </c>
      <c r="E304" s="30"/>
      <c r="F304" s="353">
        <f>F268</f>
        <v>0.0</v>
      </c>
      <c r="G304" s="30"/>
      <c r="H304" s="353">
        <f>H268</f>
        <v>0.0</v>
      </c>
      <c r="I304" s="30"/>
      <c r="J304" s="353">
        <f>J268</f>
        <v>0.0</v>
      </c>
      <c r="K304" s="38"/>
      <c r="L304" s="5"/>
    </row>
    <row hidden="1" r="305" customHeight="1" ht="17.0" outlineLevel="1">
      <c r="A305" s="5"/>
      <c r="B305" s="98"/>
      <c r="C305" s="354" t="s">
        <v>222</v>
      </c>
      <c r="D305" s="353">
        <v>0.0</v>
      </c>
      <c r="E305" s="30"/>
      <c r="F305" s="353">
        <v>0.0</v>
      </c>
      <c r="G305" s="30"/>
      <c r="H305" s="353">
        <v>0.0</v>
      </c>
      <c r="I305" s="30"/>
      <c r="J305" s="353">
        <v>0.0</v>
      </c>
      <c r="K305" s="38"/>
      <c r="L305" s="5"/>
    </row>
    <row hidden="1" r="306" customHeight="1" ht="17.0" outlineLevel="1">
      <c r="A306" s="5"/>
      <c r="B306" s="98"/>
      <c r="C306" s="356" t="s">
        <v>223</v>
      </c>
      <c r="D306" s="353">
        <v>0.0</v>
      </c>
      <c r="E306" s="30"/>
      <c r="F306" s="353">
        <v>0.0</v>
      </c>
      <c r="G306" s="30"/>
      <c r="H306" s="353">
        <v>0.0</v>
      </c>
      <c r="I306" s="30"/>
      <c r="J306" s="353">
        <v>0.0</v>
      </c>
      <c r="K306" s="38"/>
      <c r="L306" s="5"/>
    </row>
    <row hidden="1" r="307" customHeight="1" ht="17.0" outlineLevel="1">
      <c r="A307" s="5"/>
      <c r="B307" s="98"/>
      <c r="C307" s="356" t="s">
        <v>223</v>
      </c>
      <c r="D307" s="353">
        <v>0.0</v>
      </c>
      <c r="E307" s="30"/>
      <c r="F307" s="353">
        <v>0.0</v>
      </c>
      <c r="G307" s="30"/>
      <c r="H307" s="353">
        <v>0.0</v>
      </c>
      <c r="I307" s="30"/>
      <c r="J307" s="353">
        <v>0.0</v>
      </c>
      <c r="K307" s="38"/>
      <c r="L307" s="5"/>
    </row>
    <row hidden="1" r="308" customHeight="1" ht="17.0" outlineLevel="1">
      <c r="A308" s="5"/>
      <c r="B308" s="98"/>
      <c r="C308" s="354" t="s">
        <v>224</v>
      </c>
      <c r="D308" s="353">
        <v>0.0</v>
      </c>
      <c r="E308" s="30"/>
      <c r="F308" s="353">
        <v>0.0</v>
      </c>
      <c r="G308" s="30"/>
      <c r="H308" s="353">
        <v>0.0</v>
      </c>
      <c r="I308" s="30"/>
      <c r="J308" s="353">
        <v>0.0</v>
      </c>
      <c r="K308" s="38"/>
      <c r="L308" s="5"/>
    </row>
    <row hidden="1" r="309" customHeight="1" ht="17.0" outlineLevel="1">
      <c r="A309" s="5"/>
      <c r="B309" s="98"/>
      <c r="C309" s="354" t="s">
        <v>225</v>
      </c>
      <c r="D309" s="359">
        <v>0.0</v>
      </c>
      <c r="E309" s="30"/>
      <c r="F309" s="359">
        <v>0.0</v>
      </c>
      <c r="G309" s="30"/>
      <c r="H309" s="359">
        <v>0.0</v>
      </c>
      <c r="I309" s="30"/>
      <c r="J309" s="359">
        <v>0.0</v>
      </c>
      <c r="K309" s="38"/>
      <c r="L309" s="5"/>
    </row>
    <row hidden="1" r="310" customHeight="1" ht="17.0" outlineLevel="1">
      <c r="A310" s="5"/>
      <c r="B310" s="98"/>
      <c r="C310" s="354"/>
      <c r="D310" s="30"/>
      <c r="E310" s="30"/>
      <c r="F310" s="30"/>
      <c r="G310" s="30"/>
      <c r="H310" s="30"/>
      <c r="I310" s="30"/>
      <c r="J310" s="30"/>
      <c r="K310" s="38"/>
      <c r="L310" s="5"/>
    </row>
    <row hidden="1" r="311" customHeight="1" ht="17.0" outlineLevel="1">
      <c r="A311" s="5"/>
      <c r="B311" s="98"/>
      <c r="C311" s="354" t="s">
        <v>226</v>
      </c>
      <c r="D311" s="363">
        <f>D299+SUM(D302:D309)</f>
        <v>0.0</v>
      </c>
      <c r="E311" s="354"/>
      <c r="F311" s="363">
        <f>F299+SUM(F302:F309)</f>
        <v>0.0</v>
      </c>
      <c r="G311" s="354"/>
      <c r="H311" s="363">
        <f>H299+SUM(H302:H309)</f>
        <v>0.0</v>
      </c>
      <c r="I311" s="354"/>
      <c r="J311" s="363">
        <f>J299+SUM(J302:J309)</f>
        <v>0.0</v>
      </c>
      <c r="K311" s="38"/>
      <c r="L311" s="5"/>
    </row>
    <row hidden="1" r="312" customHeight="1" ht="17.0" outlineLevel="1">
      <c r="A312" s="5"/>
      <c r="B312" s="98"/>
      <c r="C312" s="354"/>
      <c r="D312" s="30"/>
      <c r="E312" s="30"/>
      <c r="F312" s="30"/>
      <c r="G312" s="30"/>
      <c r="H312" s="30"/>
      <c r="I312" s="30"/>
      <c r="J312" s="30"/>
      <c r="K312" s="38"/>
      <c r="L312" s="5"/>
    </row>
    <row hidden="1" r="313" customHeight="1" ht="17.0" outlineLevel="1">
      <c r="A313" s="5"/>
      <c r="B313" s="98"/>
      <c r="C313" s="68" t="s">
        <v>375</v>
      </c>
      <c r="D313" s="353">
        <v>0.0</v>
      </c>
      <c r="E313" s="30"/>
      <c r="F313" s="353">
        <v>0.0</v>
      </c>
      <c r="G313" s="30"/>
      <c r="H313" s="353">
        <v>0.0</v>
      </c>
      <c r="I313" s="30"/>
      <c r="J313" s="353">
        <v>0.0</v>
      </c>
      <c r="K313" s="38"/>
      <c r="L313" s="5"/>
    </row>
    <row hidden="1" r="314" customHeight="1" ht="17.0" outlineLevel="1">
      <c r="A314" s="5"/>
      <c r="B314" s="98"/>
      <c r="C314" s="68" t="s">
        <v>227</v>
      </c>
      <c r="D314" s="308">
        <f>D313*D244</f>
        <v>0.0</v>
      </c>
      <c r="E314" s="30"/>
      <c r="F314" s="308">
        <f>F313*F244</f>
        <v>0.0</v>
      </c>
      <c r="G314" s="30"/>
      <c r="H314" s="308">
        <f>H313*H244</f>
        <v>0.0</v>
      </c>
      <c r="I314" s="30"/>
      <c r="J314" s="308">
        <f>J313*J244</f>
        <v>0.0</v>
      </c>
      <c r="K314" s="38"/>
      <c r="L314" s="5"/>
    </row>
    <row hidden="1" r="315" customHeight="1" ht="17.0" outlineLevel="1">
      <c r="A315" s="5"/>
      <c r="B315" s="98"/>
      <c r="C315" s="30"/>
      <c r="D315" s="30"/>
      <c r="E315" s="30"/>
      <c r="F315" s="30"/>
      <c r="G315" s="30"/>
      <c r="H315" s="30"/>
      <c r="I315" s="30"/>
      <c r="J315" s="30"/>
      <c r="K315" s="38"/>
      <c r="L315" s="5"/>
    </row>
    <row hidden="1" r="316" customHeight="1" ht="17.0" outlineLevel="1">
      <c r="A316" s="5"/>
      <c r="B316" s="98"/>
      <c r="C316" s="310" t="s">
        <v>232</v>
      </c>
      <c r="D316" s="366">
        <f>IFERROR(D311/D314,0)</f>
        <v>0.0</v>
      </c>
      <c r="E316" s="30"/>
      <c r="F316" s="366">
        <f>IFERROR(F311/F314,0)</f>
        <v>0.0</v>
      </c>
      <c r="G316" s="30"/>
      <c r="H316" s="366">
        <f>IFERROR(H311/H314,0)</f>
        <v>0.0</v>
      </c>
      <c r="I316" s="30"/>
      <c r="J316" s="366">
        <f>IFERROR(J311/J314,0)</f>
        <v>0.0</v>
      </c>
      <c r="K316" s="38"/>
      <c r="L316" s="5"/>
    </row>
    <row hidden="1" r="317" customHeight="1" ht="17.0" outlineLevel="1">
      <c r="A317" s="5"/>
      <c r="B317" s="727" t="s">
        <v>402</v>
      </c>
      <c r="C317" s="717"/>
      <c r="D317" s="717"/>
      <c r="E317" s="73"/>
      <c r="F317" s="73"/>
      <c r="G317" s="73"/>
      <c r="H317" s="73"/>
      <c r="I317" s="73"/>
      <c r="J317" s="73"/>
      <c r="K317" s="74"/>
      <c r="L317" s="5"/>
    </row>
    <row r="318" customHeight="1" ht="17.0" collapsed="1">
      <c r="B318" s="4"/>
      <c r="C318" s="4"/>
      <c r="D318" s="4"/>
      <c r="E318" s="6"/>
      <c r="F318" s="6"/>
      <c r="G318" s="6"/>
      <c r="H318" s="6"/>
      <c r="I318" s="6"/>
      <c r="J318" s="6"/>
      <c r="K318" s="6"/>
    </row>
    <row r="319" ht="17.0">
      <c r="A319" s="5"/>
      <c r="B319" s="267" t="s">
        <v>20</v>
      </c>
      <c r="C319" s="268"/>
      <c r="D319" s="268"/>
      <c r="E319" s="268"/>
      <c r="F319" s="268"/>
      <c r="G319" s="268"/>
      <c r="H319" s="268"/>
      <c r="I319" s="268"/>
      <c r="J319" s="268"/>
      <c r="K319" s="269"/>
      <c r="L319" s="5"/>
    </row>
    <row r="320" ht="17.0">
      <c r="B320" s="738" t="s">
        <v>383</v>
      </c>
      <c r="C320" s="274"/>
      <c r="D320" s="274"/>
      <c r="E320" s="274"/>
      <c r="F320" s="274"/>
      <c r="G320" s="274"/>
      <c r="H320" s="274"/>
      <c r="I320" s="274"/>
      <c r="J320" s="274"/>
      <c r="K320" s="739"/>
    </row>
    <row hidden="1" r="321" customHeight="1" ht="17.0" outlineLevel="1">
      <c r="A321" s="5"/>
      <c r="B321" s="278" t="s">
        <v>176</v>
      </c>
      <c r="C321" s="721" t="s">
        <v>385</v>
      </c>
      <c r="D321" s="280"/>
      <c r="E321" s="280"/>
      <c r="F321" s="280"/>
      <c r="G321" s="280"/>
      <c r="H321" s="280"/>
      <c r="I321" s="280"/>
      <c r="J321" s="280"/>
      <c r="K321" s="281"/>
      <c r="L321" s="5"/>
    </row>
    <row hidden="1" r="322" customHeight="1" ht="17.0" outlineLevel="1">
      <c r="A322" s="5"/>
      <c r="B322" s="282" t="s">
        <v>178</v>
      </c>
      <c r="C322" s="68"/>
      <c r="D322" s="283">
        <v>44926.0</v>
      </c>
      <c r="E322" s="284"/>
      <c r="F322" s="283">
        <f>EOMONTH(D322,F323)</f>
        <v>45291.0</v>
      </c>
      <c r="G322" s="284"/>
      <c r="H322" s="283">
        <f>EOMONTH(F322,H323)</f>
        <v>45657.0</v>
      </c>
      <c r="I322" s="284"/>
      <c r="J322" s="283">
        <f>EOMONTH(H322,J323)</f>
        <v>45747.0</v>
      </c>
      <c r="K322" s="38"/>
      <c r="L322" s="5"/>
    </row>
    <row hidden="1" r="323" customHeight="1" ht="17.0" outlineLevel="1">
      <c r="A323" s="5"/>
      <c r="B323" s="282" t="s">
        <v>180</v>
      </c>
      <c r="C323" s="68"/>
      <c r="D323" s="286">
        <v>12.0</v>
      </c>
      <c r="E323" s="287"/>
      <c r="F323" s="286">
        <v>12.0</v>
      </c>
      <c r="G323" s="287"/>
      <c r="H323" s="286">
        <v>12.0</v>
      </c>
      <c r="I323" s="287"/>
      <c r="J323" s="286">
        <v>3.0</v>
      </c>
      <c r="K323" s="288"/>
      <c r="L323" s="5"/>
    </row>
    <row hidden="1" r="324" customHeight="1" ht="17.0" outlineLevel="1">
      <c r="A324" s="5"/>
      <c r="B324" s="282" t="s">
        <v>182</v>
      </c>
      <c r="C324" s="68"/>
      <c r="D324" s="289" t="s">
        <v>183</v>
      </c>
      <c r="E324" s="290"/>
      <c r="F324" s="289" t="s">
        <v>183</v>
      </c>
      <c r="G324" s="290"/>
      <c r="H324" s="289"/>
      <c r="I324" s="290"/>
      <c r="J324" s="289" t="s">
        <v>184</v>
      </c>
      <c r="K324" s="288"/>
      <c r="L324" s="5"/>
    </row>
    <row hidden="1" r="325" customHeight="1" ht="17.0" outlineLevel="1">
      <c r="A325" s="5"/>
      <c r="B325" s="282" t="s">
        <v>186</v>
      </c>
      <c r="C325" s="68"/>
      <c r="D325" s="289"/>
      <c r="E325" s="290"/>
      <c r="F325" s="289"/>
      <c r="G325" s="290"/>
      <c r="H325" s="289"/>
      <c r="I325" s="290"/>
      <c r="J325" s="289"/>
      <c r="K325" s="288"/>
      <c r="L325" s="5"/>
    </row>
    <row hidden="1" r="326" customHeight="1" ht="17.0" outlineLevel="1">
      <c r="A326" s="5"/>
      <c r="B326" s="293" t="s">
        <v>187</v>
      </c>
      <c r="C326" s="294"/>
      <c r="D326" s="702"/>
      <c r="E326" s="703"/>
      <c r="F326" s="702"/>
      <c r="G326" s="703"/>
      <c r="H326" s="702"/>
      <c r="I326" s="703"/>
      <c r="J326" s="296">
        <f>(J327/J323)*12</f>
        <v>0.0</v>
      </c>
      <c r="K326" s="297"/>
      <c r="L326" s="5"/>
    </row>
    <row hidden="1" r="327" customHeight="1" ht="17.0" outlineLevel="1">
      <c r="A327" s="5"/>
      <c r="B327" s="45" t="s">
        <v>188</v>
      </c>
      <c r="C327" s="68" t="s">
        <v>189</v>
      </c>
      <c r="D327" s="301">
        <v>0.0</v>
      </c>
      <c r="E327" s="704">
        <f t="shared" ref="E327:E338" si="388">IF(D$336=0,0,D327/D$336)</f>
        <v>0.0</v>
      </c>
      <c r="F327" s="301">
        <v>0.0</v>
      </c>
      <c r="G327" s="704">
        <f t="shared" ref="G327:G338" si="389">IF(F$336=0,0,F327/F$336)</f>
        <v>0.0</v>
      </c>
      <c r="H327" s="301">
        <v>0.0</v>
      </c>
      <c r="I327" s="704">
        <f t="shared" ref="I327:I338" si="390">IF(H$336=0,0,H327/H$336)</f>
        <v>0.0</v>
      </c>
      <c r="J327" s="301">
        <v>0.0</v>
      </c>
      <c r="K327" s="704">
        <f t="shared" ref="K327:K338" si="391">IF(J$336=0,0,J327/J$336)</f>
        <v>0.0</v>
      </c>
      <c r="L327" s="5"/>
    </row>
    <row hidden="1" r="328" customHeight="1" ht="17.0" outlineLevel="1">
      <c r="A328" s="5"/>
      <c r="B328" s="45" t="s">
        <v>191</v>
      </c>
      <c r="C328" s="68" t="s">
        <v>189</v>
      </c>
      <c r="D328" s="306">
        <v>0.0</v>
      </c>
      <c r="E328" s="704">
        <f t="shared" si="388"/>
        <v>0.0</v>
      </c>
      <c r="F328" s="306">
        <v>0.0</v>
      </c>
      <c r="G328" s="704">
        <f t="shared" si="389"/>
        <v>0.0</v>
      </c>
      <c r="H328" s="306">
        <v>0.0</v>
      </c>
      <c r="I328" s="704">
        <f t="shared" si="390"/>
        <v>0.0</v>
      </c>
      <c r="J328" s="306">
        <v>0.0</v>
      </c>
      <c r="K328" s="704">
        <f t="shared" si="391"/>
        <v>0.0</v>
      </c>
      <c r="L328" s="5"/>
    </row>
    <row hidden="1" r="329" customHeight="1" ht="17.0" outlineLevel="1">
      <c r="A329" s="5"/>
      <c r="B329" s="45" t="s">
        <v>193</v>
      </c>
      <c r="C329" s="68" t="s">
        <v>189</v>
      </c>
      <c r="D329" s="308">
        <f>D327-D328</f>
        <v>0.0</v>
      </c>
      <c r="E329" s="704">
        <f t="shared" si="388"/>
        <v>0.0</v>
      </c>
      <c r="F329" s="308">
        <f>F327-F328</f>
        <v>0.0</v>
      </c>
      <c r="G329" s="704">
        <f t="shared" si="389"/>
        <v>0.0</v>
      </c>
      <c r="H329" s="308">
        <f>H327-H328</f>
        <v>0.0</v>
      </c>
      <c r="I329" s="704">
        <f t="shared" si="390"/>
        <v>0.0</v>
      </c>
      <c r="J329" s="308">
        <f>J327-J328</f>
        <v>0.0</v>
      </c>
      <c r="K329" s="704">
        <f t="shared" si="391"/>
        <v>0.0</v>
      </c>
      <c r="L329" s="5"/>
    </row>
    <row hidden="1" r="330" customHeight="1" ht="17.0" outlineLevel="1">
      <c r="A330" s="5"/>
      <c r="B330" s="45" t="s">
        <v>188</v>
      </c>
      <c r="C330" s="68" t="s">
        <v>386</v>
      </c>
      <c r="D330" s="301">
        <v>0.0</v>
      </c>
      <c r="E330" s="704">
        <f t="shared" si="388"/>
        <v>0.0</v>
      </c>
      <c r="F330" s="301">
        <v>0.0</v>
      </c>
      <c r="G330" s="704">
        <f t="shared" si="389"/>
        <v>0.0</v>
      </c>
      <c r="H330" s="301">
        <v>0.0</v>
      </c>
      <c r="I330" s="704">
        <f t="shared" si="390"/>
        <v>0.0</v>
      </c>
      <c r="J330" s="301">
        <v>0.0</v>
      </c>
      <c r="K330" s="704">
        <f t="shared" si="391"/>
        <v>0.0</v>
      </c>
      <c r="L330" s="5"/>
    </row>
    <row hidden="1" r="331" customHeight="1" ht="17.0" outlineLevel="1">
      <c r="A331" s="5"/>
      <c r="B331" s="45" t="s">
        <v>191</v>
      </c>
      <c r="C331" s="68" t="s">
        <v>386</v>
      </c>
      <c r="D331" s="306">
        <v>0.0</v>
      </c>
      <c r="E331" s="704">
        <f t="shared" si="388"/>
        <v>0.0</v>
      </c>
      <c r="F331" s="306">
        <v>0.0</v>
      </c>
      <c r="G331" s="704">
        <f t="shared" si="389"/>
        <v>0.0</v>
      </c>
      <c r="H331" s="306">
        <v>0.0</v>
      </c>
      <c r="I331" s="704">
        <f t="shared" si="390"/>
        <v>0.0</v>
      </c>
      <c r="J331" s="306">
        <v>0.0</v>
      </c>
      <c r="K331" s="704">
        <f t="shared" si="391"/>
        <v>0.0</v>
      </c>
      <c r="L331" s="5"/>
    </row>
    <row hidden="1" r="332" customHeight="1" ht="17.0" outlineLevel="1">
      <c r="A332" s="5"/>
      <c r="B332" s="45" t="s">
        <v>193</v>
      </c>
      <c r="C332" s="68" t="s">
        <v>386</v>
      </c>
      <c r="D332" s="308">
        <f>D330-D331</f>
        <v>0.0</v>
      </c>
      <c r="E332" s="704">
        <f t="shared" si="388"/>
        <v>0.0</v>
      </c>
      <c r="F332" s="308">
        <f>F330-F331</f>
        <v>0.0</v>
      </c>
      <c r="G332" s="704">
        <f t="shared" si="389"/>
        <v>0.0</v>
      </c>
      <c r="H332" s="308">
        <f>H330-H331</f>
        <v>0.0</v>
      </c>
      <c r="I332" s="704">
        <f t="shared" si="390"/>
        <v>0.0</v>
      </c>
      <c r="J332" s="308">
        <f>J330-J331</f>
        <v>0.0</v>
      </c>
      <c r="K332" s="704">
        <f t="shared" si="391"/>
        <v>0.0</v>
      </c>
      <c r="L332" s="5"/>
    </row>
    <row hidden="1" r="333" customHeight="1" ht="17.0" outlineLevel="1">
      <c r="A333" s="5"/>
      <c r="B333" s="45" t="s">
        <v>188</v>
      </c>
      <c r="C333" s="68" t="s">
        <v>387</v>
      </c>
      <c r="D333" s="301">
        <v>0.0</v>
      </c>
      <c r="E333" s="704">
        <f t="shared" si="388"/>
        <v>0.0</v>
      </c>
      <c r="F333" s="301">
        <v>0.0</v>
      </c>
      <c r="G333" s="704">
        <f t="shared" si="389"/>
        <v>0.0</v>
      </c>
      <c r="H333" s="301">
        <v>0.0</v>
      </c>
      <c r="I333" s="704">
        <f t="shared" si="390"/>
        <v>0.0</v>
      </c>
      <c r="J333" s="301">
        <v>0.0</v>
      </c>
      <c r="K333" s="704">
        <f t="shared" si="391"/>
        <v>0.0</v>
      </c>
      <c r="L333" s="5"/>
    </row>
    <row hidden="1" r="334" customHeight="1" ht="17.0" outlineLevel="1">
      <c r="A334" s="5"/>
      <c r="B334" s="45" t="s">
        <v>191</v>
      </c>
      <c r="C334" s="68" t="s">
        <v>387</v>
      </c>
      <c r="D334" s="306">
        <v>0.0</v>
      </c>
      <c r="E334" s="704">
        <f t="shared" si="388"/>
        <v>0.0</v>
      </c>
      <c r="F334" s="306">
        <v>0.0</v>
      </c>
      <c r="G334" s="704">
        <f t="shared" si="389"/>
        <v>0.0</v>
      </c>
      <c r="H334" s="306">
        <v>0.0</v>
      </c>
      <c r="I334" s="704">
        <f t="shared" si="390"/>
        <v>0.0</v>
      </c>
      <c r="J334" s="306">
        <v>0.0</v>
      </c>
      <c r="K334" s="704">
        <f t="shared" si="391"/>
        <v>0.0</v>
      </c>
      <c r="L334" s="5"/>
    </row>
    <row hidden="1" r="335" customHeight="1" ht="17.0" outlineLevel="1">
      <c r="A335" s="5"/>
      <c r="B335" s="45" t="s">
        <v>193</v>
      </c>
      <c r="C335" s="68" t="s">
        <v>387</v>
      </c>
      <c r="D335" s="308">
        <f>D333-D334</f>
        <v>0.0</v>
      </c>
      <c r="E335" s="704">
        <f t="shared" si="388"/>
        <v>0.0</v>
      </c>
      <c r="F335" s="308">
        <f>F333-F334</f>
        <v>0.0</v>
      </c>
      <c r="G335" s="704">
        <f t="shared" si="389"/>
        <v>0.0</v>
      </c>
      <c r="H335" s="308">
        <f>H333-H334</f>
        <v>0.0</v>
      </c>
      <c r="I335" s="704">
        <f t="shared" si="390"/>
        <v>0.0</v>
      </c>
      <c r="J335" s="308">
        <f>J333-J334</f>
        <v>0.0</v>
      </c>
      <c r="K335" s="704">
        <f t="shared" si="391"/>
        <v>0.0</v>
      </c>
      <c r="L335" s="5"/>
    </row>
    <row hidden="1" r="336" customHeight="1" ht="17.0" outlineLevel="1">
      <c r="A336" s="5"/>
      <c r="B336" s="45" t="s">
        <v>388</v>
      </c>
      <c r="C336" s="310" t="s">
        <v>195</v>
      </c>
      <c r="D336" s="313">
        <f t="shared" ref="D336:D337" si="404">D327+D330+D333</f>
        <v>0.0</v>
      </c>
      <c r="E336" s="704">
        <f t="shared" si="388"/>
        <v>0.0</v>
      </c>
      <c r="F336" s="313">
        <f t="shared" ref="F336:F337" si="405">F327+F330+F333</f>
        <v>0.0</v>
      </c>
      <c r="G336" s="704">
        <f t="shared" si="389"/>
        <v>0.0</v>
      </c>
      <c r="H336" s="313">
        <f t="shared" ref="H336:H337" si="406">H327+H330+H333</f>
        <v>0.0</v>
      </c>
      <c r="I336" s="704">
        <f t="shared" si="390"/>
        <v>0.0</v>
      </c>
      <c r="J336" s="313">
        <f t="shared" ref="J336:J337" si="407">J327+J330+J333</f>
        <v>0.0</v>
      </c>
      <c r="K336" s="704">
        <f t="shared" si="391"/>
        <v>0.0</v>
      </c>
      <c r="L336" s="5"/>
    </row>
    <row hidden="1" r="337" customHeight="1" ht="17.0" outlineLevel="1">
      <c r="A337" s="5"/>
      <c r="B337" s="98"/>
      <c r="C337" s="310" t="s">
        <v>196</v>
      </c>
      <c r="D337" s="315">
        <f t="shared" si="404"/>
        <v>0.0</v>
      </c>
      <c r="E337" s="704">
        <f t="shared" si="388"/>
        <v>0.0</v>
      </c>
      <c r="F337" s="315">
        <f t="shared" si="405"/>
        <v>0.0</v>
      </c>
      <c r="G337" s="704">
        <f t="shared" si="389"/>
        <v>0.0</v>
      </c>
      <c r="H337" s="315">
        <f t="shared" si="406"/>
        <v>0.0</v>
      </c>
      <c r="I337" s="704">
        <f t="shared" si="390"/>
        <v>0.0</v>
      </c>
      <c r="J337" s="315">
        <f t="shared" si="407"/>
        <v>0.0</v>
      </c>
      <c r="K337" s="704">
        <f t="shared" si="391"/>
        <v>0.0</v>
      </c>
      <c r="L337" s="5"/>
    </row>
    <row hidden="1" r="338" customHeight="1" ht="17.0" outlineLevel="1">
      <c r="A338" s="5"/>
      <c r="B338" s="98"/>
      <c r="C338" s="310" t="s">
        <v>197</v>
      </c>
      <c r="D338" s="317">
        <f>D336-D337</f>
        <v>0.0</v>
      </c>
      <c r="E338" s="704">
        <f t="shared" si="388"/>
        <v>0.0</v>
      </c>
      <c r="F338" s="317">
        <f>F336-F337</f>
        <v>0.0</v>
      </c>
      <c r="G338" s="704">
        <f t="shared" si="389"/>
        <v>0.0</v>
      </c>
      <c r="H338" s="317">
        <f>H336-H337</f>
        <v>0.0</v>
      </c>
      <c r="I338" s="704">
        <f t="shared" si="390"/>
        <v>0.0</v>
      </c>
      <c r="J338" s="317">
        <f>J336-J337</f>
        <v>0.0</v>
      </c>
      <c r="K338" s="704">
        <f t="shared" si="391"/>
        <v>0.0</v>
      </c>
      <c r="L338" s="5"/>
    </row>
    <row hidden="1" r="339" customHeight="1" ht="17.0" outlineLevel="1">
      <c r="A339" s="5"/>
      <c r="B339" s="98"/>
      <c r="C339" s="310"/>
      <c r="D339" s="705"/>
      <c r="E339" s="706"/>
      <c r="F339" s="705"/>
      <c r="G339" s="706"/>
      <c r="H339" s="705"/>
      <c r="I339" s="706"/>
      <c r="J339" s="705"/>
      <c r="K339" s="706"/>
      <c r="L339" s="5"/>
    </row>
    <row hidden="1" r="340" customHeight="1" ht="17.0" outlineLevel="1">
      <c r="A340" s="5"/>
      <c r="B340" s="98"/>
      <c r="C340" s="310" t="s">
        <v>198</v>
      </c>
      <c r="D340" s="707"/>
      <c r="E340" s="704"/>
      <c r="F340" s="707"/>
      <c r="G340" s="704"/>
      <c r="H340" s="707"/>
      <c r="I340" s="704"/>
      <c r="J340" s="707"/>
      <c r="K340" s="706"/>
      <c r="L340" s="5"/>
    </row>
    <row hidden="1" r="341" customHeight="1" ht="17.0" outlineLevel="1">
      <c r="A341" s="5"/>
      <c r="B341" s="98"/>
      <c r="C341" s="68" t="s">
        <v>199</v>
      </c>
      <c r="D341" s="301">
        <v>0.0</v>
      </c>
      <c r="E341" s="704">
        <f t="shared" ref="E341:E365" si="412">IF(D$336=0,0,D341/D$336)</f>
        <v>0.0</v>
      </c>
      <c r="F341" s="301">
        <v>0.0</v>
      </c>
      <c r="G341" s="704">
        <f t="shared" ref="G341:G365" si="413">IF(F$336=0,0,F341/F$336)</f>
        <v>0.0</v>
      </c>
      <c r="H341" s="301">
        <v>0.0</v>
      </c>
      <c r="I341" s="704">
        <f t="shared" ref="I341:I365" si="414">IF(H$336=0,0,H341/H$336)</f>
        <v>0.0</v>
      </c>
      <c r="J341" s="301">
        <v>0.0</v>
      </c>
      <c r="K341" s="704">
        <f t="shared" ref="K341:K365" si="415">IF(J$336=0,0,J341/J$336)</f>
        <v>0.0</v>
      </c>
      <c r="L341" s="5"/>
    </row>
    <row hidden="1" r="342" customHeight="1" ht="17.0" outlineLevel="1">
      <c r="A342" s="5"/>
      <c r="B342" s="98"/>
      <c r="C342" s="68" t="s">
        <v>200</v>
      </c>
      <c r="D342" s="326">
        <v>0.0</v>
      </c>
      <c r="E342" s="704">
        <f t="shared" si="412"/>
        <v>0.0</v>
      </c>
      <c r="F342" s="326">
        <v>0.0</v>
      </c>
      <c r="G342" s="704">
        <f t="shared" si="413"/>
        <v>0.0</v>
      </c>
      <c r="H342" s="326">
        <v>0.0</v>
      </c>
      <c r="I342" s="704">
        <f t="shared" si="414"/>
        <v>0.0</v>
      </c>
      <c r="J342" s="326">
        <v>0.0</v>
      </c>
      <c r="K342" s="704">
        <f t="shared" si="415"/>
        <v>0.0</v>
      </c>
      <c r="L342" s="5"/>
    </row>
    <row hidden="1" r="343" customHeight="1" ht="17.0" outlineLevel="1">
      <c r="A343" s="5"/>
      <c r="B343" s="98"/>
      <c r="C343" s="68" t="s">
        <v>201</v>
      </c>
      <c r="D343" s="326">
        <v>0.0</v>
      </c>
      <c r="E343" s="704">
        <f t="shared" si="412"/>
        <v>0.0</v>
      </c>
      <c r="F343" s="326">
        <v>0.0</v>
      </c>
      <c r="G343" s="704">
        <f t="shared" si="413"/>
        <v>0.0</v>
      </c>
      <c r="H343" s="326">
        <v>0.0</v>
      </c>
      <c r="I343" s="704">
        <f t="shared" si="414"/>
        <v>0.0</v>
      </c>
      <c r="J343" s="326">
        <v>0.0</v>
      </c>
      <c r="K343" s="704">
        <f t="shared" si="415"/>
        <v>0.0</v>
      </c>
      <c r="L343" s="5"/>
    </row>
    <row hidden="1" r="344" customHeight="1" ht="17.0" outlineLevel="1">
      <c r="A344" s="5"/>
      <c r="B344" s="98"/>
      <c r="C344" s="68" t="s">
        <v>202</v>
      </c>
      <c r="D344" s="326">
        <v>0.0</v>
      </c>
      <c r="E344" s="704">
        <f t="shared" si="412"/>
        <v>0.0</v>
      </c>
      <c r="F344" s="326">
        <v>0.0</v>
      </c>
      <c r="G344" s="704">
        <f t="shared" si="413"/>
        <v>0.0</v>
      </c>
      <c r="H344" s="326">
        <v>0.0</v>
      </c>
      <c r="I344" s="704">
        <f t="shared" si="414"/>
        <v>0.0</v>
      </c>
      <c r="J344" s="326">
        <v>0.0</v>
      </c>
      <c r="K344" s="704">
        <f t="shared" si="415"/>
        <v>0.0</v>
      </c>
      <c r="L344" s="5"/>
    </row>
    <row hidden="1" r="345" customHeight="1" ht="17.0" outlineLevel="1">
      <c r="A345" s="5"/>
      <c r="B345" s="98"/>
      <c r="C345" s="68" t="s">
        <v>203</v>
      </c>
      <c r="D345" s="326">
        <v>0.0</v>
      </c>
      <c r="E345" s="704">
        <f t="shared" si="412"/>
        <v>0.0</v>
      </c>
      <c r="F345" s="326">
        <v>0.0</v>
      </c>
      <c r="G345" s="704">
        <f t="shared" si="413"/>
        <v>0.0</v>
      </c>
      <c r="H345" s="326">
        <v>0.0</v>
      </c>
      <c r="I345" s="704">
        <f t="shared" si="414"/>
        <v>0.0</v>
      </c>
      <c r="J345" s="326">
        <v>0.0</v>
      </c>
      <c r="K345" s="704">
        <f t="shared" si="415"/>
        <v>0.0</v>
      </c>
      <c r="L345" s="5"/>
    </row>
    <row hidden="1" r="346" customHeight="1" ht="17.0" outlineLevel="1">
      <c r="A346" s="5"/>
      <c r="B346" s="98"/>
      <c r="C346" s="68" t="s">
        <v>204</v>
      </c>
      <c r="D346" s="326">
        <v>0.0</v>
      </c>
      <c r="E346" s="704">
        <f t="shared" si="412"/>
        <v>0.0</v>
      </c>
      <c r="F346" s="326">
        <v>0.0</v>
      </c>
      <c r="G346" s="704">
        <f t="shared" si="413"/>
        <v>0.0</v>
      </c>
      <c r="H346" s="326">
        <v>0.0</v>
      </c>
      <c r="I346" s="704">
        <f t="shared" si="414"/>
        <v>0.0</v>
      </c>
      <c r="J346" s="326">
        <v>0.0</v>
      </c>
      <c r="K346" s="704">
        <f t="shared" si="415"/>
        <v>0.0</v>
      </c>
      <c r="L346" s="5"/>
    </row>
    <row hidden="1" r="347" customHeight="1" ht="17.0" outlineLevel="1">
      <c r="A347" s="5"/>
      <c r="B347" s="98"/>
      <c r="C347" s="68" t="s">
        <v>205</v>
      </c>
      <c r="D347" s="326">
        <v>0.0</v>
      </c>
      <c r="E347" s="704">
        <f t="shared" si="412"/>
        <v>0.0</v>
      </c>
      <c r="F347" s="326">
        <v>0.0</v>
      </c>
      <c r="G347" s="704">
        <f t="shared" si="413"/>
        <v>0.0</v>
      </c>
      <c r="H347" s="326">
        <v>0.0</v>
      </c>
      <c r="I347" s="704">
        <f t="shared" si="414"/>
        <v>0.0</v>
      </c>
      <c r="J347" s="326">
        <v>0.0</v>
      </c>
      <c r="K347" s="704">
        <f t="shared" si="415"/>
        <v>0.0</v>
      </c>
      <c r="L347" s="5"/>
    </row>
    <row hidden="1" r="348" customHeight="1" ht="17.0" outlineLevel="1">
      <c r="A348" s="5"/>
      <c r="B348" s="98"/>
      <c r="C348" s="68" t="s">
        <v>206</v>
      </c>
      <c r="D348" s="326">
        <v>0.0</v>
      </c>
      <c r="E348" s="704">
        <f t="shared" si="412"/>
        <v>0.0</v>
      </c>
      <c r="F348" s="326">
        <v>0.0</v>
      </c>
      <c r="G348" s="704">
        <f t="shared" si="413"/>
        <v>0.0</v>
      </c>
      <c r="H348" s="326">
        <v>0.0</v>
      </c>
      <c r="I348" s="704">
        <f t="shared" si="414"/>
        <v>0.0</v>
      </c>
      <c r="J348" s="326">
        <v>0.0</v>
      </c>
      <c r="K348" s="704">
        <f t="shared" si="415"/>
        <v>0.0</v>
      </c>
      <c r="L348" s="5"/>
    </row>
    <row hidden="1" r="349" customHeight="1" ht="17.0" outlineLevel="1">
      <c r="A349" s="5"/>
      <c r="B349" s="98"/>
      <c r="C349" s="68" t="s">
        <v>207</v>
      </c>
      <c r="D349" s="326">
        <v>0.0</v>
      </c>
      <c r="E349" s="704">
        <f t="shared" si="412"/>
        <v>0.0</v>
      </c>
      <c r="F349" s="326">
        <v>0.0</v>
      </c>
      <c r="G349" s="704">
        <f t="shared" si="413"/>
        <v>0.0</v>
      </c>
      <c r="H349" s="326">
        <v>0.0</v>
      </c>
      <c r="I349" s="704">
        <f t="shared" si="414"/>
        <v>0.0</v>
      </c>
      <c r="J349" s="326">
        <v>0.0</v>
      </c>
      <c r="K349" s="704">
        <f t="shared" si="415"/>
        <v>0.0</v>
      </c>
      <c r="L349" s="5"/>
    </row>
    <row hidden="1" r="350" customHeight="1" ht="17.0" outlineLevel="1">
      <c r="A350" s="5"/>
      <c r="B350" s="98"/>
      <c r="C350" s="68" t="s">
        <v>389</v>
      </c>
      <c r="D350" s="326">
        <v>0.0</v>
      </c>
      <c r="E350" s="704">
        <f t="shared" si="412"/>
        <v>0.0</v>
      </c>
      <c r="F350" s="326">
        <v>0.0</v>
      </c>
      <c r="G350" s="704">
        <f t="shared" si="413"/>
        <v>0.0</v>
      </c>
      <c r="H350" s="326">
        <v>0.0</v>
      </c>
      <c r="I350" s="704">
        <f t="shared" si="414"/>
        <v>0.0</v>
      </c>
      <c r="J350" s="326">
        <v>0.0</v>
      </c>
      <c r="K350" s="704">
        <f t="shared" si="415"/>
        <v>0.0</v>
      </c>
      <c r="L350" s="5"/>
    </row>
    <row hidden="1" r="351" customHeight="1" ht="17.0" outlineLevel="1">
      <c r="A351" s="5"/>
      <c r="B351" s="98"/>
      <c r="C351" s="68" t="s">
        <v>390</v>
      </c>
      <c r="D351" s="326">
        <v>0.0</v>
      </c>
      <c r="E351" s="704">
        <f t="shared" si="412"/>
        <v>0.0</v>
      </c>
      <c r="F351" s="326">
        <v>0.0</v>
      </c>
      <c r="G351" s="704">
        <f t="shared" si="413"/>
        <v>0.0</v>
      </c>
      <c r="H351" s="326">
        <v>0.0</v>
      </c>
      <c r="I351" s="704">
        <f t="shared" si="414"/>
        <v>0.0</v>
      </c>
      <c r="J351" s="326">
        <v>0.0</v>
      </c>
      <c r="K351" s="704">
        <f t="shared" si="415"/>
        <v>0.0</v>
      </c>
      <c r="L351" s="5"/>
    </row>
    <row hidden="1" r="352" customHeight="1" ht="17.0" outlineLevel="1">
      <c r="A352" s="5"/>
      <c r="B352" s="98"/>
      <c r="C352" s="68" t="s">
        <v>391</v>
      </c>
      <c r="D352" s="326">
        <v>0.0</v>
      </c>
      <c r="E352" s="704">
        <f t="shared" si="412"/>
        <v>0.0</v>
      </c>
      <c r="F352" s="326">
        <v>0.0</v>
      </c>
      <c r="G352" s="704">
        <f t="shared" si="413"/>
        <v>0.0</v>
      </c>
      <c r="H352" s="326">
        <v>0.0</v>
      </c>
      <c r="I352" s="704">
        <f t="shared" si="414"/>
        <v>0.0</v>
      </c>
      <c r="J352" s="326">
        <v>0.0</v>
      </c>
      <c r="K352" s="704">
        <f t="shared" si="415"/>
        <v>0.0</v>
      </c>
      <c r="L352" s="5"/>
    </row>
    <row hidden="1" r="353" customHeight="1" ht="17.0" outlineLevel="1">
      <c r="A353" s="5"/>
      <c r="B353" s="98"/>
      <c r="C353" s="68" t="s">
        <v>392</v>
      </c>
      <c r="D353" s="326">
        <v>0.0</v>
      </c>
      <c r="E353" s="704">
        <f t="shared" si="412"/>
        <v>0.0</v>
      </c>
      <c r="F353" s="326">
        <v>0.0</v>
      </c>
      <c r="G353" s="704">
        <f t="shared" si="413"/>
        <v>0.0</v>
      </c>
      <c r="H353" s="326">
        <v>0.0</v>
      </c>
      <c r="I353" s="704">
        <f t="shared" si="414"/>
        <v>0.0</v>
      </c>
      <c r="J353" s="326">
        <v>0.0</v>
      </c>
      <c r="K353" s="704">
        <f t="shared" si="415"/>
        <v>0.0</v>
      </c>
      <c r="L353" s="5"/>
    </row>
    <row hidden="1" r="354" customHeight="1" ht="17.0" outlineLevel="1">
      <c r="A354" s="5"/>
      <c r="B354" s="98"/>
      <c r="C354" s="68" t="s">
        <v>393</v>
      </c>
      <c r="D354" s="326">
        <v>0.0</v>
      </c>
      <c r="E354" s="704">
        <f t="shared" si="412"/>
        <v>0.0</v>
      </c>
      <c r="F354" s="326">
        <v>0.0</v>
      </c>
      <c r="G354" s="704">
        <f t="shared" si="413"/>
        <v>0.0</v>
      </c>
      <c r="H354" s="326">
        <v>0.0</v>
      </c>
      <c r="I354" s="704">
        <f t="shared" si="414"/>
        <v>0.0</v>
      </c>
      <c r="J354" s="326">
        <v>0.0</v>
      </c>
      <c r="K354" s="704">
        <f t="shared" si="415"/>
        <v>0.0</v>
      </c>
      <c r="L354" s="5"/>
    </row>
    <row hidden="1" r="355" customHeight="1" ht="17.0" outlineLevel="1">
      <c r="A355" s="5"/>
      <c r="B355" s="98"/>
      <c r="C355" s="68" t="s">
        <v>394</v>
      </c>
      <c r="D355" s="326">
        <v>0.0</v>
      </c>
      <c r="E355" s="704">
        <f t="shared" si="412"/>
        <v>0.0</v>
      </c>
      <c r="F355" s="326">
        <v>0.0</v>
      </c>
      <c r="G355" s="704">
        <f t="shared" si="413"/>
        <v>0.0</v>
      </c>
      <c r="H355" s="326">
        <v>0.0</v>
      </c>
      <c r="I355" s="704">
        <f t="shared" si="414"/>
        <v>0.0</v>
      </c>
      <c r="J355" s="326">
        <v>0.0</v>
      </c>
      <c r="K355" s="704">
        <f t="shared" si="415"/>
        <v>0.0</v>
      </c>
      <c r="L355" s="5"/>
    </row>
    <row hidden="1" r="356" customHeight="1" ht="17.0" outlineLevel="1">
      <c r="A356" s="5"/>
      <c r="B356" s="98"/>
      <c r="C356" s="68" t="s">
        <v>395</v>
      </c>
      <c r="D356" s="326">
        <v>0.0</v>
      </c>
      <c r="E356" s="704">
        <f t="shared" si="412"/>
        <v>0.0</v>
      </c>
      <c r="F356" s="326">
        <v>0.0</v>
      </c>
      <c r="G356" s="704">
        <f t="shared" si="413"/>
        <v>0.0</v>
      </c>
      <c r="H356" s="326">
        <v>0.0</v>
      </c>
      <c r="I356" s="704">
        <f t="shared" si="414"/>
        <v>0.0</v>
      </c>
      <c r="J356" s="326">
        <v>0.0</v>
      </c>
      <c r="K356" s="704">
        <f t="shared" si="415"/>
        <v>0.0</v>
      </c>
      <c r="L356" s="5"/>
    </row>
    <row hidden="1" r="357" customHeight="1" ht="17.0" outlineLevel="1">
      <c r="A357" s="5"/>
      <c r="B357" s="98"/>
      <c r="C357" s="68" t="s">
        <v>396</v>
      </c>
      <c r="D357" s="326">
        <v>0.0</v>
      </c>
      <c r="E357" s="704">
        <f t="shared" si="412"/>
        <v>0.0</v>
      </c>
      <c r="F357" s="326">
        <v>0.0</v>
      </c>
      <c r="G357" s="704">
        <f t="shared" si="413"/>
        <v>0.0</v>
      </c>
      <c r="H357" s="326">
        <v>0.0</v>
      </c>
      <c r="I357" s="704">
        <f t="shared" si="414"/>
        <v>0.0</v>
      </c>
      <c r="J357" s="326">
        <v>0.0</v>
      </c>
      <c r="K357" s="704">
        <f t="shared" si="415"/>
        <v>0.0</v>
      </c>
      <c r="L357" s="5"/>
    </row>
    <row hidden="1" r="358" customHeight="1" ht="17.0" outlineLevel="1">
      <c r="A358" s="5"/>
      <c r="B358" s="98"/>
      <c r="C358" s="68" t="s">
        <v>397</v>
      </c>
      <c r="D358" s="326">
        <v>0.0</v>
      </c>
      <c r="E358" s="704">
        <f t="shared" si="412"/>
        <v>0.0</v>
      </c>
      <c r="F358" s="326">
        <v>0.0</v>
      </c>
      <c r="G358" s="704">
        <f t="shared" si="413"/>
        <v>0.0</v>
      </c>
      <c r="H358" s="326">
        <v>0.0</v>
      </c>
      <c r="I358" s="704">
        <f t="shared" si="414"/>
        <v>0.0</v>
      </c>
      <c r="J358" s="326">
        <v>0.0</v>
      </c>
      <c r="K358" s="704">
        <f t="shared" si="415"/>
        <v>0.0</v>
      </c>
      <c r="L358" s="5"/>
    </row>
    <row hidden="1" r="359" customHeight="1" ht="17.0" outlineLevel="1">
      <c r="A359" s="5"/>
      <c r="B359" s="98"/>
      <c r="C359" s="68" t="s">
        <v>398</v>
      </c>
      <c r="D359" s="326">
        <v>0.0</v>
      </c>
      <c r="E359" s="704">
        <f t="shared" si="412"/>
        <v>0.0</v>
      </c>
      <c r="F359" s="326">
        <v>0.0</v>
      </c>
      <c r="G359" s="704">
        <f t="shared" si="413"/>
        <v>0.0</v>
      </c>
      <c r="H359" s="326">
        <v>0.0</v>
      </c>
      <c r="I359" s="704">
        <f t="shared" si="414"/>
        <v>0.0</v>
      </c>
      <c r="J359" s="326">
        <v>0.0</v>
      </c>
      <c r="K359" s="704">
        <f t="shared" si="415"/>
        <v>0.0</v>
      </c>
      <c r="L359" s="5"/>
    </row>
    <row hidden="1" r="360" customHeight="1" ht="17.0" outlineLevel="1">
      <c r="A360" s="5"/>
      <c r="B360" s="98"/>
      <c r="C360" s="68" t="s">
        <v>208</v>
      </c>
      <c r="D360" s="326">
        <v>0.0</v>
      </c>
      <c r="E360" s="704">
        <f t="shared" si="412"/>
        <v>0.0</v>
      </c>
      <c r="F360" s="326">
        <v>0.0</v>
      </c>
      <c r="G360" s="704">
        <f t="shared" si="413"/>
        <v>0.0</v>
      </c>
      <c r="H360" s="326">
        <v>0.0</v>
      </c>
      <c r="I360" s="704">
        <f t="shared" si="414"/>
        <v>0.0</v>
      </c>
      <c r="J360" s="326">
        <v>0.0</v>
      </c>
      <c r="K360" s="704">
        <f t="shared" si="415"/>
        <v>0.0</v>
      </c>
      <c r="L360" s="5"/>
    </row>
    <row hidden="1" r="361" customHeight="1" ht="17.0" outlineLevel="1">
      <c r="A361" s="5"/>
      <c r="B361" s="98"/>
      <c r="C361" s="68" t="s">
        <v>208</v>
      </c>
      <c r="D361" s="326">
        <v>0.0</v>
      </c>
      <c r="E361" s="704">
        <f t="shared" si="412"/>
        <v>0.0</v>
      </c>
      <c r="F361" s="326">
        <v>0.0</v>
      </c>
      <c r="G361" s="704">
        <f t="shared" si="413"/>
        <v>0.0</v>
      </c>
      <c r="H361" s="326">
        <v>0.0</v>
      </c>
      <c r="I361" s="704">
        <f t="shared" si="414"/>
        <v>0.0</v>
      </c>
      <c r="J361" s="326">
        <v>0.0</v>
      </c>
      <c r="K361" s="704">
        <f t="shared" si="415"/>
        <v>0.0</v>
      </c>
      <c r="L361" s="5"/>
    </row>
    <row hidden="1" r="362" customHeight="1" ht="17.0" outlineLevel="1">
      <c r="A362" s="5"/>
      <c r="B362" s="98"/>
      <c r="C362" s="68" t="s">
        <v>208</v>
      </c>
      <c r="D362" s="326">
        <v>0.0</v>
      </c>
      <c r="E362" s="704">
        <f t="shared" si="412"/>
        <v>0.0</v>
      </c>
      <c r="F362" s="326">
        <v>0.0</v>
      </c>
      <c r="G362" s="704">
        <f t="shared" si="413"/>
        <v>0.0</v>
      </c>
      <c r="H362" s="326">
        <v>0.0</v>
      </c>
      <c r="I362" s="704">
        <f t="shared" si="414"/>
        <v>0.0</v>
      </c>
      <c r="J362" s="326">
        <v>0.0</v>
      </c>
      <c r="K362" s="704">
        <f t="shared" si="415"/>
        <v>0.0</v>
      </c>
      <c r="L362" s="5"/>
    </row>
    <row hidden="1" r="363" customHeight="1" ht="17.0" outlineLevel="1">
      <c r="A363" s="5"/>
      <c r="B363" s="45" t="s">
        <v>388</v>
      </c>
      <c r="C363" s="68" t="s">
        <v>208</v>
      </c>
      <c r="D363" s="326">
        <v>0.0</v>
      </c>
      <c r="E363" s="704">
        <f t="shared" si="412"/>
        <v>0.0</v>
      </c>
      <c r="F363" s="326">
        <v>0.0</v>
      </c>
      <c r="G363" s="704">
        <f t="shared" si="413"/>
        <v>0.0</v>
      </c>
      <c r="H363" s="326">
        <v>0.0</v>
      </c>
      <c r="I363" s="704">
        <f t="shared" si="414"/>
        <v>0.0</v>
      </c>
      <c r="J363" s="326">
        <v>0.0</v>
      </c>
      <c r="K363" s="704">
        <f t="shared" si="415"/>
        <v>0.0</v>
      </c>
      <c r="L363" s="5"/>
    </row>
    <row hidden="1" r="364" customHeight="1" ht="17.0" outlineLevel="1">
      <c r="A364" s="5"/>
      <c r="B364" s="98"/>
      <c r="C364" s="68" t="s">
        <v>208</v>
      </c>
      <c r="D364" s="306">
        <f>0-SUM(D341:D363)</f>
        <v>0.0</v>
      </c>
      <c r="E364" s="704">
        <f t="shared" si="412"/>
        <v>0.0</v>
      </c>
      <c r="F364" s="306">
        <f>0-SUM(F341:F363)</f>
        <v>0.0</v>
      </c>
      <c r="G364" s="704">
        <f t="shared" si="413"/>
        <v>0.0</v>
      </c>
      <c r="H364" s="306">
        <f>0-SUM(H341:H363)</f>
        <v>0.0</v>
      </c>
      <c r="I364" s="704">
        <f t="shared" si="414"/>
        <v>0.0</v>
      </c>
      <c r="J364" s="306">
        <f>0-SUM(J341:J363)</f>
        <v>0.0</v>
      </c>
      <c r="K364" s="704">
        <f t="shared" si="415"/>
        <v>0.0</v>
      </c>
      <c r="L364" s="5"/>
    </row>
    <row hidden="1" r="365" customHeight="1" ht="17.0" outlineLevel="1">
      <c r="A365" s="5"/>
      <c r="B365" s="98"/>
      <c r="C365" s="310" t="s">
        <v>209</v>
      </c>
      <c r="D365" s="330">
        <f>SUM(D341:D364)</f>
        <v>0.0</v>
      </c>
      <c r="E365" s="704">
        <f t="shared" si="412"/>
        <v>0.0</v>
      </c>
      <c r="F365" s="330">
        <f>SUM(F341:F364)</f>
        <v>0.0</v>
      </c>
      <c r="G365" s="704">
        <f t="shared" si="413"/>
        <v>0.0</v>
      </c>
      <c r="H365" s="330">
        <f>SUM(H341:H364)</f>
        <v>0.0</v>
      </c>
      <c r="I365" s="704">
        <f t="shared" si="414"/>
        <v>0.0</v>
      </c>
      <c r="J365" s="330">
        <f>SUM(J341:J364)</f>
        <v>0.0</v>
      </c>
      <c r="K365" s="704">
        <f t="shared" si="415"/>
        <v>0.0</v>
      </c>
      <c r="L365" s="5"/>
    </row>
    <row hidden="1" r="366" customHeight="1" ht="17.0" outlineLevel="1">
      <c r="A366" s="5"/>
      <c r="B366" s="98"/>
      <c r="C366" s="310"/>
      <c r="D366" s="708"/>
      <c r="E366" s="706"/>
      <c r="F366" s="708"/>
      <c r="G366" s="706"/>
      <c r="H366" s="708"/>
      <c r="I366" s="706"/>
      <c r="J366" s="708"/>
      <c r="K366" s="706"/>
      <c r="L366" s="5"/>
    </row>
    <row hidden="1" r="367" customHeight="1" ht="17.0" outlineLevel="1">
      <c r="A367" s="5"/>
      <c r="B367" s="98"/>
      <c r="C367" s="310" t="s">
        <v>210</v>
      </c>
      <c r="D367" s="330">
        <f>D338-D365</f>
        <v>0.0</v>
      </c>
      <c r="E367" s="704">
        <f>IF(D$336=0,0,D367/D$336)</f>
        <v>0.0</v>
      </c>
      <c r="F367" s="330">
        <f>F338-F365</f>
        <v>0.0</v>
      </c>
      <c r="G367" s="704">
        <f>IF(F$336=0,0,F367/F$336)</f>
        <v>0.0</v>
      </c>
      <c r="H367" s="330">
        <f>H338-H365</f>
        <v>0.0</v>
      </c>
      <c r="I367" s="704">
        <f>IF(H$336=0,0,H367/H$336)</f>
        <v>0.0</v>
      </c>
      <c r="J367" s="330">
        <f>J338-J365</f>
        <v>0.0</v>
      </c>
      <c r="K367" s="704">
        <f>IF(J$336=0,0,J367/J$336)</f>
        <v>0.0</v>
      </c>
      <c r="L367" s="5"/>
    </row>
    <row hidden="1" r="368" customHeight="1" ht="17.0" outlineLevel="1">
      <c r="A368" s="5"/>
      <c r="B368" s="98"/>
      <c r="C368" s="310"/>
      <c r="D368" s="709"/>
      <c r="E368" s="706"/>
      <c r="F368" s="709"/>
      <c r="G368" s="706"/>
      <c r="H368" s="709"/>
      <c r="I368" s="706"/>
      <c r="J368" s="709"/>
      <c r="K368" s="706"/>
      <c r="L368" s="5"/>
    </row>
    <row hidden="1" r="369" customHeight="1" ht="17.0" outlineLevel="1">
      <c r="A369" s="5"/>
      <c r="B369" s="98"/>
      <c r="C369" s="68" t="s">
        <v>211</v>
      </c>
      <c r="D369" s="301">
        <v>0.0</v>
      </c>
      <c r="E369" s="704">
        <f t="shared" ref="E369:E373" si="432">IF(D$336=0,0,D369/D$336)</f>
        <v>0.0</v>
      </c>
      <c r="F369" s="301">
        <v>0.0</v>
      </c>
      <c r="G369" s="704">
        <f t="shared" ref="G369:G373" si="433">IF(F$336=0,0,F369/F$336)</f>
        <v>0.0</v>
      </c>
      <c r="H369" s="301">
        <v>0.0</v>
      </c>
      <c r="I369" s="704">
        <f t="shared" ref="I369:I373" si="434">IF(H$336=0,0,H369/H$336)</f>
        <v>0.0</v>
      </c>
      <c r="J369" s="301">
        <v>0.0</v>
      </c>
      <c r="K369" s="704">
        <f t="shared" ref="K369:K373" si="435">IF(J$336=0,0,J369/J$336)</f>
        <v>0.0</v>
      </c>
      <c r="L369" s="5"/>
    </row>
    <row hidden="1" r="370" customHeight="1" ht="17.0" outlineLevel="1">
      <c r="A370" s="5"/>
      <c r="B370" s="98"/>
      <c r="C370" s="68" t="s">
        <v>211</v>
      </c>
      <c r="D370" s="326">
        <v>0.0</v>
      </c>
      <c r="E370" s="704">
        <f t="shared" si="432"/>
        <v>0.0</v>
      </c>
      <c r="F370" s="326">
        <v>0.0</v>
      </c>
      <c r="G370" s="704">
        <f t="shared" si="433"/>
        <v>0.0</v>
      </c>
      <c r="H370" s="326">
        <v>0.0</v>
      </c>
      <c r="I370" s="704">
        <f t="shared" si="434"/>
        <v>0.0</v>
      </c>
      <c r="J370" s="326">
        <v>0.0</v>
      </c>
      <c r="K370" s="704">
        <f t="shared" si="435"/>
        <v>0.0</v>
      </c>
      <c r="L370" s="5"/>
    </row>
    <row hidden="1" r="371" customHeight="1" ht="17.0" outlineLevel="1">
      <c r="A371" s="5"/>
      <c r="B371" s="98"/>
      <c r="C371" s="68" t="s">
        <v>213</v>
      </c>
      <c r="D371" s="326">
        <v>0.0</v>
      </c>
      <c r="E371" s="704">
        <f t="shared" si="432"/>
        <v>0.0</v>
      </c>
      <c r="F371" s="326">
        <v>0.0</v>
      </c>
      <c r="G371" s="704">
        <f t="shared" si="433"/>
        <v>0.0</v>
      </c>
      <c r="H371" s="326">
        <v>0.0</v>
      </c>
      <c r="I371" s="704">
        <f t="shared" si="434"/>
        <v>0.0</v>
      </c>
      <c r="J371" s="326">
        <v>0.0</v>
      </c>
      <c r="K371" s="704">
        <f t="shared" si="435"/>
        <v>0.0</v>
      </c>
      <c r="L371" s="5"/>
    </row>
    <row hidden="1" r="372" customHeight="1" ht="17.0" outlineLevel="1">
      <c r="A372" s="5"/>
      <c r="B372" s="98"/>
      <c r="C372" s="68" t="s">
        <v>213</v>
      </c>
      <c r="D372" s="306">
        <v>0.0</v>
      </c>
      <c r="E372" s="704">
        <f t="shared" si="432"/>
        <v>0.0</v>
      </c>
      <c r="F372" s="306">
        <v>0.0</v>
      </c>
      <c r="G372" s="704">
        <f t="shared" si="433"/>
        <v>0.0</v>
      </c>
      <c r="H372" s="306">
        <v>0.0</v>
      </c>
      <c r="I372" s="704">
        <f t="shared" si="434"/>
        <v>0.0</v>
      </c>
      <c r="J372" s="306">
        <v>0.0</v>
      </c>
      <c r="K372" s="704">
        <f t="shared" si="435"/>
        <v>0.0</v>
      </c>
      <c r="L372" s="5"/>
    </row>
    <row hidden="1" r="373" customHeight="1" ht="17.0" outlineLevel="1">
      <c r="A373" s="5"/>
      <c r="B373" s="98"/>
      <c r="C373" s="310" t="s">
        <v>214</v>
      </c>
      <c r="D373" s="330">
        <f>SUM(D369:D372)</f>
        <v>0.0</v>
      </c>
      <c r="E373" s="704">
        <f t="shared" si="432"/>
        <v>0.0</v>
      </c>
      <c r="F373" s="330">
        <f>SUM(F369:F372)</f>
        <v>0.0</v>
      </c>
      <c r="G373" s="704">
        <f t="shared" si="433"/>
        <v>0.0</v>
      </c>
      <c r="H373" s="330">
        <f>SUM(H369:H372)</f>
        <v>0.0</v>
      </c>
      <c r="I373" s="704">
        <f t="shared" si="434"/>
        <v>0.0</v>
      </c>
      <c r="J373" s="330">
        <f>SUM(J369:J372)</f>
        <v>0.0</v>
      </c>
      <c r="K373" s="704">
        <f t="shared" si="435"/>
        <v>0.0</v>
      </c>
      <c r="L373" s="5"/>
    </row>
    <row hidden="1" r="374" customHeight="1" ht="17.0" outlineLevel="1">
      <c r="A374" s="5"/>
      <c r="B374" s="98"/>
      <c r="C374" s="310"/>
      <c r="D374" s="708"/>
      <c r="E374" s="706"/>
      <c r="F374" s="708"/>
      <c r="G374" s="706"/>
      <c r="H374" s="708"/>
      <c r="I374" s="706"/>
      <c r="J374" s="708"/>
      <c r="K374" s="710"/>
      <c r="L374" s="5"/>
    </row>
    <row hidden="1" r="375" customHeight="1" ht="17.0" outlineLevel="1">
      <c r="A375" s="5"/>
      <c r="B375" s="98"/>
      <c r="C375" s="310" t="s">
        <v>215</v>
      </c>
      <c r="D375" s="330">
        <f>D338-D365+D373</f>
        <v>0.0</v>
      </c>
      <c r="E375" s="704">
        <f t="shared" ref="E375:E376" si="441">IF(D$336=0,0,D375/D$336)</f>
        <v>0.0</v>
      </c>
      <c r="F375" s="330">
        <f>F338-F365+F373</f>
        <v>0.0</v>
      </c>
      <c r="G375" s="704">
        <f t="shared" ref="G375:G376" si="443">IF(F$336=0,0,F375/F$336)</f>
        <v>0.0</v>
      </c>
      <c r="H375" s="330">
        <f>H338-H365+H373</f>
        <v>0.0</v>
      </c>
      <c r="I375" s="704">
        <f t="shared" ref="I375:I376" si="445">IF(H$336=0,0,H375/H$336)</f>
        <v>0.0</v>
      </c>
      <c r="J375" s="330">
        <f>J338-J365+J373</f>
        <v>0.0</v>
      </c>
      <c r="K375" s="704">
        <f t="shared" ref="K375:K376" si="447">IF(J$336=0,0,J375/J$336)</f>
        <v>0.0</v>
      </c>
      <c r="L375" s="5"/>
    </row>
    <row hidden="1" r="376" customHeight="1" ht="17.0" outlineLevel="1">
      <c r="A376" s="5"/>
      <c r="B376" s="98"/>
      <c r="C376" s="310" t="s">
        <v>216</v>
      </c>
      <c r="D376" s="330">
        <v>0.0</v>
      </c>
      <c r="E376" s="704">
        <f t="shared" si="441"/>
        <v>0.0</v>
      </c>
      <c r="F376" s="330">
        <v>0.0</v>
      </c>
      <c r="G376" s="704">
        <f t="shared" si="443"/>
        <v>0.0</v>
      </c>
      <c r="H376" s="330">
        <v>0.0</v>
      </c>
      <c r="I376" s="704">
        <f t="shared" si="445"/>
        <v>0.0</v>
      </c>
      <c r="J376" s="330">
        <v>0.0</v>
      </c>
      <c r="K376" s="704">
        <f t="shared" si="447"/>
        <v>0.0</v>
      </c>
      <c r="L376" s="5"/>
    </row>
    <row hidden="1" r="377" customHeight="1" ht="17.0" outlineLevel="1">
      <c r="A377" s="5"/>
      <c r="B377" s="98"/>
      <c r="C377" s="340"/>
      <c r="D377" s="711"/>
      <c r="E377" s="704"/>
      <c r="F377" s="711"/>
      <c r="G377" s="704"/>
      <c r="H377" s="711"/>
      <c r="I377" s="704"/>
      <c r="J377" s="711"/>
      <c r="K377" s="712"/>
      <c r="L377" s="5"/>
    </row>
    <row hidden="1" r="378" customHeight="1" ht="17.0" outlineLevel="1">
      <c r="A378" s="5"/>
      <c r="B378" s="98"/>
      <c r="C378" s="310" t="s">
        <v>217</v>
      </c>
      <c r="D378" s="330">
        <f>D375-D376</f>
        <v>0.0</v>
      </c>
      <c r="E378" s="704">
        <f>IF(D$336=0,0,D378/D$336)</f>
        <v>0.0</v>
      </c>
      <c r="F378" s="330">
        <f>F375-F376</f>
        <v>0.0</v>
      </c>
      <c r="G378" s="704">
        <f>IF(F$336=0,0,F378/F$336)</f>
        <v>0.0</v>
      </c>
      <c r="H378" s="330">
        <f>H375-H376</f>
        <v>0.0</v>
      </c>
      <c r="I378" s="704">
        <f>IF(H$336=0,0,H378/H$336)</f>
        <v>0.0</v>
      </c>
      <c r="J378" s="330">
        <f>J375-J376</f>
        <v>0.0</v>
      </c>
      <c r="K378" s="704">
        <f>IF(J$336=0,0,J378/J$336)</f>
        <v>0.0</v>
      </c>
      <c r="L378" s="5"/>
    </row>
    <row hidden="1" r="379" customHeight="1" ht="17.0" outlineLevel="1">
      <c r="A379" s="5"/>
      <c r="B379" s="98"/>
      <c r="C379" s="68"/>
      <c r="D379" s="346"/>
      <c r="E379" s="322"/>
      <c r="F379" s="346"/>
      <c r="G379" s="322"/>
      <c r="H379" s="346"/>
      <c r="I379" s="322"/>
      <c r="J379" s="346"/>
      <c r="K379" s="722"/>
      <c r="L379" s="5"/>
    </row>
    <row hidden="1" r="380" customHeight="1" ht="17.0" outlineLevel="1">
      <c r="A380" s="5"/>
      <c r="B380" s="723"/>
      <c r="C380" s="724" t="s">
        <v>218</v>
      </c>
      <c r="D380" s="725"/>
      <c r="E380" s="725"/>
      <c r="F380" s="725"/>
      <c r="G380" s="725"/>
      <c r="H380" s="725"/>
      <c r="I380" s="725"/>
      <c r="J380" s="725"/>
      <c r="K380" s="726"/>
      <c r="L380" s="5"/>
    </row>
    <row hidden="1" r="381" customHeight="1" ht="17.0" outlineLevel="1">
      <c r="A381" s="5"/>
      <c r="B381" s="98"/>
      <c r="C381" s="350" t="s">
        <v>219</v>
      </c>
      <c r="D381" s="353">
        <f>D341</f>
        <v>0.0</v>
      </c>
      <c r="E381" s="30"/>
      <c r="F381" s="353">
        <f>F341</f>
        <v>0.0</v>
      </c>
      <c r="G381" s="30"/>
      <c r="H381" s="353">
        <f>H341</f>
        <v>0.0</v>
      </c>
      <c r="I381" s="30"/>
      <c r="J381" s="353">
        <f>J341</f>
        <v>0.0</v>
      </c>
      <c r="K381" s="38"/>
      <c r="L381" s="5"/>
    </row>
    <row hidden="1" r="382" customHeight="1" ht="17.0" outlineLevel="1">
      <c r="A382" s="5"/>
      <c r="B382" s="98"/>
      <c r="C382" s="354" t="s">
        <v>220</v>
      </c>
      <c r="D382" s="353">
        <f>D348</f>
        <v>0.0</v>
      </c>
      <c r="E382" s="30"/>
      <c r="F382" s="353">
        <f>F348</f>
        <v>0.0</v>
      </c>
      <c r="G382" s="30"/>
      <c r="H382" s="353">
        <f>H348</f>
        <v>0.0</v>
      </c>
      <c r="I382" s="30"/>
      <c r="J382" s="353">
        <f>J348</f>
        <v>0.0</v>
      </c>
      <c r="K382" s="38"/>
      <c r="L382" s="5"/>
    </row>
    <row hidden="1" r="383" customHeight="1" ht="17.0" outlineLevel="1">
      <c r="A383" s="5"/>
      <c r="B383" s="98"/>
      <c r="C383" s="354" t="s">
        <v>221</v>
      </c>
      <c r="D383" s="353">
        <f>D347</f>
        <v>0.0</v>
      </c>
      <c r="E383" s="30"/>
      <c r="F383" s="353">
        <f>F347</f>
        <v>0.0</v>
      </c>
      <c r="G383" s="30"/>
      <c r="H383" s="353">
        <f>H347</f>
        <v>0.0</v>
      </c>
      <c r="I383" s="30"/>
      <c r="J383" s="353">
        <f>J347</f>
        <v>0.0</v>
      </c>
      <c r="K383" s="38"/>
      <c r="L383" s="5"/>
    </row>
    <row hidden="1" r="384" customHeight="1" ht="17.0" outlineLevel="1">
      <c r="A384" s="5"/>
      <c r="B384" s="98"/>
      <c r="C384" s="354" t="s">
        <v>222</v>
      </c>
      <c r="D384" s="353">
        <v>0.0</v>
      </c>
      <c r="E384" s="30"/>
      <c r="F384" s="353">
        <v>0.0</v>
      </c>
      <c r="G384" s="30"/>
      <c r="H384" s="353">
        <v>0.0</v>
      </c>
      <c r="I384" s="30"/>
      <c r="J384" s="353">
        <v>0.0</v>
      </c>
      <c r="K384" s="38"/>
      <c r="L384" s="5"/>
    </row>
    <row hidden="1" r="385" customHeight="1" ht="17.0" outlineLevel="1">
      <c r="A385" s="5"/>
      <c r="B385" s="98"/>
      <c r="C385" s="356" t="s">
        <v>223</v>
      </c>
      <c r="D385" s="353">
        <v>0.0</v>
      </c>
      <c r="E385" s="30"/>
      <c r="F385" s="353">
        <v>0.0</v>
      </c>
      <c r="G385" s="30"/>
      <c r="H385" s="353">
        <v>0.0</v>
      </c>
      <c r="I385" s="30"/>
      <c r="J385" s="353">
        <v>0.0</v>
      </c>
      <c r="K385" s="38"/>
      <c r="L385" s="5"/>
    </row>
    <row hidden="1" r="386" customHeight="1" ht="17.0" outlineLevel="1">
      <c r="A386" s="5"/>
      <c r="B386" s="98"/>
      <c r="C386" s="356" t="s">
        <v>223</v>
      </c>
      <c r="D386" s="353">
        <v>0.0</v>
      </c>
      <c r="E386" s="30"/>
      <c r="F386" s="353">
        <v>0.0</v>
      </c>
      <c r="G386" s="30"/>
      <c r="H386" s="353">
        <v>0.0</v>
      </c>
      <c r="I386" s="30"/>
      <c r="J386" s="353">
        <v>0.0</v>
      </c>
      <c r="K386" s="38"/>
      <c r="L386" s="5"/>
    </row>
    <row hidden="1" r="387" customHeight="1" ht="17.0" outlineLevel="1">
      <c r="A387" s="5"/>
      <c r="B387" s="98"/>
      <c r="C387" s="354" t="s">
        <v>224</v>
      </c>
      <c r="D387" s="353">
        <v>0.0</v>
      </c>
      <c r="E387" s="30"/>
      <c r="F387" s="353">
        <v>0.0</v>
      </c>
      <c r="G387" s="30"/>
      <c r="H387" s="353">
        <v>0.0</v>
      </c>
      <c r="I387" s="30"/>
      <c r="J387" s="353">
        <v>0.0</v>
      </c>
      <c r="K387" s="38"/>
      <c r="L387" s="5"/>
    </row>
    <row hidden="1" r="388" customHeight="1" ht="17.0" outlineLevel="1">
      <c r="A388" s="5"/>
      <c r="B388" s="98"/>
      <c r="C388" s="354" t="s">
        <v>225</v>
      </c>
      <c r="D388" s="359">
        <v>0.0</v>
      </c>
      <c r="E388" s="30"/>
      <c r="F388" s="359">
        <v>0.0</v>
      </c>
      <c r="G388" s="30"/>
      <c r="H388" s="359">
        <v>0.0</v>
      </c>
      <c r="I388" s="30"/>
      <c r="J388" s="359">
        <v>0.0</v>
      </c>
      <c r="K388" s="38"/>
      <c r="L388" s="5"/>
    </row>
    <row hidden="1" r="389" customHeight="1" ht="17.0" outlineLevel="1">
      <c r="A389" s="5"/>
      <c r="B389" s="98"/>
      <c r="C389" s="354"/>
      <c r="D389" s="30"/>
      <c r="E389" s="30"/>
      <c r="F389" s="30"/>
      <c r="G389" s="30"/>
      <c r="H389" s="30"/>
      <c r="I389" s="30"/>
      <c r="J389" s="30"/>
      <c r="K389" s="38"/>
      <c r="L389" s="5"/>
    </row>
    <row hidden="1" r="390" customHeight="1" ht="17.0" outlineLevel="1">
      <c r="A390" s="5"/>
      <c r="B390" s="98"/>
      <c r="C390" s="354" t="s">
        <v>226</v>
      </c>
      <c r="D390" s="363">
        <f>D378+SUM(D381:D388)</f>
        <v>0.0</v>
      </c>
      <c r="E390" s="354"/>
      <c r="F390" s="363">
        <f>F378+SUM(F381:F388)</f>
        <v>0.0</v>
      </c>
      <c r="G390" s="354"/>
      <c r="H390" s="363">
        <f>H378+SUM(H381:H388)</f>
        <v>0.0</v>
      </c>
      <c r="I390" s="354"/>
      <c r="J390" s="363">
        <f>J378+SUM(J381:J388)</f>
        <v>0.0</v>
      </c>
      <c r="K390" s="38"/>
      <c r="L390" s="5"/>
    </row>
    <row hidden="1" r="391" customHeight="1" ht="17.0" outlineLevel="1">
      <c r="A391" s="5"/>
      <c r="B391" s="98"/>
      <c r="C391" s="354"/>
      <c r="D391" s="30"/>
      <c r="E391" s="30"/>
      <c r="F391" s="30"/>
      <c r="G391" s="30"/>
      <c r="H391" s="30"/>
      <c r="I391" s="30"/>
      <c r="J391" s="30"/>
      <c r="K391" s="38"/>
      <c r="L391" s="5"/>
    </row>
    <row hidden="1" r="392" customHeight="1" ht="17.0" outlineLevel="1">
      <c r="A392" s="5"/>
      <c r="B392" s="98"/>
      <c r="C392" s="68" t="s">
        <v>375</v>
      </c>
      <c r="D392" s="353">
        <v>0.0</v>
      </c>
      <c r="E392" s="30"/>
      <c r="F392" s="353">
        <v>0.0</v>
      </c>
      <c r="G392" s="30"/>
      <c r="H392" s="353">
        <v>0.0</v>
      </c>
      <c r="I392" s="30"/>
      <c r="J392" s="353">
        <v>0.0</v>
      </c>
      <c r="K392" s="38"/>
      <c r="L392" s="5"/>
    </row>
    <row hidden="1" r="393" customHeight="1" ht="17.0" outlineLevel="1">
      <c r="A393" s="5"/>
      <c r="B393" s="98"/>
      <c r="C393" s="68" t="s">
        <v>227</v>
      </c>
      <c r="D393" s="308">
        <f>D392*D323</f>
        <v>0.0</v>
      </c>
      <c r="E393" s="30"/>
      <c r="F393" s="308">
        <f>F392*F323</f>
        <v>0.0</v>
      </c>
      <c r="G393" s="30"/>
      <c r="H393" s="308">
        <f>H392*H323</f>
        <v>0.0</v>
      </c>
      <c r="I393" s="30"/>
      <c r="J393" s="308">
        <f>J392*J323</f>
        <v>0.0</v>
      </c>
      <c r="K393" s="38"/>
      <c r="L393" s="5"/>
    </row>
    <row hidden="1" r="394" customHeight="1" ht="17.0" outlineLevel="1">
      <c r="A394" s="5"/>
      <c r="B394" s="98"/>
      <c r="C394" s="30"/>
      <c r="D394" s="30"/>
      <c r="E394" s="30"/>
      <c r="F394" s="30"/>
      <c r="G394" s="30"/>
      <c r="H394" s="30"/>
      <c r="I394" s="30"/>
      <c r="J394" s="30"/>
      <c r="K394" s="38"/>
      <c r="L394" s="5"/>
    </row>
    <row hidden="1" r="395" customHeight="1" ht="17.0" outlineLevel="1">
      <c r="A395" s="5"/>
      <c r="B395" s="98"/>
      <c r="C395" s="310" t="s">
        <v>232</v>
      </c>
      <c r="D395" s="366">
        <f>IFERROR(D390/D393,0)</f>
        <v>0.0</v>
      </c>
      <c r="E395" s="30"/>
      <c r="F395" s="366">
        <f>IFERROR(F390/F393,0)</f>
        <v>0.0</v>
      </c>
      <c r="G395" s="30"/>
      <c r="H395" s="366">
        <f>IFERROR(H390/H393,0)</f>
        <v>0.0</v>
      </c>
      <c r="I395" s="30"/>
      <c r="J395" s="366">
        <f>IFERROR(J390/J393,0)</f>
        <v>0.0</v>
      </c>
      <c r="K395" s="38"/>
      <c r="L395" s="5"/>
    </row>
    <row hidden="1" r="396" customHeight="1" ht="17.0" outlineLevel="1">
      <c r="A396" s="5"/>
      <c r="B396" s="727" t="s">
        <v>403</v>
      </c>
      <c r="C396" s="717"/>
      <c r="D396" s="717"/>
      <c r="E396" s="73"/>
      <c r="F396" s="73"/>
      <c r="G396" s="73"/>
      <c r="H396" s="73"/>
      <c r="I396" s="73"/>
      <c r="J396" s="73"/>
      <c r="K396" s="74"/>
      <c r="L396" s="5"/>
    </row>
    <row r="397" customHeight="1" ht="17.0" collapsed="1">
      <c r="B397" s="5"/>
      <c r="C397" s="5"/>
      <c r="D397" s="5"/>
      <c r="E397" s="5"/>
      <c r="F397" s="5"/>
      <c r="G397" s="5"/>
      <c r="H397" s="5"/>
      <c r="I397" s="5"/>
      <c r="J397" s="5"/>
      <c r="K397" s="5"/>
    </row>
  </sheetData>
  <mergeCells count="15">
    <mergeCell ref="B2:K2"/>
    <mergeCell ref="B3:K3"/>
    <mergeCell ref="B4:K4"/>
    <mergeCell ref="B83:K83"/>
    <mergeCell ref="B82:K82"/>
    <mergeCell ref="B162:K162"/>
    <mergeCell ref="B161:K161"/>
    <mergeCell ref="B159:D159"/>
    <mergeCell ref="B238:D238"/>
    <mergeCell ref="B241:K241"/>
    <mergeCell ref="B240:K240"/>
    <mergeCell ref="B319:K319"/>
    <mergeCell ref="B320:K320"/>
    <mergeCell ref="B317:D317"/>
    <mergeCell ref="B396:D396"/>
  </mergeCells>
  <dataValidations count="45">
    <dataValidation allowBlank="1" showErrorMessage="1" errorTitle="The value you entered is not valid." error="The value entered violates data validation rules set in cell" errorStyle="stop" type="list" sqref="D9:D9 F9:F9 H9:H9 J9:J9 D88:D88 F88:F88 H88:H88 J88:J88 D167:D167 F167:F167 H167:H167 J167:J167 D246:D246 F246:F246 H246:H246 J246:J246 D325:D325 F325:F325 H325:H325 J325:J325">
      <formula1>'Lists'!$E$16:$E$20</formula1>
    </dataValidation>
    <dataValidation allowBlank="1" showErrorMessage="1" errorTitle="The value you entered is not valid." error="The value entered violates data validation rules set in cell" errorStyle="stop" type="list" sqref="C5:C5 C84:C84 C163:C163 C242:C242 C321:C321">
      <formula1>'Lists'!$C$2:$C$4</formula1>
    </dataValidation>
    <dataValidation allowBlank="1" showErrorMessage="1" errorTitle="The value you entered is not valid." error="The value entered violates data validation rules set in cell" errorStyle="stop" type="list" sqref="D8:D8 F8:F8 H8:H8 J8:J8 D87:D87 F87:F87 H87:H87 J87:J87 D166:D166 F166:F166 H166:H166 J166:J166 D245:D245 F245:F245 H245:H245 J245:J245 D324:D324 F324:F324 H324:H324 J324:J324">
      <formula1>'Lists'!$D$16:$D$25</formula1>
    </dataValidation>
  </dataValidations>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sheetPr>
    <tabColor rgb="FFED7D31"/>
  </sheetPr>
  <dimension ref="A1:F84"/>
  <sheetViews>
    <sheetView workbookViewId="0"/>
  </sheetViews>
  <sheetFormatPr defaultRowHeight="17.0" customHeight="1"/>
  <cols>
    <col min="1" max="1" width="18.81"/>
    <col min="2" max="2" width="29.41"/>
    <col min="3" max="3" width="18.68"/>
    <col min="4" max="4" width="16.29"/>
    <col min="5" max="5" width="18.94"/>
    <col min="6" max="6" width="16.03"/>
    <col min="7" max="2048" width="9.14"/>
  </cols>
  <sheetData>
    <row r="1" customHeight="1" ht="17.0">
      <c r="A1" s="740" t="s">
        <v>404</v>
      </c>
      <c r="B1" s="740" t="s">
        <v>405</v>
      </c>
      <c r="C1" s="740" t="s">
        <v>406</v>
      </c>
      <c r="D1" s="740" t="s">
        <v>407</v>
      </c>
      <c r="E1" s="740" t="s">
        <v>408</v>
      </c>
      <c r="F1" s="740" t="s">
        <v>409</v>
      </c>
      <c r="H1" s="741"/>
      <c r="I1" s="740"/>
      <c r="J1" s="740"/>
    </row>
    <row r="2" customHeight="1" ht="17.0">
      <c r="H2" s="742"/>
      <c r="I2" s="742"/>
      <c r="J2" s="742"/>
    </row>
    <row r="3" customHeight="1" ht="17.0">
      <c r="A3" s="6" t="s">
        <v>410</v>
      </c>
      <c r="B3" s="6" t="s">
        <v>411</v>
      </c>
      <c r="C3" s="6" t="s">
        <v>177</v>
      </c>
      <c r="D3" s="6" t="s">
        <v>412</v>
      </c>
      <c r="E3" s="6" t="s">
        <v>413</v>
      </c>
      <c r="F3" s="6" t="s">
        <v>414</v>
      </c>
      <c r="H3" s="742"/>
      <c r="I3" s="742"/>
      <c r="J3" s="742"/>
    </row>
    <row r="4" customHeight="1" ht="17.0">
      <c r="A4" s="6" t="s">
        <v>415</v>
      </c>
      <c r="B4" s="6" t="s">
        <v>416</v>
      </c>
      <c r="C4" s="6" t="s">
        <v>385</v>
      </c>
      <c r="D4" s="6" t="s">
        <v>417</v>
      </c>
      <c r="E4" s="6" t="s">
        <v>418</v>
      </c>
      <c r="F4" s="6" t="s">
        <v>419</v>
      </c>
      <c r="H4" s="742"/>
      <c r="I4" s="742"/>
      <c r="J4" s="742"/>
    </row>
    <row r="5" customHeight="1" ht="17.0">
      <c r="A5" s="6" t="s">
        <v>420</v>
      </c>
      <c r="B5" s="6" t="s">
        <v>421</v>
      </c>
      <c r="C5" s="6" t="s">
        <v>411</v>
      </c>
      <c r="D5" s="6" t="s">
        <v>422</v>
      </c>
      <c r="E5" s="6" t="s">
        <v>423</v>
      </c>
      <c r="F5" s="6" t="s">
        <v>424</v>
      </c>
      <c r="H5" s="742"/>
      <c r="I5" s="742"/>
      <c r="J5" s="742"/>
    </row>
    <row r="6" customHeight="1" ht="17.0">
      <c r="A6" s="6" t="s">
        <v>425</v>
      </c>
      <c r="B6" s="743">
        <v>504.0</v>
      </c>
      <c r="E6" s="6" t="s">
        <v>426</v>
      </c>
      <c r="F6" s="6" t="s">
        <v>427</v>
      </c>
    </row>
    <row r="7" customHeight="1" ht="17.0">
      <c r="A7" s="6" t="s">
        <v>428</v>
      </c>
      <c r="B7" s="6" t="s">
        <v>429</v>
      </c>
      <c r="C7" s="740" t="s">
        <v>430</v>
      </c>
      <c r="E7" s="6" t="s">
        <v>431</v>
      </c>
      <c r="F7" s="6" t="s">
        <v>432</v>
      </c>
    </row>
    <row r="8" customHeight="1" ht="17.0">
      <c r="A8" s="6" t="s">
        <v>433</v>
      </c>
      <c r="B8" s="6" t="s">
        <v>434</v>
      </c>
      <c r="E8" s="6" t="s">
        <v>435</v>
      </c>
      <c r="F8" s="6" t="s">
        <v>436</v>
      </c>
    </row>
    <row r="9" customHeight="1" ht="17.0">
      <c r="A9" s="6" t="s">
        <v>437</v>
      </c>
      <c r="B9" s="6" t="s">
        <v>438</v>
      </c>
      <c r="C9" s="6" t="s">
        <v>439</v>
      </c>
      <c r="E9" s="6" t="s">
        <v>440</v>
      </c>
      <c r="F9" s="6" t="s">
        <v>441</v>
      </c>
    </row>
    <row r="10" customHeight="1" ht="17.0">
      <c r="A10" s="6" t="s">
        <v>442</v>
      </c>
      <c r="C10" s="6" t="s">
        <v>443</v>
      </c>
      <c r="D10" s="740" t="s">
        <v>444</v>
      </c>
      <c r="E10" s="6" t="s">
        <v>445</v>
      </c>
      <c r="F10" s="6" t="s">
        <v>446</v>
      </c>
    </row>
    <row r="11" customHeight="1" ht="17.0">
      <c r="A11" s="6" t="s">
        <v>447</v>
      </c>
      <c r="E11" s="6" t="s">
        <v>448</v>
      </c>
      <c r="F11" s="6" t="s">
        <v>449</v>
      </c>
    </row>
    <row r="12" customHeight="1" ht="17.0">
      <c r="A12" s="6" t="s">
        <v>450</v>
      </c>
      <c r="D12" s="744" t="s">
        <v>451</v>
      </c>
      <c r="F12" s="6" t="s">
        <v>452</v>
      </c>
    </row>
    <row r="13" customHeight="1" ht="17.0">
      <c r="A13" s="6" t="s">
        <v>453</v>
      </c>
      <c r="D13" s="744" t="s">
        <v>454</v>
      </c>
      <c r="F13" s="6" t="s">
        <v>455</v>
      </c>
    </row>
    <row r="14" customHeight="1" ht="17.0">
      <c r="F14" s="6" t="s">
        <v>456</v>
      </c>
    </row>
    <row r="15" customHeight="1" ht="17.0">
      <c r="A15" s="740" t="s">
        <v>457</v>
      </c>
      <c r="B15" s="740" t="s">
        <v>458</v>
      </c>
      <c r="C15" s="740" t="s">
        <v>459</v>
      </c>
      <c r="D15" s="740" t="s">
        <v>182</v>
      </c>
      <c r="E15" s="740" t="s">
        <v>186</v>
      </c>
      <c r="F15" s="6" t="s">
        <v>460</v>
      </c>
    </row>
    <row r="16" customHeight="1" ht="17.0">
      <c r="A16" s="745"/>
      <c r="F16" s="6" t="s">
        <v>461</v>
      </c>
    </row>
    <row r="17" customHeight="1" ht="17.0">
      <c r="A17" s="6" t="s">
        <v>462</v>
      </c>
      <c r="B17" s="6" t="s">
        <v>411</v>
      </c>
      <c r="C17" s="6">
        <v>1.0</v>
      </c>
      <c r="D17" s="6" t="s">
        <v>183</v>
      </c>
      <c r="E17" s="6" t="s">
        <v>463</v>
      </c>
      <c r="F17" s="6" t="s">
        <v>464</v>
      </c>
    </row>
    <row r="18" customHeight="1" ht="17.0">
      <c r="A18" s="6" t="s">
        <v>465</v>
      </c>
      <c r="B18" s="6" t="s">
        <v>466</v>
      </c>
      <c r="C18" s="6">
        <v>2.0</v>
      </c>
      <c r="D18" s="6" t="s">
        <v>467</v>
      </c>
      <c r="E18" s="6" t="s">
        <v>468</v>
      </c>
      <c r="H18" s="746"/>
      <c r="I18" s="746"/>
      <c r="J18" s="746"/>
    </row>
    <row r="19" customHeight="1" ht="17.0">
      <c r="A19" s="6" t="s">
        <v>469</v>
      </c>
      <c r="B19" s="6" t="s">
        <v>470</v>
      </c>
      <c r="C19" s="6">
        <v>3.0</v>
      </c>
      <c r="D19" s="6" t="s">
        <v>471</v>
      </c>
      <c r="E19" s="6" t="s">
        <v>472</v>
      </c>
    </row>
    <row r="20" customHeight="1" ht="17.0">
      <c r="A20" s="6" t="s">
        <v>473</v>
      </c>
      <c r="B20" s="743">
        <v>504.0</v>
      </c>
      <c r="C20" s="6">
        <v>4.0</v>
      </c>
      <c r="D20" s="6" t="s">
        <v>474</v>
      </c>
      <c r="E20" s="6" t="s">
        <v>208</v>
      </c>
    </row>
    <row r="21" customHeight="1" ht="17.0">
      <c r="A21" s="6" t="s">
        <v>475</v>
      </c>
      <c r="B21" s="6" t="s">
        <v>429</v>
      </c>
      <c r="C21" s="6">
        <v>5.0</v>
      </c>
      <c r="D21" s="6" t="s">
        <v>476</v>
      </c>
      <c r="F21" s="740" t="s">
        <v>477</v>
      </c>
    </row>
    <row r="22" customHeight="1" ht="17.0">
      <c r="A22" s="6" t="s">
        <v>478</v>
      </c>
      <c r="C22" s="6">
        <v>5.5</v>
      </c>
      <c r="D22" s="6" t="s">
        <v>184</v>
      </c>
    </row>
    <row r="23" customHeight="1" ht="17.0">
      <c r="A23" s="6" t="s">
        <v>479</v>
      </c>
      <c r="C23" s="6">
        <v>6.0</v>
      </c>
      <c r="D23" s="6" t="s">
        <v>480</v>
      </c>
      <c r="F23" s="6" t="s">
        <v>481</v>
      </c>
    </row>
    <row r="24" customHeight="1" ht="17.0">
      <c r="A24" s="6" t="s">
        <v>482</v>
      </c>
      <c r="C24" s="6">
        <v>7.0</v>
      </c>
      <c r="D24" s="6" t="s">
        <v>483</v>
      </c>
      <c r="F24" s="6" t="s">
        <v>484</v>
      </c>
    </row>
    <row r="25" customHeight="1" ht="17.0">
      <c r="A25" s="6" t="s">
        <v>485</v>
      </c>
      <c r="C25" s="6">
        <v>8.0</v>
      </c>
      <c r="D25" s="6" t="s">
        <v>208</v>
      </c>
      <c r="F25" s="6" t="s">
        <v>486</v>
      </c>
    </row>
    <row r="26" customHeight="1" ht="17.0">
      <c r="A26" s="6" t="s">
        <v>487</v>
      </c>
      <c r="C26" s="6">
        <v>9.0</v>
      </c>
    </row>
    <row r="28" customHeight="1" ht="17.0">
      <c r="F28" s="740" t="s">
        <v>488</v>
      </c>
    </row>
    <row r="29" customHeight="1" ht="17.0">
      <c r="A29" s="740" t="s">
        <v>489</v>
      </c>
      <c r="B29" s="740" t="s">
        <v>490</v>
      </c>
      <c r="D29" s="740" t="s">
        <v>491</v>
      </c>
      <c r="E29" s="740" t="s">
        <v>327</v>
      </c>
    </row>
    <row r="30" customHeight="1" ht="17.0">
      <c r="C30" s="740" t="s">
        <v>492</v>
      </c>
      <c r="F30" s="6" t="s">
        <v>466</v>
      </c>
    </row>
    <row r="31" customHeight="1" ht="17.0">
      <c r="A31" s="6" t="s">
        <v>493</v>
      </c>
      <c r="B31" s="6" t="s">
        <v>494</v>
      </c>
      <c r="D31" s="6" t="s">
        <v>495</v>
      </c>
      <c r="E31" s="6" t="s">
        <v>110</v>
      </c>
      <c r="F31" s="6" t="s">
        <v>496</v>
      </c>
    </row>
    <row r="32" customHeight="1" ht="17.0">
      <c r="A32" s="6" t="s">
        <v>497</v>
      </c>
      <c r="B32" s="6" t="s">
        <v>498</v>
      </c>
      <c r="C32" s="6" t="s">
        <v>499</v>
      </c>
      <c r="D32" s="6" t="s">
        <v>500</v>
      </c>
      <c r="E32" s="6" t="s">
        <v>501</v>
      </c>
    </row>
    <row r="33" customHeight="1" ht="17.0">
      <c r="A33" s="6" t="s">
        <v>502</v>
      </c>
      <c r="B33" s="6" t="s">
        <v>503</v>
      </c>
      <c r="C33" s="6" t="s">
        <v>504</v>
      </c>
      <c r="D33" s="6" t="s">
        <v>505</v>
      </c>
      <c r="E33" s="6" t="s">
        <v>506</v>
      </c>
    </row>
    <row r="34" customHeight="1" ht="17.0">
      <c r="A34" s="6" t="s">
        <v>208</v>
      </c>
      <c r="B34" s="6" t="s">
        <v>507</v>
      </c>
      <c r="C34" s="6" t="s">
        <v>508</v>
      </c>
      <c r="D34" s="6" t="s">
        <v>509</v>
      </c>
      <c r="E34" s="6" t="s">
        <v>510</v>
      </c>
    </row>
    <row r="35" customHeight="1" ht="17.0">
      <c r="B35" s="6" t="s">
        <v>511</v>
      </c>
      <c r="D35" s="6" t="s">
        <v>512</v>
      </c>
      <c r="E35" s="6" t="s">
        <v>513</v>
      </c>
    </row>
    <row r="36" customHeight="1" ht="17.0">
      <c r="D36" s="6" t="s">
        <v>514</v>
      </c>
      <c r="E36" s="6" t="s">
        <v>515</v>
      </c>
      <c r="F36" s="740" t="s">
        <v>516</v>
      </c>
    </row>
    <row r="37" customHeight="1" ht="17.0">
      <c r="D37" s="6" t="s">
        <v>517</v>
      </c>
      <c r="E37" s="6" t="s">
        <v>518</v>
      </c>
    </row>
    <row r="38" customHeight="1" ht="17.0">
      <c r="A38" s="740" t="s">
        <v>519</v>
      </c>
      <c r="B38" s="740" t="s">
        <v>520</v>
      </c>
      <c r="D38" s="6" t="s">
        <v>521</v>
      </c>
      <c r="E38" s="6" t="s">
        <v>208</v>
      </c>
      <c r="F38" s="6" t="s">
        <v>522</v>
      </c>
    </row>
    <row r="39" customHeight="1" ht="17.0">
      <c r="D39" s="6" t="s">
        <v>523</v>
      </c>
      <c r="E39" s="740" t="s">
        <v>524</v>
      </c>
      <c r="F39" s="6" t="s">
        <v>525</v>
      </c>
    </row>
    <row r="40" customHeight="1" ht="17.0">
      <c r="A40" s="6" t="s">
        <v>526</v>
      </c>
      <c r="B40" s="6" t="s">
        <v>527</v>
      </c>
      <c r="D40" s="6" t="s">
        <v>528</v>
      </c>
      <c r="F40" s="6" t="s">
        <v>529</v>
      </c>
    </row>
    <row r="41" customHeight="1" ht="17.0">
      <c r="A41" s="6" t="s">
        <v>530</v>
      </c>
      <c r="B41" s="6" t="s">
        <v>531</v>
      </c>
      <c r="D41" s="6" t="s">
        <v>532</v>
      </c>
      <c r="E41" s="6" t="s">
        <v>533</v>
      </c>
      <c r="F41" s="6" t="s">
        <v>534</v>
      </c>
    </row>
    <row r="42" customHeight="1" ht="17.0">
      <c r="A42" s="6" t="s">
        <v>535</v>
      </c>
      <c r="B42" s="6" t="s">
        <v>536</v>
      </c>
      <c r="D42" s="6" t="s">
        <v>537</v>
      </c>
      <c r="E42" s="6" t="s">
        <v>538</v>
      </c>
      <c r="F42" s="6" t="s">
        <v>539</v>
      </c>
    </row>
    <row r="43" customHeight="1" ht="17.0">
      <c r="D43" s="6" t="s">
        <v>540</v>
      </c>
      <c r="E43" s="6" t="s">
        <v>541</v>
      </c>
      <c r="F43" s="6" t="s">
        <v>542</v>
      </c>
    </row>
    <row r="44" customHeight="1" ht="17.0">
      <c r="A44" s="740"/>
      <c r="D44" s="6" t="s">
        <v>543</v>
      </c>
      <c r="E44" s="6" t="s">
        <v>544</v>
      </c>
      <c r="F44" s="6" t="s">
        <v>545</v>
      </c>
    </row>
    <row r="45" customHeight="1" ht="17.0">
      <c r="C45" s="740" t="s">
        <v>546</v>
      </c>
      <c r="D45" s="6" t="s">
        <v>208</v>
      </c>
      <c r="E45" s="6" t="s">
        <v>547</v>
      </c>
      <c r="F45" s="6" t="s">
        <v>548</v>
      </c>
    </row>
    <row r="46" customHeight="1" ht="17.0">
      <c r="A46" s="740"/>
      <c r="E46" s="6" t="s">
        <v>549</v>
      </c>
      <c r="F46" s="6" t="s">
        <v>550</v>
      </c>
    </row>
    <row r="47" customHeight="1" ht="17.0">
      <c r="A47" s="740" t="s">
        <v>551</v>
      </c>
      <c r="B47" s="740" t="s">
        <v>552</v>
      </c>
      <c r="C47" s="6" t="s">
        <v>411</v>
      </c>
      <c r="E47" s="6" t="s">
        <v>208</v>
      </c>
      <c r="F47" s="6" t="s">
        <v>208</v>
      </c>
    </row>
    <row r="48" customHeight="1" ht="17.0">
      <c r="C48" s="6" t="s">
        <v>553</v>
      </c>
      <c r="E48" s="6" t="s">
        <v>554</v>
      </c>
      <c r="F48" s="6" t="s">
        <v>554</v>
      </c>
    </row>
    <row r="49" customHeight="1" ht="17.0">
      <c r="A49" s="4">
        <v>10.0</v>
      </c>
      <c r="B49" s="6" t="s">
        <v>555</v>
      </c>
      <c r="C49" s="6" t="s">
        <v>39</v>
      </c>
    </row>
    <row r="50" customHeight="1" ht="17.0">
      <c r="A50" s="4">
        <v>20.0</v>
      </c>
      <c r="B50" s="6" t="s">
        <v>556</v>
      </c>
      <c r="C50" s="6" t="s">
        <v>557</v>
      </c>
    </row>
    <row r="51" customHeight="1" ht="17.0">
      <c r="A51" s="4">
        <v>25.0</v>
      </c>
      <c r="B51" s="6" t="s">
        <v>558</v>
      </c>
      <c r="D51" s="740" t="s">
        <v>559</v>
      </c>
    </row>
    <row r="52" customHeight="1" ht="17.0">
      <c r="B52" s="6" t="s">
        <v>560</v>
      </c>
      <c r="C52" s="740" t="s">
        <v>561</v>
      </c>
      <c r="E52" s="740" t="s">
        <v>562</v>
      </c>
      <c r="F52" s="740" t="s">
        <v>563</v>
      </c>
    </row>
    <row r="53" customHeight="1" ht="17.0">
      <c r="A53" s="740" t="s">
        <v>564</v>
      </c>
      <c r="B53" s="6" t="s">
        <v>565</v>
      </c>
      <c r="D53" s="6" t="s">
        <v>411</v>
      </c>
    </row>
    <row r="54" customHeight="1" ht="17.0">
      <c r="B54" s="6" t="s">
        <v>566</v>
      </c>
      <c r="C54" s="6" t="s">
        <v>411</v>
      </c>
      <c r="D54" s="6" t="s">
        <v>567</v>
      </c>
      <c r="E54" s="6" t="s">
        <v>361</v>
      </c>
      <c r="F54" s="6" t="s">
        <v>568</v>
      </c>
    </row>
    <row r="55" customHeight="1" ht="17.0">
      <c r="A55" s="6" t="s">
        <v>158</v>
      </c>
      <c r="C55" s="6" t="s">
        <v>569</v>
      </c>
      <c r="D55" s="6" t="s">
        <v>570</v>
      </c>
      <c r="E55" s="6" t="s">
        <v>571</v>
      </c>
      <c r="F55" s="6" t="s">
        <v>572</v>
      </c>
    </row>
    <row r="56" customHeight="1" ht="17.0">
      <c r="A56" s="6" t="s">
        <v>573</v>
      </c>
      <c r="C56" s="6" t="s">
        <v>574</v>
      </c>
      <c r="D56" s="6" t="s">
        <v>575</v>
      </c>
      <c r="F56" s="6" t="s">
        <v>576</v>
      </c>
    </row>
    <row r="57" customHeight="1" ht="17.0">
      <c r="C57" s="6" t="s">
        <v>577</v>
      </c>
      <c r="D57" s="6" t="s">
        <v>578</v>
      </c>
    </row>
    <row r="58" customHeight="1" ht="17.0">
      <c r="D58" s="6" t="s">
        <v>579</v>
      </c>
    </row>
    <row r="59" customHeight="1" ht="17.0">
      <c r="F59" s="740" t="s">
        <v>580</v>
      </c>
    </row>
    <row r="60" customHeight="1" ht="17.0">
      <c r="A60" s="740" t="s">
        <v>581</v>
      </c>
      <c r="B60" s="740" t="s">
        <v>582</v>
      </c>
      <c r="D60" s="740" t="s">
        <v>583</v>
      </c>
      <c r="E60" s="740" t="s">
        <v>584</v>
      </c>
    </row>
    <row r="61" customHeight="1" ht="17.0">
      <c r="C61" s="740" t="s">
        <v>54</v>
      </c>
      <c r="F61" s="6" t="s">
        <v>53</v>
      </c>
    </row>
    <row r="62" customHeight="1" ht="17.0">
      <c r="A62" s="6" t="s">
        <v>411</v>
      </c>
      <c r="B62" s="6" t="s">
        <v>585</v>
      </c>
      <c r="C62" s="747"/>
      <c r="D62" s="6" t="s">
        <v>411</v>
      </c>
      <c r="E62" s="6" t="s">
        <v>586</v>
      </c>
      <c r="F62" s="6" t="s">
        <v>587</v>
      </c>
    </row>
    <row r="63" customHeight="1" ht="17.0">
      <c r="A63" s="6" t="s">
        <v>588</v>
      </c>
      <c r="B63" s="6" t="s">
        <v>589</v>
      </c>
      <c r="C63" s="747" t="s">
        <v>169</v>
      </c>
      <c r="D63" s="6" t="s">
        <v>590</v>
      </c>
    </row>
    <row r="64" customHeight="1" ht="17.0">
      <c r="A64" s="6" t="s">
        <v>591</v>
      </c>
      <c r="B64" s="6" t="s">
        <v>208</v>
      </c>
      <c r="C64" s="747" t="s">
        <v>55</v>
      </c>
      <c r="D64" s="6" t="s">
        <v>592</v>
      </c>
    </row>
    <row r="65" customHeight="1" ht="17.0">
      <c r="A65" s="6" t="s">
        <v>593</v>
      </c>
      <c r="C65" s="747" t="s">
        <v>170</v>
      </c>
    </row>
    <row r="66" customHeight="1" ht="17.0">
      <c r="A66" s="6" t="s">
        <v>594</v>
      </c>
    </row>
    <row r="67" customHeight="1" ht="17.0">
      <c r="A67" s="6" t="s">
        <v>595</v>
      </c>
      <c r="F67" s="740" t="s">
        <v>596</v>
      </c>
    </row>
    <row r="68" customHeight="1" ht="17.0">
      <c r="A68" s="6" t="s">
        <v>597</v>
      </c>
      <c r="F68" s="4"/>
    </row>
    <row r="69" customHeight="1" ht="17.0">
      <c r="F69" s="748" t="e">
        <f t="shared" ref="F69:F72" si="0">#REF!</f>
        <v>#REF!</v>
      </c>
    </row>
    <row r="70" customHeight="1" ht="17.0">
      <c r="A70" s="740" t="s">
        <v>598</v>
      </c>
      <c r="B70" s="740" t="s">
        <v>599</v>
      </c>
      <c r="C70" s="740" t="s">
        <v>600</v>
      </c>
      <c r="D70" s="740" t="s">
        <v>601</v>
      </c>
      <c r="E70" s="740" t="s">
        <v>602</v>
      </c>
      <c r="F70" s="4" t="e">
        <f t="shared" si="0"/>
        <v>#REF!</v>
      </c>
    </row>
    <row r="71" customHeight="1" ht="17.0">
      <c r="F71" s="4" t="e">
        <f t="shared" si="0"/>
        <v>#REF!</v>
      </c>
    </row>
    <row r="72" customHeight="1" ht="17.0">
      <c r="A72" s="6" t="s">
        <v>603</v>
      </c>
      <c r="B72" s="6" t="s">
        <v>604</v>
      </c>
      <c r="C72" s="749">
        <v>0.65</v>
      </c>
      <c r="D72" s="750" t="s">
        <v>605</v>
      </c>
      <c r="E72" s="750" t="s">
        <v>606</v>
      </c>
      <c r="F72" s="4" t="e">
        <f t="shared" si="0"/>
        <v>#REF!</v>
      </c>
    </row>
    <row r="73" customHeight="1" ht="17.0">
      <c r="A73" s="6" t="s">
        <v>607</v>
      </c>
      <c r="B73" s="6" t="s">
        <v>608</v>
      </c>
      <c r="C73" s="749">
        <v>0.75</v>
      </c>
      <c r="D73" s="750" t="s">
        <v>609</v>
      </c>
      <c r="E73" s="750" t="s">
        <v>610</v>
      </c>
    </row>
    <row r="74" customHeight="1" ht="17.0">
      <c r="A74" s="6" t="s">
        <v>611</v>
      </c>
      <c r="B74" s="6" t="s">
        <v>612</v>
      </c>
      <c r="C74" s="749">
        <v>0.8</v>
      </c>
      <c r="D74" s="750" t="s">
        <v>613</v>
      </c>
      <c r="E74" s="750" t="s">
        <v>614</v>
      </c>
      <c r="F74" s="740" t="s">
        <v>615</v>
      </c>
    </row>
    <row r="75" customHeight="1" ht="17.0">
      <c r="A75" s="6" t="s">
        <v>616</v>
      </c>
      <c r="C75" s="749">
        <v>0.85</v>
      </c>
      <c r="D75" s="750" t="s">
        <v>617</v>
      </c>
      <c r="E75" s="750" t="s">
        <v>618</v>
      </c>
    </row>
    <row r="76" customHeight="1" ht="17.0">
      <c r="D76" s="750" t="s">
        <v>619</v>
      </c>
      <c r="E76" s="750" t="s">
        <v>620</v>
      </c>
      <c r="F76" s="6" t="s">
        <v>621</v>
      </c>
    </row>
    <row r="77" customHeight="1" ht="17.0">
      <c r="D77" s="750" t="s">
        <v>622</v>
      </c>
      <c r="F77" s="6" t="s">
        <v>413</v>
      </c>
    </row>
    <row r="78" customHeight="1" ht="17.0">
      <c r="F78" s="6" t="s">
        <v>414</v>
      </c>
    </row>
    <row r="79" customHeight="1" ht="17.0">
      <c r="A79" s="740" t="s">
        <v>623</v>
      </c>
      <c r="B79" s="740"/>
      <c r="F79" s="6" t="s">
        <v>624</v>
      </c>
    </row>
    <row r="80" customHeight="1" ht="17.0">
      <c r="F80" s="6" t="s">
        <v>625</v>
      </c>
    </row>
    <row r="81" customHeight="1" ht="17.0">
      <c r="A81" s="6" t="s">
        <v>626</v>
      </c>
      <c r="F81" s="6" t="s">
        <v>627</v>
      </c>
    </row>
    <row r="82" customHeight="1" ht="17.0">
      <c r="A82" s="6" t="s">
        <v>628</v>
      </c>
      <c r="F82" s="6" t="s">
        <v>629</v>
      </c>
    </row>
    <row r="83" customHeight="1" ht="17.0">
      <c r="A83" s="6" t="s">
        <v>630</v>
      </c>
      <c r="F83" s="6" t="s">
        <v>631</v>
      </c>
    </row>
    <row r="84" customHeight="1" ht="17.0">
      <c r="F84" s="6" t="s">
        <v>632</v>
      </c>
    </row>
  </sheetData>
  <mergeCells count="4">
    <mergeCell ref="H3:J3"/>
    <mergeCell ref="H2:J2"/>
    <mergeCell ref="H5:J5"/>
    <mergeCell ref="H4:J4"/>
  </mergeCells>
  <hyperlinks>
    <hyperlink ref="H1" location="Index.A1" display=""/>
  </hyperlinks>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sheetPr>
    <tabColor rgb="FFED7D31"/>
  </sheetPr>
  <dimension ref="A1:C83"/>
  <sheetViews>
    <sheetView workbookViewId="0"/>
  </sheetViews>
  <sheetFormatPr defaultRowHeight="17.0" customHeight="1"/>
  <cols>
    <col min="1" max="1" style="747" width="22.25"/>
    <col min="2" max="2048" width="10.86"/>
  </cols>
  <sheetData>
    <row r="1" customHeight="1" ht="17.0">
      <c r="A1" s="751" t="s">
        <v>404</v>
      </c>
      <c r="B1" s="740" t="s">
        <v>633</v>
      </c>
      <c r="G1" s="752"/>
      <c r="H1" s="752"/>
      <c r="I1" s="752"/>
    </row>
    <row r="2" customHeight="1" ht="17.0">
      <c r="A2" s="747" t="s">
        <v>634</v>
      </c>
      <c r="B2" s="6" t="s">
        <v>635</v>
      </c>
    </row>
    <row r="3" customHeight="1" ht="17.0">
      <c r="A3" s="747" t="s">
        <v>636</v>
      </c>
      <c r="B3" s="6" t="s">
        <v>637</v>
      </c>
    </row>
    <row r="4" customHeight="1" ht="17.0">
      <c r="B4" s="6" t="s">
        <v>638</v>
      </c>
    </row>
    <row r="5" customHeight="1" ht="17.0">
      <c r="B5" s="6" t="s">
        <v>639</v>
      </c>
    </row>
    <row r="6" customHeight="1" ht="17.0">
      <c r="B6" s="6" t="s">
        <v>640</v>
      </c>
    </row>
    <row r="7" customHeight="1" ht="17.0">
      <c r="A7" s="747" t="s">
        <v>641</v>
      </c>
      <c r="B7" s="6" t="s">
        <v>642</v>
      </c>
    </row>
    <row r="8" customHeight="1" ht="17.0">
      <c r="B8" s="6" t="s">
        <v>643</v>
      </c>
    </row>
    <row r="9" customHeight="1" ht="17.0">
      <c r="B9" s="6" t="s">
        <v>644</v>
      </c>
    </row>
    <row r="10" customHeight="1" ht="17.0">
      <c r="A10" s="747" t="s">
        <v>645</v>
      </c>
      <c r="B10" s="6" t="s">
        <v>646</v>
      </c>
    </row>
    <row r="11" customHeight="1" ht="17.0">
      <c r="B11" s="6" t="s">
        <v>647</v>
      </c>
    </row>
    <row r="12" customHeight="1" ht="17.0">
      <c r="A12" s="747" t="s">
        <v>648</v>
      </c>
      <c r="B12" s="6" t="s">
        <v>649</v>
      </c>
    </row>
    <row r="13" customHeight="1" ht="17.0">
      <c r="B13" s="6" t="s">
        <v>650</v>
      </c>
    </row>
    <row r="14" customHeight="1" ht="17.0">
      <c r="A14" s="747" t="s">
        <v>651</v>
      </c>
      <c r="B14" s="6" t="s">
        <v>652</v>
      </c>
    </row>
    <row r="15" customHeight="1" ht="17.0">
      <c r="B15" s="6" t="s">
        <v>650</v>
      </c>
    </row>
    <row r="16" customHeight="1" ht="17.0">
      <c r="A16" s="747" t="s">
        <v>653</v>
      </c>
      <c r="B16" s="6" t="s">
        <v>654</v>
      </c>
    </row>
    <row r="17" customHeight="1" ht="17.0">
      <c r="B17" s="6" t="s">
        <v>655</v>
      </c>
    </row>
    <row r="18" customHeight="1" ht="17.0">
      <c r="B18" s="6" t="s">
        <v>656</v>
      </c>
    </row>
    <row r="19" customHeight="1" ht="17.0">
      <c r="A19" s="747" t="s">
        <v>657</v>
      </c>
      <c r="B19" s="6" t="s">
        <v>658</v>
      </c>
    </row>
    <row r="20" customHeight="1" ht="17.0">
      <c r="A20" s="747" t="s">
        <v>659</v>
      </c>
      <c r="B20" s="6" t="s">
        <v>660</v>
      </c>
    </row>
    <row r="21" customHeight="1" ht="17.0">
      <c r="B21" s="6" t="s">
        <v>661</v>
      </c>
    </row>
    <row r="22" customHeight="1" ht="17.0">
      <c r="B22" s="6" t="s">
        <v>662</v>
      </c>
    </row>
    <row r="23" customHeight="1" ht="17.0">
      <c r="B23" s="6" t="s">
        <v>663</v>
      </c>
    </row>
    <row r="24" customHeight="1" ht="17.0">
      <c r="A24" s="747" t="s">
        <v>664</v>
      </c>
      <c r="B24" s="6" t="s">
        <v>665</v>
      </c>
    </row>
    <row r="25" customHeight="1" ht="17.0">
      <c r="B25" s="6" t="s">
        <v>666</v>
      </c>
    </row>
    <row r="26" customHeight="1" ht="17.0">
      <c r="B26" s="6" t="s">
        <v>667</v>
      </c>
    </row>
    <row r="27" customHeight="1" ht="17.0">
      <c r="B27" s="6" t="s">
        <v>668</v>
      </c>
    </row>
    <row r="28" customHeight="1" ht="17.0">
      <c r="B28" s="6" t="s">
        <v>669</v>
      </c>
    </row>
    <row r="29" customHeight="1" ht="17.0">
      <c r="B29" s="6" t="s">
        <v>670</v>
      </c>
    </row>
    <row r="30" customHeight="1" ht="17.0">
      <c r="B30" s="6" t="s">
        <v>671</v>
      </c>
    </row>
    <row r="31" customHeight="1" ht="17.0">
      <c r="B31" s="6" t="s">
        <v>672</v>
      </c>
    </row>
    <row r="32" customHeight="1" ht="17.0">
      <c r="B32" s="6" t="s">
        <v>673</v>
      </c>
    </row>
    <row r="33" customHeight="1" ht="17.0">
      <c r="A33" s="6" t="s">
        <v>674</v>
      </c>
      <c r="B33" s="6" t="s">
        <v>675</v>
      </c>
    </row>
    <row r="34" customHeight="1" ht="17.0">
      <c r="B34" s="6" t="s">
        <v>676</v>
      </c>
    </row>
    <row r="35" customHeight="1" ht="17.0">
      <c r="B35" s="6" t="s">
        <v>677</v>
      </c>
    </row>
    <row r="36" customHeight="1" ht="17.0">
      <c r="B36" s="6" t="s">
        <v>678</v>
      </c>
    </row>
    <row r="37" customHeight="1" ht="17.0">
      <c r="B37" s="6" t="s">
        <v>679</v>
      </c>
    </row>
    <row r="38" customHeight="1" ht="17.0">
      <c r="B38" s="6" t="s">
        <v>680</v>
      </c>
    </row>
    <row r="39" customHeight="1" ht="17.0">
      <c r="B39" s="6" t="s">
        <v>681</v>
      </c>
    </row>
    <row r="40" customHeight="1" ht="17.0">
      <c r="A40" s="747" t="s">
        <v>682</v>
      </c>
      <c r="B40" s="6" t="s">
        <v>683</v>
      </c>
    </row>
    <row r="41" customHeight="1" ht="17.0">
      <c r="B41" s="6" t="s">
        <v>684</v>
      </c>
    </row>
    <row r="42" customHeight="1" ht="17.0">
      <c r="B42" s="6" t="s">
        <v>685</v>
      </c>
    </row>
    <row r="43" customHeight="1" ht="17.0">
      <c r="A43" s="6" t="s">
        <v>686</v>
      </c>
      <c r="B43" s="6" t="s">
        <v>687</v>
      </c>
    </row>
    <row r="44" customHeight="1" ht="17.0">
      <c r="B44" s="6" t="s">
        <v>688</v>
      </c>
    </row>
    <row r="45" customHeight="1" ht="17.0">
      <c r="A45" s="747" t="s">
        <v>689</v>
      </c>
      <c r="B45" s="6" t="s">
        <v>690</v>
      </c>
    </row>
    <row r="46" customHeight="1" ht="17.0">
      <c r="A46" s="747" t="s">
        <v>691</v>
      </c>
      <c r="B46" s="6" t="s">
        <v>692</v>
      </c>
    </row>
    <row r="47" customHeight="1" ht="17.0">
      <c r="A47" s="747" t="s">
        <v>693</v>
      </c>
      <c r="B47" s="6" t="s">
        <v>694</v>
      </c>
    </row>
    <row r="48" customHeight="1" ht="17.0">
      <c r="A48" s="747" t="s">
        <v>695</v>
      </c>
      <c r="B48" s="6" t="s">
        <v>696</v>
      </c>
    </row>
    <row r="49" customHeight="1" ht="17.0">
      <c r="A49" s="747" t="s">
        <v>697</v>
      </c>
      <c r="B49" s="6" t="s">
        <v>698</v>
      </c>
    </row>
    <row r="50" customHeight="1" ht="17.0">
      <c r="A50" s="747" t="s">
        <v>699</v>
      </c>
      <c r="B50" s="6" t="s">
        <v>700</v>
      </c>
    </row>
    <row r="51" customHeight="1" ht="17.0">
      <c r="A51" s="747" t="s">
        <v>701</v>
      </c>
      <c r="B51" s="6" t="s">
        <v>702</v>
      </c>
    </row>
    <row r="52" customHeight="1" ht="17.0">
      <c r="B52" s="6" t="s">
        <v>703</v>
      </c>
    </row>
    <row r="53" customHeight="1" ht="17.0">
      <c r="A53" s="747" t="s">
        <v>704</v>
      </c>
      <c r="B53" s="6" t="s">
        <v>705</v>
      </c>
    </row>
    <row r="54" customHeight="1" ht="17.0">
      <c r="C54" s="6" t="s">
        <v>706</v>
      </c>
    </row>
    <row r="55" customHeight="1" ht="17.0">
      <c r="C55" s="6" t="s">
        <v>707</v>
      </c>
    </row>
    <row r="56" customHeight="1" ht="17.0">
      <c r="C56" s="6" t="s">
        <v>708</v>
      </c>
    </row>
    <row r="57" customHeight="1" ht="17.0">
      <c r="C57" s="6" t="s">
        <v>709</v>
      </c>
    </row>
    <row r="58" customHeight="1" ht="17.0">
      <c r="C58" s="6" t="s">
        <v>710</v>
      </c>
    </row>
    <row r="59" customHeight="1" ht="17.0">
      <c r="C59" s="6" t="s">
        <v>711</v>
      </c>
    </row>
    <row r="60" customHeight="1" ht="17.0">
      <c r="C60" s="6" t="s">
        <v>712</v>
      </c>
    </row>
    <row r="61" customHeight="1" ht="17.0">
      <c r="A61" s="747" t="s">
        <v>713</v>
      </c>
      <c r="B61" s="6" t="s">
        <v>714</v>
      </c>
    </row>
    <row r="62" customHeight="1" ht="17.0">
      <c r="A62" s="747" t="s">
        <v>715</v>
      </c>
      <c r="B62" s="6" t="s">
        <v>716</v>
      </c>
    </row>
    <row r="63" customHeight="1" ht="17.0">
      <c r="A63" s="747" t="s">
        <v>717</v>
      </c>
      <c r="B63" s="6" t="s">
        <v>718</v>
      </c>
    </row>
    <row r="64" customHeight="1" ht="17.0">
      <c r="A64" s="747" t="s">
        <v>719</v>
      </c>
      <c r="B64" s="6" t="s">
        <v>720</v>
      </c>
    </row>
    <row r="65" customHeight="1" ht="17.0">
      <c r="A65" s="747" t="s">
        <v>721</v>
      </c>
      <c r="B65" s="6" t="s">
        <v>722</v>
      </c>
    </row>
    <row r="66" customHeight="1" ht="17.0">
      <c r="A66" s="747" t="s">
        <v>723</v>
      </c>
      <c r="B66" s="6" t="s">
        <v>724</v>
      </c>
    </row>
    <row r="67" customHeight="1" ht="17.0">
      <c r="A67" s="747" t="s">
        <v>725</v>
      </c>
      <c r="B67" s="6" t="s">
        <v>726</v>
      </c>
    </row>
    <row r="68" customHeight="1" ht="17.0">
      <c r="A68" s="747" t="s">
        <v>727</v>
      </c>
      <c r="B68" s="6" t="s">
        <v>728</v>
      </c>
    </row>
    <row r="69" customHeight="1" ht="17.0">
      <c r="A69" s="747" t="s">
        <v>729</v>
      </c>
      <c r="B69" s="6" t="s">
        <v>730</v>
      </c>
    </row>
    <row r="70" customHeight="1" ht="17.0">
      <c r="A70" s="6" t="s">
        <v>731</v>
      </c>
      <c r="B70" s="6" t="s">
        <v>732</v>
      </c>
    </row>
    <row r="71" customHeight="1" ht="17.0">
      <c r="A71" s="747" t="s">
        <v>733</v>
      </c>
      <c r="B71" s="6" t="s">
        <v>734</v>
      </c>
    </row>
    <row r="72" customHeight="1" ht="17.0">
      <c r="A72" s="747" t="s">
        <v>735</v>
      </c>
      <c r="B72" s="6" t="s">
        <v>736</v>
      </c>
    </row>
    <row r="73" customHeight="1" ht="17.0">
      <c r="A73" s="747" t="s">
        <v>737</v>
      </c>
      <c r="B73" s="6" t="s">
        <v>738</v>
      </c>
    </row>
    <row r="74" customHeight="1" ht="17.0">
      <c r="A74" s="747" t="s">
        <v>739</v>
      </c>
      <c r="B74" s="6" t="s">
        <v>740</v>
      </c>
    </row>
    <row r="75" customHeight="1" ht="17.0">
      <c r="A75" s="747" t="s">
        <v>741</v>
      </c>
      <c r="B75" s="6" t="s">
        <v>742</v>
      </c>
    </row>
    <row r="76" customHeight="1" ht="17.0">
      <c r="A76" s="747" t="s">
        <v>743</v>
      </c>
      <c r="B76" s="6" t="s">
        <v>744</v>
      </c>
    </row>
    <row r="77" customHeight="1" ht="17.0">
      <c r="A77" s="747" t="s">
        <v>745</v>
      </c>
      <c r="B77" s="6" t="s">
        <v>746</v>
      </c>
    </row>
    <row r="78" customHeight="1" ht="17.0">
      <c r="A78" s="747" t="s">
        <v>747</v>
      </c>
      <c r="B78" s="6" t="s">
        <v>748</v>
      </c>
    </row>
    <row r="79" customHeight="1" ht="17.0">
      <c r="A79" s="747" t="s">
        <v>749</v>
      </c>
      <c r="B79" s="6" t="s">
        <v>750</v>
      </c>
    </row>
    <row r="80" customHeight="1" ht="17.0">
      <c r="A80" s="747" t="s">
        <v>751</v>
      </c>
      <c r="B80" s="6" t="s">
        <v>752</v>
      </c>
    </row>
    <row r="81" customHeight="1" ht="17.0">
      <c r="A81" s="747" t="s">
        <v>753</v>
      </c>
      <c r="B81" s="6" t="s">
        <v>754</v>
      </c>
    </row>
    <row r="82" customHeight="1" ht="17.0">
      <c r="A82" s="747" t="s">
        <v>755</v>
      </c>
      <c r="B82" s="6" t="s">
        <v>756</v>
      </c>
    </row>
    <row r="83" customHeight="1" ht="17.0">
      <c r="A83" s="747" t="s">
        <v>757</v>
      </c>
      <c r="B83" s="6" t="s">
        <v>758</v>
      </c>
    </row>
  </sheetData>
  <mergeCells count="1">
    <mergeCell ref="G1:I1"/>
  </mergeCells>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I27"/>
  <sheetViews>
    <sheetView workbookViewId="0" showGridLines="0">
      <pane ySplit="4" topLeftCell="A5" state="frozen"/>
    </sheetView>
  </sheetViews>
  <sheetFormatPr defaultRowHeight="17.0" customHeight="1"/>
  <cols>
    <col min="1" max="1" style="753" width="2.64"/>
    <col min="2" max="2" style="753" width="20.66"/>
    <col min="3" max="3" style="753" width="21.86"/>
    <col min="4" max="5" style="753" width="24.11"/>
    <col min="6" max="6" style="753" width="20.27"/>
    <col min="7" max="7" style="753" width="24.64"/>
    <col min="8" max="8" style="753" width="22.52"/>
    <col min="9" max="9" style="753" width="22.39"/>
    <col min="10" max="10" style="753" width="7.55"/>
    <col min="11" max="16" style="753" width="21.59"/>
    <col min="17" max="19" style="753" width="22.25"/>
    <col min="20" max="2048" style="753" width="9.14"/>
  </cols>
  <sheetData>
    <row r="2" ht="27.0">
      <c r="B2" s="754" t="s">
        <v>759</v>
      </c>
      <c r="C2" s="755"/>
      <c r="D2" s="755"/>
      <c r="E2" s="755"/>
      <c r="F2" s="755"/>
      <c r="G2" s="755"/>
      <c r="H2" s="756"/>
    </row>
    <row r="3" ht="32.0">
      <c r="B3" s="757" t="s">
        <v>760</v>
      </c>
      <c r="C3" s="758" t="s">
        <v>761</v>
      </c>
      <c r="D3" s="758" t="s">
        <v>762</v>
      </c>
      <c r="E3" s="759" t="s">
        <v>763</v>
      </c>
      <c r="F3" s="758" t="s">
        <v>764</v>
      </c>
      <c r="G3" s="758" t="s">
        <v>765</v>
      </c>
      <c r="H3" s="759" t="s">
        <v>766</v>
      </c>
    </row>
    <row r="4" ht="32.0">
      <c r="B4" s="760">
        <f>SUM(C4:H4)</f>
        <v>0.0</v>
      </c>
      <c r="C4" s="761"/>
      <c r="D4" s="762"/>
      <c r="E4" s="762"/>
      <c r="F4" s="762"/>
      <c r="G4" s="762"/>
      <c r="H4" s="762"/>
    </row>
    <row r="5" customHeight="1" ht="114.0">
      <c r="B5" s="763">
        <v>5.0</v>
      </c>
      <c r="C5" s="764" t="s">
        <v>767</v>
      </c>
      <c r="D5" s="765" t="s">
        <v>768</v>
      </c>
      <c r="E5" s="765" t="s">
        <v>411</v>
      </c>
      <c r="F5" s="765" t="s">
        <v>769</v>
      </c>
      <c r="G5" s="765" t="s">
        <v>770</v>
      </c>
      <c r="H5" s="766" t="s">
        <v>411</v>
      </c>
      <c r="K5" s="767"/>
      <c r="L5" s="767"/>
      <c r="M5" s="767"/>
      <c r="N5" s="767"/>
      <c r="O5" s="767"/>
      <c r="P5" s="767"/>
      <c r="Q5" s="767"/>
      <c r="R5" s="767"/>
      <c r="S5" s="767"/>
    </row>
    <row r="6" customHeight="1" ht="120.0">
      <c r="B6" s="768">
        <v>4.0</v>
      </c>
      <c r="C6" s="769" t="s">
        <v>771</v>
      </c>
      <c r="D6" s="770" t="s">
        <v>772</v>
      </c>
      <c r="E6" s="770" t="s">
        <v>773</v>
      </c>
      <c r="F6" s="770" t="s">
        <v>774</v>
      </c>
      <c r="G6" s="770" t="s">
        <v>775</v>
      </c>
      <c r="H6" s="771" t="s">
        <v>411</v>
      </c>
      <c r="K6" s="772"/>
      <c r="L6" s="773"/>
      <c r="M6" s="773"/>
      <c r="N6" s="773"/>
      <c r="O6" s="773"/>
      <c r="P6" s="773"/>
      <c r="Q6" s="773"/>
      <c r="R6" s="773"/>
      <c r="S6" s="773"/>
    </row>
    <row r="7" customHeight="1" ht="169.0">
      <c r="B7" s="768">
        <v>3.0</v>
      </c>
      <c r="C7" s="769" t="s">
        <v>776</v>
      </c>
      <c r="D7" s="770" t="s">
        <v>777</v>
      </c>
      <c r="E7" s="770" t="s">
        <v>778</v>
      </c>
      <c r="F7" s="770" t="s">
        <v>779</v>
      </c>
      <c r="G7" s="770" t="s">
        <v>780</v>
      </c>
      <c r="H7" s="771" t="s">
        <v>781</v>
      </c>
      <c r="L7" s="774"/>
    </row>
    <row r="8" customHeight="1" ht="167.0">
      <c r="B8" s="768">
        <v>2.0</v>
      </c>
      <c r="C8" s="769" t="s">
        <v>782</v>
      </c>
      <c r="D8" s="770" t="s">
        <v>783</v>
      </c>
      <c r="E8" s="770" t="s">
        <v>784</v>
      </c>
      <c r="F8" s="770" t="s">
        <v>785</v>
      </c>
      <c r="G8" s="770" t="s">
        <v>786</v>
      </c>
      <c r="H8" s="771" t="s">
        <v>787</v>
      </c>
      <c r="L8" s="774"/>
    </row>
    <row r="9" ht="123.0">
      <c r="B9" s="768">
        <v>1.0</v>
      </c>
      <c r="C9" s="769" t="s">
        <v>788</v>
      </c>
      <c r="D9" s="770" t="s">
        <v>789</v>
      </c>
      <c r="E9" s="770" t="s">
        <v>790</v>
      </c>
      <c r="F9" s="770" t="s">
        <v>791</v>
      </c>
      <c r="G9" s="770" t="s">
        <v>792</v>
      </c>
      <c r="H9" s="771" t="s">
        <v>793</v>
      </c>
      <c r="L9" s="774"/>
    </row>
    <row r="10" ht="97.0">
      <c r="B10" s="775">
        <v>0.0</v>
      </c>
      <c r="C10" s="776" t="s">
        <v>411</v>
      </c>
      <c r="D10" s="777" t="s">
        <v>794</v>
      </c>
      <c r="E10" s="777" t="s">
        <v>795</v>
      </c>
      <c r="F10" s="777" t="s">
        <v>796</v>
      </c>
      <c r="G10" s="777" t="s">
        <v>797</v>
      </c>
      <c r="H10" s="778" t="s">
        <v>798</v>
      </c>
    </row>
    <row r="13" customHeight="1" ht="17.0">
      <c r="B13" s="753" t="s">
        <v>799</v>
      </c>
    </row>
    <row r="14" customHeight="1" ht="15.0">
      <c r="B14" s="779" t="s">
        <f>'4. PFS '!B75</f>
        <v>308</v>
      </c>
      <c r="C14" s="780"/>
      <c r="D14" s="779" t="s">
        <f>'4. PFS '!B76</f>
        <v>310</v>
      </c>
      <c r="E14" s="780"/>
      <c r="F14" s="779" t="s">
        <f>'4. PFS '!B77</f>
        <v>312</v>
      </c>
      <c r="G14" s="780"/>
      <c r="H14" s="779" t="s">
        <f>'4. PFS '!B78</f>
        <v>314</v>
      </c>
      <c r="I14" s="780"/>
    </row>
    <row r="15" customHeight="1" ht="17.0">
      <c r="B15" s="781" t="s">
        <v>800</v>
      </c>
      <c r="C15" s="782">
        <f>'4. PFS '!C$37</f>
        <v>0.0</v>
      </c>
      <c r="D15" s="781" t="s">
        <v>800</v>
      </c>
      <c r="E15" s="782">
        <f>'4. PFS '!E37</f>
        <v>0.0</v>
      </c>
      <c r="F15" s="781" t="s">
        <v>800</v>
      </c>
      <c r="G15" s="782">
        <f>'4. PFS '!G37</f>
        <v>0.0</v>
      </c>
      <c r="H15" s="781" t="s">
        <v>800</v>
      </c>
      <c r="I15" s="782">
        <f>'4. PFS '!I37</f>
        <v>0.0</v>
      </c>
    </row>
    <row r="16" customHeight="1" ht="17.0">
      <c r="B16" s="781" t="s">
        <v>801</v>
      </c>
      <c r="C16" s="783">
        <v>0.0</v>
      </c>
      <c r="D16" s="781" t="s">
        <v>801</v>
      </c>
      <c r="E16" s="783">
        <v>0.0</v>
      </c>
      <c r="F16" s="781" t="s">
        <v>801</v>
      </c>
      <c r="G16" s="783">
        <v>0.0</v>
      </c>
      <c r="H16" s="781" t="s">
        <v>801</v>
      </c>
      <c r="I16" s="783">
        <v>0.0</v>
      </c>
    </row>
    <row r="17" customHeight="1" ht="17.0">
      <c r="B17" s="781" t="s">
        <v>802</v>
      </c>
      <c r="C17" s="784">
        <f>C16*4.5</f>
        <v>0.0</v>
      </c>
      <c r="D17" s="781" t="s">
        <v>802</v>
      </c>
      <c r="E17" s="784">
        <f>E16*4.5</f>
        <v>0.0</v>
      </c>
      <c r="F17" s="781" t="s">
        <v>802</v>
      </c>
      <c r="G17" s="784">
        <f>G16*4.5</f>
        <v>0.0</v>
      </c>
      <c r="H17" s="781" t="s">
        <v>803</v>
      </c>
      <c r="I17" s="784">
        <f>I16*4.5</f>
        <v>0.0</v>
      </c>
    </row>
    <row r="18" customHeight="1" ht="17.0">
      <c r="B18" s="781" t="s">
        <v>804</v>
      </c>
      <c r="C18" s="784">
        <f>C16*4.999</f>
        <v>0.0</v>
      </c>
      <c r="D18" s="781" t="s">
        <v>804</v>
      </c>
      <c r="E18" s="784">
        <f>E16*4.999</f>
        <v>0.0</v>
      </c>
      <c r="F18" s="781" t="s">
        <v>804</v>
      </c>
      <c r="G18" s="784">
        <f>G16*4.999</f>
        <v>0.0</v>
      </c>
      <c r="H18" s="781" t="s">
        <v>805</v>
      </c>
      <c r="I18" s="784">
        <f>I16*4.999</f>
        <v>0.0</v>
      </c>
    </row>
    <row r="19" customHeight="1" ht="17.0">
      <c r="B19" s="781" t="s">
        <v>806</v>
      </c>
      <c r="C19" s="784">
        <f>C16*5.499</f>
        <v>0.0</v>
      </c>
      <c r="D19" s="781" t="s">
        <v>806</v>
      </c>
      <c r="E19" s="784">
        <f>E16*5.499</f>
        <v>0.0</v>
      </c>
      <c r="F19" s="781" t="s">
        <v>806</v>
      </c>
      <c r="G19" s="784">
        <f>G16*5.499</f>
        <v>0.0</v>
      </c>
      <c r="H19" s="781" t="s">
        <v>807</v>
      </c>
      <c r="I19" s="784">
        <f>I16*5.499</f>
        <v>0.0</v>
      </c>
    </row>
    <row r="20" customHeight="1" ht="17.0">
      <c r="B20" s="785" t="s">
        <v>808</v>
      </c>
      <c r="C20" s="786">
        <f>C16*6</f>
        <v>0.0</v>
      </c>
      <c r="D20" s="785" t="s">
        <v>808</v>
      </c>
      <c r="E20" s="786">
        <f>E16*6</f>
        <v>0.0</v>
      </c>
      <c r="F20" s="785" t="s">
        <v>808</v>
      </c>
      <c r="G20" s="786">
        <f>G16*6</f>
        <v>0.0</v>
      </c>
      <c r="H20" s="785" t="s">
        <v>808</v>
      </c>
      <c r="I20" s="786">
        <f>I16*6</f>
        <v>0.0</v>
      </c>
    </row>
    <row r="21" customHeight="1" ht="17.0">
      <c r="B21" s="779" t="s">
        <f>'4. PFS '!B80</f>
        <v>316</v>
      </c>
      <c r="C21" s="780"/>
      <c r="D21" s="779" t="s">
        <f>'4. PFS '!B81</f>
        <v>317</v>
      </c>
      <c r="E21" s="780"/>
      <c r="F21" s="779" t="s">
        <f>'4. PFS '!B82</f>
        <v>318</v>
      </c>
      <c r="G21" s="780"/>
      <c r="H21" s="779" t="s">
        <f>'4. PFS '!B83</f>
        <v>319</v>
      </c>
      <c r="I21" s="780"/>
    </row>
    <row r="22" customHeight="1" ht="17.0">
      <c r="B22" s="781" t="s">
        <v>800</v>
      </c>
      <c r="C22" s="782">
        <f>'4. PFS '!N37</f>
        <v>0.0</v>
      </c>
      <c r="D22" s="781" t="s">
        <v>800</v>
      </c>
      <c r="E22" s="782">
        <f>'4. PFS '!P$37</f>
        <v>0.0</v>
      </c>
      <c r="F22" s="781" t="s">
        <v>800</v>
      </c>
      <c r="G22" s="782">
        <f>'4. PFS '!R$37</f>
        <v>0.0</v>
      </c>
      <c r="H22" s="781" t="s">
        <v>800</v>
      </c>
      <c r="I22" s="782">
        <f>'4. PFS '!T$37</f>
        <v>0.0</v>
      </c>
    </row>
    <row r="23" customHeight="1" ht="17.0">
      <c r="B23" s="781" t="s">
        <v>801</v>
      </c>
      <c r="C23" s="783">
        <v>0.0</v>
      </c>
      <c r="D23" s="781" t="s">
        <v>801</v>
      </c>
      <c r="E23" s="783">
        <v>0.0</v>
      </c>
      <c r="F23" s="781" t="s">
        <v>801</v>
      </c>
      <c r="G23" s="783">
        <v>0.0</v>
      </c>
      <c r="H23" s="781" t="s">
        <v>801</v>
      </c>
      <c r="I23" s="783">
        <v>1.0</v>
      </c>
    </row>
    <row r="24" customHeight="1" ht="17.0">
      <c r="B24" s="781" t="s">
        <v>802</v>
      </c>
      <c r="C24" s="784">
        <f>C23*4.5</f>
        <v>0.0</v>
      </c>
      <c r="D24" s="781" t="s">
        <v>802</v>
      </c>
      <c r="E24" s="784">
        <f>E23*4.5</f>
        <v>0.0</v>
      </c>
      <c r="F24" s="781" t="s">
        <v>802</v>
      </c>
      <c r="G24" s="784">
        <f>G23*4.5</f>
        <v>0.0</v>
      </c>
      <c r="H24" s="781" t="s">
        <v>803</v>
      </c>
      <c r="I24" s="784">
        <f>I23*4.5</f>
        <v>4.5</v>
      </c>
    </row>
    <row r="25" customHeight="1" ht="17.0">
      <c r="B25" s="781" t="s">
        <v>804</v>
      </c>
      <c r="C25" s="784">
        <f>C23*4.999</f>
        <v>0.0</v>
      </c>
      <c r="D25" s="781" t="s">
        <v>804</v>
      </c>
      <c r="E25" s="784">
        <f>E23*4.999</f>
        <v>0.0</v>
      </c>
      <c r="F25" s="781" t="s">
        <v>804</v>
      </c>
      <c r="G25" s="784">
        <f>G23*4.999</f>
        <v>0.0</v>
      </c>
      <c r="H25" s="781" t="s">
        <v>805</v>
      </c>
      <c r="I25" s="784">
        <f>I23*4.999</f>
        <v>4.999</v>
      </c>
    </row>
    <row r="26" customHeight="1" ht="17.0">
      <c r="B26" s="781" t="s">
        <v>806</v>
      </c>
      <c r="C26" s="784">
        <f>C23*5.499</f>
        <v>0.0</v>
      </c>
      <c r="D26" s="781" t="s">
        <v>806</v>
      </c>
      <c r="E26" s="784">
        <f>E23*5.499</f>
        <v>0.0</v>
      </c>
      <c r="F26" s="781" t="s">
        <v>806</v>
      </c>
      <c r="G26" s="784">
        <f>G23*5.499</f>
        <v>0.0</v>
      </c>
      <c r="H26" s="781" t="s">
        <v>807</v>
      </c>
      <c r="I26" s="784">
        <f>I23*5.499</f>
        <v>5.499</v>
      </c>
    </row>
    <row r="27" customHeight="1" ht="17.0">
      <c r="B27" s="785" t="s">
        <v>808</v>
      </c>
      <c r="C27" s="786">
        <f>C23*6</f>
        <v>0.0</v>
      </c>
      <c r="D27" s="785" t="s">
        <v>808</v>
      </c>
      <c r="E27" s="786">
        <f>E23*6</f>
        <v>0.0</v>
      </c>
      <c r="F27" s="785" t="s">
        <v>808</v>
      </c>
      <c r="G27" s="786">
        <f>G23*6</f>
        <v>0.0</v>
      </c>
      <c r="H27" s="785" t="s">
        <v>808</v>
      </c>
      <c r="I27" s="786">
        <f>I23*6</f>
        <v>6.0</v>
      </c>
    </row>
  </sheetData>
  <mergeCells count="9">
    <mergeCell ref="B21:C21"/>
    <mergeCell ref="B14:C14"/>
    <mergeCell ref="B2:H2"/>
    <mergeCell ref="D21:E21"/>
    <mergeCell ref="D14:E14"/>
    <mergeCell ref="F14:G14"/>
    <mergeCell ref="F21:G21"/>
    <mergeCell ref="H14:I14"/>
    <mergeCell ref="H21:I21"/>
  </mergeCells>
  <conditionalFormatting sqref="H22:H27 F22:F27">
    <cfRule dxfId="5" type="duplicateValues" priority="1"/>
  </conditionalFormatting>
  <conditionalFormatting sqref="D22:D27">
    <cfRule dxfId="5" type="duplicateValues" priority="2"/>
  </conditionalFormatting>
  <conditionalFormatting sqref="B22:B27">
    <cfRule dxfId="5" type="duplicateValues" priority="3"/>
  </conditionalFormatting>
  <conditionalFormatting sqref="F15:F20 H15:H20">
    <cfRule dxfId="5" type="duplicateValues" priority="4"/>
  </conditionalFormatting>
  <conditionalFormatting sqref="D15:D20">
    <cfRule dxfId="5" type="duplicateValues" priority="5"/>
  </conditionalFormatting>
  <conditionalFormatting sqref="B15:B20">
    <cfRule dxfId="5" type="duplicateValues" priority="6"/>
  </conditionalFormatting>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sheetPr>
    <tabColor rgb="FF2ECC71"/>
  </sheetPr>
  <dimension ref="A1:F84"/>
  <sheetViews>
    <sheetView workbookViewId="0"/>
  </sheetViews>
  <sheetFormatPr defaultRowHeight="17.0" customHeight="1"/>
  <cols>
    <col min="1" max="1" style="6" width="18.81"/>
    <col min="2" max="2" style="6" width="29.41"/>
    <col min="3" max="3" style="6" width="18.68"/>
    <col min="4" max="4" style="6" width="16.29"/>
    <col min="5" max="5" style="6" width="18.94"/>
    <col min="6" max="6" style="6" width="16.03"/>
    <col min="7" max="2048" style="6" width="9.14"/>
  </cols>
  <sheetData>
    <row r="1">
      <c r="A1" s="740" t="s">
        <v>404</v>
      </c>
      <c r="B1" s="740" t="s">
        <v>405</v>
      </c>
      <c r="C1" s="740" t="s">
        <v>406</v>
      </c>
      <c r="D1" s="740" t="s">
        <v>407</v>
      </c>
      <c r="E1" s="740" t="s">
        <v>408</v>
      </c>
      <c r="F1" s="740" t="s">
        <v>409</v>
      </c>
      <c r="H1" s="787"/>
      <c r="I1" s="788"/>
      <c r="J1" s="788"/>
    </row>
    <row r="2">
      <c r="H2" s="789"/>
      <c r="I2" s="789"/>
      <c r="J2" s="789"/>
    </row>
    <row r="3">
      <c r="A3" s="6" t="s">
        <v>410</v>
      </c>
      <c r="B3" s="6" t="s">
        <v>411</v>
      </c>
      <c r="C3" s="6" t="s">
        <v>177</v>
      </c>
      <c r="D3" s="6" t="s">
        <v>412</v>
      </c>
      <c r="E3" s="6" t="s">
        <v>413</v>
      </c>
      <c r="F3" s="6" t="s">
        <v>414</v>
      </c>
      <c r="H3" s="789"/>
      <c r="I3" s="789"/>
      <c r="J3" s="789"/>
    </row>
    <row r="4">
      <c r="A4" s="6" t="s">
        <v>415</v>
      </c>
      <c r="B4" s="6" t="s">
        <v>416</v>
      </c>
      <c r="C4" s="6" t="s">
        <v>385</v>
      </c>
      <c r="D4" s="6" t="s">
        <v>417</v>
      </c>
      <c r="E4" s="6" t="s">
        <v>418</v>
      </c>
      <c r="F4" s="6" t="s">
        <v>419</v>
      </c>
      <c r="H4" s="789"/>
      <c r="I4" s="789"/>
      <c r="J4" s="789"/>
    </row>
    <row r="5">
      <c r="A5" s="6" t="s">
        <v>420</v>
      </c>
      <c r="B5" s="6" t="s">
        <v>421</v>
      </c>
      <c r="C5" s="6" t="s">
        <v>411</v>
      </c>
      <c r="D5" s="6" t="s">
        <v>422</v>
      </c>
      <c r="E5" s="6" t="s">
        <v>423</v>
      </c>
      <c r="F5" s="6" t="s">
        <v>424</v>
      </c>
      <c r="H5" s="789"/>
      <c r="I5" s="789"/>
      <c r="J5" s="789"/>
    </row>
    <row r="6">
      <c r="A6" s="6" t="s">
        <v>425</v>
      </c>
      <c r="B6" s="743">
        <v>504.0</v>
      </c>
      <c r="E6" s="6" t="s">
        <v>426</v>
      </c>
      <c r="F6" s="6" t="s">
        <v>427</v>
      </c>
    </row>
    <row r="7">
      <c r="A7" s="6" t="s">
        <v>428</v>
      </c>
      <c r="B7" s="6" t="s">
        <v>429</v>
      </c>
      <c r="C7" s="740" t="s">
        <v>430</v>
      </c>
      <c r="E7" s="6" t="s">
        <v>431</v>
      </c>
      <c r="F7" s="6" t="s">
        <v>432</v>
      </c>
    </row>
    <row r="8">
      <c r="A8" s="6" t="s">
        <v>433</v>
      </c>
      <c r="B8" s="6" t="s">
        <v>434</v>
      </c>
      <c r="E8" s="6" t="s">
        <v>435</v>
      </c>
      <c r="F8" s="6" t="s">
        <v>436</v>
      </c>
    </row>
    <row r="9">
      <c r="A9" s="6" t="s">
        <v>437</v>
      </c>
      <c r="B9" s="6" t="s">
        <v>438</v>
      </c>
      <c r="C9" s="6" t="s">
        <v>439</v>
      </c>
      <c r="E9" s="6" t="s">
        <v>440</v>
      </c>
      <c r="F9" s="6" t="s">
        <v>441</v>
      </c>
    </row>
    <row r="10">
      <c r="A10" s="6" t="s">
        <v>442</v>
      </c>
      <c r="C10" s="6" t="s">
        <v>443</v>
      </c>
      <c r="D10" s="740" t="s">
        <v>444</v>
      </c>
      <c r="E10" s="6" t="s">
        <v>445</v>
      </c>
      <c r="F10" s="6" t="s">
        <v>446</v>
      </c>
    </row>
    <row r="11">
      <c r="A11" s="6" t="s">
        <v>447</v>
      </c>
      <c r="E11" s="6" t="s">
        <v>448</v>
      </c>
      <c r="F11" s="6" t="s">
        <v>449</v>
      </c>
    </row>
    <row r="12">
      <c r="A12" s="6" t="s">
        <v>450</v>
      </c>
      <c r="D12" s="744" t="s">
        <v>451</v>
      </c>
      <c r="F12" s="6" t="s">
        <v>452</v>
      </c>
    </row>
    <row r="13">
      <c r="A13" s="6" t="s">
        <v>453</v>
      </c>
      <c r="D13" s="744" t="s">
        <v>454</v>
      </c>
      <c r="F13" s="6" t="s">
        <v>455</v>
      </c>
    </row>
    <row r="14">
      <c r="F14" s="6" t="s">
        <v>456</v>
      </c>
    </row>
    <row r="15">
      <c r="A15" s="740" t="s">
        <v>457</v>
      </c>
      <c r="B15" s="740" t="s">
        <v>458</v>
      </c>
      <c r="C15" s="740" t="s">
        <v>459</v>
      </c>
      <c r="D15" s="740" t="s">
        <v>182</v>
      </c>
      <c r="E15" s="740" t="s">
        <v>186</v>
      </c>
      <c r="F15" s="6" t="s">
        <v>460</v>
      </c>
    </row>
    <row r="16">
      <c r="A16" s="790"/>
      <c r="F16" s="6" t="s">
        <v>461</v>
      </c>
    </row>
    <row r="17">
      <c r="A17" s="6" t="s">
        <v>462</v>
      </c>
      <c r="B17" s="6" t="s">
        <v>411</v>
      </c>
      <c r="C17" s="6">
        <v>1.0</v>
      </c>
      <c r="D17" s="6" t="s">
        <v>183</v>
      </c>
      <c r="E17" s="6" t="s">
        <v>463</v>
      </c>
      <c r="F17" s="6" t="s">
        <v>464</v>
      </c>
    </row>
    <row r="18">
      <c r="A18" s="6" t="s">
        <v>465</v>
      </c>
      <c r="B18" s="6" t="s">
        <v>466</v>
      </c>
      <c r="C18" s="6">
        <v>2.0</v>
      </c>
      <c r="D18" s="6" t="s">
        <v>467</v>
      </c>
      <c r="E18" s="6" t="s">
        <v>468</v>
      </c>
      <c r="H18" s="791"/>
      <c r="I18" s="791"/>
      <c r="J18" s="791"/>
    </row>
    <row r="19">
      <c r="A19" s="6" t="s">
        <v>469</v>
      </c>
      <c r="B19" s="6" t="s">
        <v>470</v>
      </c>
      <c r="C19" s="6">
        <v>3.0</v>
      </c>
      <c r="D19" s="6" t="s">
        <v>471</v>
      </c>
      <c r="E19" s="6" t="s">
        <v>472</v>
      </c>
    </row>
    <row r="20">
      <c r="A20" s="6" t="s">
        <v>473</v>
      </c>
      <c r="B20" s="743">
        <v>504.0</v>
      </c>
      <c r="C20" s="6">
        <v>4.0</v>
      </c>
      <c r="D20" s="6" t="s">
        <v>474</v>
      </c>
      <c r="E20" s="6" t="s">
        <v>208</v>
      </c>
    </row>
    <row r="21">
      <c r="A21" s="6" t="s">
        <v>475</v>
      </c>
      <c r="B21" s="6" t="s">
        <v>429</v>
      </c>
      <c r="C21" s="6">
        <v>5.0</v>
      </c>
      <c r="D21" s="6" t="s">
        <v>476</v>
      </c>
      <c r="F21" s="740" t="s">
        <v>477</v>
      </c>
    </row>
    <row r="22">
      <c r="A22" s="6" t="s">
        <v>478</v>
      </c>
      <c r="C22" s="6">
        <v>5.5</v>
      </c>
      <c r="D22" s="6" t="s">
        <v>184</v>
      </c>
    </row>
    <row r="23">
      <c r="A23" s="6" t="s">
        <v>479</v>
      </c>
      <c r="C23" s="6">
        <v>6.0</v>
      </c>
      <c r="D23" s="6" t="s">
        <v>480</v>
      </c>
      <c r="F23" s="6" t="s">
        <v>481</v>
      </c>
    </row>
    <row r="24">
      <c r="A24" s="6" t="s">
        <v>482</v>
      </c>
      <c r="C24" s="6">
        <v>7.0</v>
      </c>
      <c r="D24" s="6" t="s">
        <v>483</v>
      </c>
      <c r="F24" s="6" t="s">
        <v>484</v>
      </c>
    </row>
    <row r="25">
      <c r="A25" s="6" t="s">
        <v>485</v>
      </c>
      <c r="C25" s="6">
        <v>8.0</v>
      </c>
      <c r="D25" s="6" t="s">
        <v>208</v>
      </c>
      <c r="F25" s="6" t="s">
        <v>486</v>
      </c>
    </row>
    <row r="26">
      <c r="A26" s="6" t="s">
        <v>487</v>
      </c>
      <c r="C26" s="6">
        <v>9.0</v>
      </c>
    </row>
    <row r="28">
      <c r="F28" s="740" t="s">
        <v>488</v>
      </c>
    </row>
    <row r="29">
      <c r="A29" s="740" t="s">
        <v>489</v>
      </c>
      <c r="B29" s="740" t="s">
        <v>490</v>
      </c>
      <c r="D29" s="740" t="s">
        <v>491</v>
      </c>
      <c r="E29" s="740" t="s">
        <v>327</v>
      </c>
    </row>
    <row r="30">
      <c r="C30" s="740" t="s">
        <v>492</v>
      </c>
      <c r="F30" s="6" t="s">
        <v>466</v>
      </c>
    </row>
    <row r="31">
      <c r="A31" s="6" t="s">
        <v>493</v>
      </c>
      <c r="B31" s="6" t="s">
        <v>494</v>
      </c>
      <c r="D31" s="6" t="s">
        <v>495</v>
      </c>
      <c r="E31" s="6" t="s">
        <v>110</v>
      </c>
      <c r="F31" s="6" t="s">
        <v>496</v>
      </c>
    </row>
    <row r="32">
      <c r="A32" s="6" t="s">
        <v>497</v>
      </c>
      <c r="B32" s="6" t="s">
        <v>498</v>
      </c>
      <c r="C32" s="6" t="s">
        <v>499</v>
      </c>
      <c r="D32" s="6" t="s">
        <v>500</v>
      </c>
      <c r="E32" s="6" t="s">
        <v>501</v>
      </c>
    </row>
    <row r="33">
      <c r="A33" s="6" t="s">
        <v>502</v>
      </c>
      <c r="B33" s="6" t="s">
        <v>503</v>
      </c>
      <c r="C33" s="6" t="s">
        <v>504</v>
      </c>
      <c r="D33" s="6" t="s">
        <v>505</v>
      </c>
      <c r="E33" s="6" t="s">
        <v>506</v>
      </c>
    </row>
    <row r="34">
      <c r="A34" s="6" t="s">
        <v>208</v>
      </c>
      <c r="B34" s="6" t="s">
        <v>507</v>
      </c>
      <c r="C34" s="6" t="s">
        <v>508</v>
      </c>
      <c r="D34" s="6" t="s">
        <v>509</v>
      </c>
      <c r="E34" s="6" t="s">
        <v>510</v>
      </c>
    </row>
    <row r="35">
      <c r="B35" s="6" t="s">
        <v>511</v>
      </c>
      <c r="D35" s="6" t="s">
        <v>512</v>
      </c>
      <c r="E35" s="6" t="s">
        <v>513</v>
      </c>
    </row>
    <row r="36">
      <c r="D36" s="6" t="s">
        <v>514</v>
      </c>
      <c r="E36" s="6" t="s">
        <v>515</v>
      </c>
      <c r="F36" s="740" t="s">
        <v>516</v>
      </c>
    </row>
    <row r="37">
      <c r="D37" s="6" t="s">
        <v>517</v>
      </c>
      <c r="E37" s="6" t="s">
        <v>518</v>
      </c>
    </row>
    <row r="38">
      <c r="A38" s="740" t="s">
        <v>519</v>
      </c>
      <c r="B38" s="740" t="s">
        <v>520</v>
      </c>
      <c r="D38" s="6" t="s">
        <v>521</v>
      </c>
      <c r="E38" s="6" t="s">
        <v>208</v>
      </c>
      <c r="F38" s="6" t="s">
        <v>522</v>
      </c>
    </row>
    <row r="39">
      <c r="D39" s="6" t="s">
        <v>523</v>
      </c>
      <c r="E39" s="740" t="s">
        <v>524</v>
      </c>
      <c r="F39" s="6" t="s">
        <v>525</v>
      </c>
    </row>
    <row r="40">
      <c r="A40" s="6" t="s">
        <v>526</v>
      </c>
      <c r="B40" s="6" t="s">
        <v>527</v>
      </c>
      <c r="D40" s="6" t="s">
        <v>528</v>
      </c>
      <c r="F40" s="6" t="s">
        <v>529</v>
      </c>
    </row>
    <row r="41">
      <c r="A41" s="6" t="s">
        <v>530</v>
      </c>
      <c r="B41" s="6" t="s">
        <v>531</v>
      </c>
      <c r="D41" s="6" t="s">
        <v>532</v>
      </c>
      <c r="E41" s="6" t="s">
        <v>533</v>
      </c>
      <c r="F41" s="6" t="s">
        <v>534</v>
      </c>
    </row>
    <row r="42">
      <c r="A42" s="6" t="s">
        <v>535</v>
      </c>
      <c r="B42" s="6" t="s">
        <v>536</v>
      </c>
      <c r="D42" s="6" t="s">
        <v>537</v>
      </c>
      <c r="E42" s="6" t="s">
        <v>538</v>
      </c>
      <c r="F42" s="6" t="s">
        <v>539</v>
      </c>
    </row>
    <row r="43">
      <c r="D43" s="6" t="s">
        <v>540</v>
      </c>
      <c r="E43" s="6" t="s">
        <v>541</v>
      </c>
      <c r="F43" s="6" t="s">
        <v>542</v>
      </c>
    </row>
    <row r="44">
      <c r="A44" s="740"/>
      <c r="D44" s="6" t="s">
        <v>543</v>
      </c>
      <c r="E44" s="6" t="s">
        <v>544</v>
      </c>
      <c r="F44" s="6" t="s">
        <v>545</v>
      </c>
    </row>
    <row r="45">
      <c r="C45" s="740" t="s">
        <v>546</v>
      </c>
      <c r="D45" s="6" t="s">
        <v>208</v>
      </c>
      <c r="E45" s="6" t="s">
        <v>547</v>
      </c>
      <c r="F45" s="6" t="s">
        <v>548</v>
      </c>
    </row>
    <row r="46">
      <c r="A46" s="740"/>
      <c r="E46" s="6" t="s">
        <v>549</v>
      </c>
      <c r="F46" s="6" t="s">
        <v>550</v>
      </c>
    </row>
    <row r="47">
      <c r="A47" s="740" t="s">
        <v>551</v>
      </c>
      <c r="B47" s="740" t="s">
        <v>552</v>
      </c>
      <c r="C47" s="6" t="s">
        <v>411</v>
      </c>
      <c r="E47" s="6" t="s">
        <v>208</v>
      </c>
      <c r="F47" s="6" t="s">
        <v>208</v>
      </c>
    </row>
    <row r="48">
      <c r="C48" s="6" t="s">
        <v>553</v>
      </c>
      <c r="E48" s="6" t="s">
        <v>554</v>
      </c>
      <c r="F48" s="6" t="s">
        <v>554</v>
      </c>
    </row>
    <row r="49">
      <c r="A49" s="4">
        <v>10.0</v>
      </c>
      <c r="B49" s="6" t="s">
        <v>555</v>
      </c>
      <c r="C49" s="6" t="s">
        <v>39</v>
      </c>
    </row>
    <row r="50">
      <c r="A50" s="4">
        <v>20.0</v>
      </c>
      <c r="B50" s="6" t="s">
        <v>556</v>
      </c>
      <c r="C50" s="6" t="s">
        <v>557</v>
      </c>
    </row>
    <row r="51">
      <c r="A51" s="4">
        <v>25.0</v>
      </c>
      <c r="B51" s="6" t="s">
        <v>558</v>
      </c>
      <c r="D51" s="740" t="s">
        <v>559</v>
      </c>
    </row>
    <row r="52">
      <c r="B52" s="6" t="s">
        <v>560</v>
      </c>
      <c r="C52" s="740" t="s">
        <v>561</v>
      </c>
      <c r="E52" s="740" t="s">
        <v>562</v>
      </c>
      <c r="F52" s="740" t="s">
        <v>563</v>
      </c>
    </row>
    <row r="53">
      <c r="A53" s="740" t="s">
        <v>564</v>
      </c>
      <c r="B53" s="6" t="s">
        <v>565</v>
      </c>
      <c r="D53" s="6" t="s">
        <v>411</v>
      </c>
    </row>
    <row r="54">
      <c r="B54" s="6" t="s">
        <v>566</v>
      </c>
      <c r="C54" s="6" t="s">
        <v>411</v>
      </c>
      <c r="D54" s="6" t="s">
        <v>567</v>
      </c>
      <c r="E54" s="6" t="s">
        <v>361</v>
      </c>
      <c r="F54" s="6" t="s">
        <v>568</v>
      </c>
    </row>
    <row r="55">
      <c r="A55" s="6" t="s">
        <v>158</v>
      </c>
      <c r="C55" s="6" t="s">
        <v>569</v>
      </c>
      <c r="D55" s="6" t="s">
        <v>570</v>
      </c>
      <c r="E55" s="6" t="s">
        <v>571</v>
      </c>
      <c r="F55" s="6" t="s">
        <v>572</v>
      </c>
    </row>
    <row r="56">
      <c r="A56" s="6" t="s">
        <v>573</v>
      </c>
      <c r="C56" s="6" t="s">
        <v>574</v>
      </c>
      <c r="D56" s="6" t="s">
        <v>575</v>
      </c>
      <c r="F56" s="6" t="s">
        <v>576</v>
      </c>
    </row>
    <row r="57">
      <c r="C57" s="6" t="s">
        <v>577</v>
      </c>
      <c r="D57" s="6" t="s">
        <v>578</v>
      </c>
    </row>
    <row r="58">
      <c r="D58" s="6" t="s">
        <v>579</v>
      </c>
    </row>
    <row r="59">
      <c r="F59" s="740" t="s">
        <v>580</v>
      </c>
    </row>
    <row r="60">
      <c r="A60" s="740" t="s">
        <v>581</v>
      </c>
      <c r="B60" s="740" t="s">
        <v>582</v>
      </c>
      <c r="D60" s="740" t="s">
        <v>583</v>
      </c>
      <c r="E60" s="740" t="s">
        <v>584</v>
      </c>
    </row>
    <row r="61">
      <c r="C61" s="740" t="s">
        <v>54</v>
      </c>
      <c r="F61" s="6" t="s">
        <v>53</v>
      </c>
    </row>
    <row r="62">
      <c r="A62" s="6" t="s">
        <v>411</v>
      </c>
      <c r="B62" s="6" t="s">
        <v>585</v>
      </c>
      <c r="C62" s="747"/>
      <c r="D62" s="6" t="s">
        <v>411</v>
      </c>
      <c r="E62" s="6" t="s">
        <v>586</v>
      </c>
      <c r="F62" s="6" t="s">
        <v>587</v>
      </c>
    </row>
    <row r="63">
      <c r="A63" s="6" t="s">
        <v>588</v>
      </c>
      <c r="B63" s="6" t="s">
        <v>589</v>
      </c>
      <c r="C63" s="747" t="s">
        <v>169</v>
      </c>
      <c r="D63" s="6" t="s">
        <v>590</v>
      </c>
    </row>
    <row r="64">
      <c r="A64" s="6" t="s">
        <v>591</v>
      </c>
      <c r="B64" s="6" t="s">
        <v>208</v>
      </c>
      <c r="C64" s="747" t="s">
        <v>55</v>
      </c>
      <c r="D64" s="6" t="s">
        <v>592</v>
      </c>
    </row>
    <row r="65">
      <c r="A65" s="6" t="s">
        <v>593</v>
      </c>
      <c r="C65" s="747" t="s">
        <v>170</v>
      </c>
    </row>
    <row r="66">
      <c r="A66" s="6" t="s">
        <v>594</v>
      </c>
    </row>
    <row r="67">
      <c r="A67" s="6" t="s">
        <v>595</v>
      </c>
      <c r="F67" s="740" t="s">
        <v>596</v>
      </c>
    </row>
    <row r="68">
      <c r="A68" s="6" t="s">
        <v>597</v>
      </c>
      <c r="F68" s="4"/>
    </row>
    <row r="69">
      <c r="F69" s="748" t="e">
        <f t="shared" ref="F69:F72" si="0">#REF!</f>
        <v>#REF!</v>
      </c>
    </row>
    <row r="70">
      <c r="A70" s="740" t="s">
        <v>598</v>
      </c>
      <c r="B70" s="740" t="s">
        <v>599</v>
      </c>
      <c r="C70" s="740" t="s">
        <v>600</v>
      </c>
      <c r="D70" s="740" t="s">
        <v>601</v>
      </c>
      <c r="E70" s="740" t="s">
        <v>602</v>
      </c>
      <c r="F70" s="4" t="e">
        <f t="shared" si="0"/>
        <v>#REF!</v>
      </c>
    </row>
    <row r="71">
      <c r="F71" s="4" t="e">
        <f t="shared" si="0"/>
        <v>#REF!</v>
      </c>
    </row>
    <row r="72">
      <c r="A72" s="6" t="s">
        <v>603</v>
      </c>
      <c r="B72" s="6" t="s">
        <v>604</v>
      </c>
      <c r="C72" s="749">
        <v>0.65</v>
      </c>
      <c r="D72" s="750" t="s">
        <v>605</v>
      </c>
      <c r="E72" s="750" t="s">
        <v>606</v>
      </c>
      <c r="F72" s="4" t="e">
        <f t="shared" si="0"/>
        <v>#REF!</v>
      </c>
    </row>
    <row r="73">
      <c r="A73" s="6" t="s">
        <v>607</v>
      </c>
      <c r="B73" s="6" t="s">
        <v>608</v>
      </c>
      <c r="C73" s="749">
        <v>0.75</v>
      </c>
      <c r="D73" s="750" t="s">
        <v>609</v>
      </c>
      <c r="E73" s="750" t="s">
        <v>610</v>
      </c>
    </row>
    <row r="74">
      <c r="A74" s="6" t="s">
        <v>611</v>
      </c>
      <c r="B74" s="6" t="s">
        <v>612</v>
      </c>
      <c r="C74" s="749">
        <v>0.8</v>
      </c>
      <c r="D74" s="750" t="s">
        <v>613</v>
      </c>
      <c r="E74" s="750" t="s">
        <v>614</v>
      </c>
      <c r="F74" s="740" t="s">
        <v>615</v>
      </c>
    </row>
    <row r="75">
      <c r="A75" s="6" t="s">
        <v>616</v>
      </c>
      <c r="C75" s="749">
        <v>0.85</v>
      </c>
      <c r="D75" s="750" t="s">
        <v>617</v>
      </c>
      <c r="E75" s="750" t="s">
        <v>618</v>
      </c>
    </row>
    <row r="76">
      <c r="D76" s="750" t="s">
        <v>619</v>
      </c>
      <c r="E76" s="750" t="s">
        <v>620</v>
      </c>
      <c r="F76" s="6" t="s">
        <v>621</v>
      </c>
    </row>
    <row r="77">
      <c r="D77" s="750" t="s">
        <v>622</v>
      </c>
      <c r="F77" s="6" t="s">
        <v>413</v>
      </c>
    </row>
    <row r="78">
      <c r="F78" s="6" t="s">
        <v>414</v>
      </c>
    </row>
    <row r="79">
      <c r="A79" s="740" t="s">
        <v>623</v>
      </c>
      <c r="B79" s="740"/>
      <c r="F79" s="6" t="s">
        <v>624</v>
      </c>
    </row>
    <row r="80">
      <c r="F80" s="6" t="s">
        <v>625</v>
      </c>
    </row>
    <row r="81">
      <c r="A81" s="6" t="s">
        <v>626</v>
      </c>
      <c r="F81" s="6" t="s">
        <v>627</v>
      </c>
    </row>
    <row r="82">
      <c r="A82" s="6" t="s">
        <v>628</v>
      </c>
      <c r="F82" s="6" t="s">
        <v>629</v>
      </c>
    </row>
    <row r="83">
      <c r="A83" s="6" t="s">
        <v>630</v>
      </c>
      <c r="F83" s="6" t="s">
        <v>631</v>
      </c>
    </row>
    <row r="84">
      <c r="F84" s="6" t="s">
        <v>632</v>
      </c>
    </row>
  </sheetData>
  <mergeCells count="4">
    <mergeCell ref="H3:J3"/>
    <mergeCell ref="H4:J4"/>
    <mergeCell ref="H2:J2"/>
    <mergeCell ref="H5:J5"/>
  </mergeCells>
  <hyperlinks>
    <hyperlink ref="H1" location="Index.A1" display=""/>
  </hyperlinks>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2025-12-08T22:46:42Z</dcterms:created>
</cp:coreProperties>
</file>