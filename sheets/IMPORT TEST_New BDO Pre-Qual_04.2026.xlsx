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ectonicfinancial-my.sharepoint.com/personal/mtorres_tectonicfinancial_com/Documents/T Bank Related Files/T Bank - BDO App/"/>
    </mc:Choice>
  </mc:AlternateContent>
  <xr:revisionPtr revIDLastSave="1176" documentId="11_F6D24D4D3BFE2586734D07491E8811C584056CCD" xr6:coauthVersionLast="47" xr6:coauthVersionMax="47" xr10:uidLastSave="{F68EF5EC-6333-4F4C-9CA0-90574C97C903}"/>
  <bookViews>
    <workbookView xWindow="-108" yWindow="-108" windowWidth="23256" windowHeight="12456" activeTab="2" xr2:uid="{00000000-000D-0000-FFFF-FFFF00000000}"/>
  </bookViews>
  <sheets>
    <sheet name="Financial Spreads" sheetId="7" r:id="rId1"/>
    <sheet name="Summary" sheetId="8" r:id="rId2"/>
    <sheet name="BDO Prequal" sheetId="1" r:id="rId3"/>
    <sheet name="Scores" sheetId="2" r:id="rId4"/>
    <sheet name="Charts" sheetId="3" r:id="rId5"/>
    <sheet name="504-Hybrid" sheetId="4" r:id="rId6"/>
    <sheet name="Lists" sheetId="5" r:id="rId7"/>
  </sheets>
  <externalReferences>
    <externalReference r:id="rId8"/>
  </externalReferences>
  <definedNames>
    <definedName name="Beg_Bal" localSheetId="3">#REF!</definedName>
    <definedName name="Beg_Bal">#REF!</definedName>
    <definedName name="Cum_Int">#REF!</definedName>
    <definedName name="Data">#REF!</definedName>
    <definedName name="DisbursementType" localSheetId="3">#REF!</definedName>
    <definedName name="DisbursementType">#REF!</definedName>
    <definedName name="End_Bal" localSheetId="3">#REF!</definedName>
    <definedName name="End_Bal">#REF!</definedName>
    <definedName name="EXPENSES" localSheetId="3">#REF!</definedName>
    <definedName name="EXPENSES">#REF!</definedName>
    <definedName name="Extra_Pay" localSheetId="3">#REF!</definedName>
    <definedName name="Extra_Pay">#REF!</definedName>
    <definedName name="Full_Print" localSheetId="3">#REF!</definedName>
    <definedName name="Full_Print">#REF!</definedName>
    <definedName name="Header_Row" localSheetId="3">ROW(#REF!)</definedName>
    <definedName name="Header_Row">ROW(#REF!)</definedName>
    <definedName name="Int" localSheetId="3">#REF!</definedName>
    <definedName name="Int">#REF!</definedName>
    <definedName name="Interest_Rate" localSheetId="3">#REF!</definedName>
    <definedName name="Interest_Rate">#REF!</definedName>
    <definedName name="Last_Row" localSheetId="4">IF('504-Hybrid'!Values_Entered,Header_Row+'504-Hybrid'!Number_of_Payments,Header_Row)</definedName>
    <definedName name="Last_Row" localSheetId="3">IF(Scores!Values_Entered,Scores!Header_Row+Scores!Number_of_Payments,Scores!Header_Row)</definedName>
    <definedName name="Last_Row">IF(Values_Entered,Header_Row+Number_of_Payments,Header_Row)</definedName>
    <definedName name="Loan_Amount" localSheetId="3">#REF!</definedName>
    <definedName name="Loan_Amount">#REF!</definedName>
    <definedName name="Loan_Start" localSheetId="3">#REF!</definedName>
    <definedName name="Loan_Start">#REF!</definedName>
    <definedName name="Loan_Years" localSheetId="3">#REF!</definedName>
    <definedName name="Loan_Years">#REF!</definedName>
    <definedName name="MajorExpensesList" localSheetId="3">#REF!</definedName>
    <definedName name="MajorExpensesList">#REF!</definedName>
    <definedName name="Num_Pmt_Per_Year" localSheetId="3">#REF!</definedName>
    <definedName name="Num_Pmt_Per_Year">#REF!</definedName>
    <definedName name="Number_of_Payments" localSheetId="4">MATCH(0.01,End_Bal,-1)+1</definedName>
    <definedName name="Number_of_Payments" localSheetId="3">MATCH(0.01,Scores!End_Bal,-1)+1</definedName>
    <definedName name="Number_of_Payments">MATCH(0.01,End_Bal,-1)+1</definedName>
    <definedName name="Pay_Date">#REF!</definedName>
    <definedName name="Pay_Num" localSheetId="3">#REF!</definedName>
    <definedName name="Pay_Num">#REF!</definedName>
    <definedName name="Payment_Date" localSheetId="3">DATE(YEAR(Scores!Loan_Start),MONTH(Scores!Loan_Start)+Payment_Number,DAY(Scores!Loan_Start))</definedName>
    <definedName name="Payment_Date">DATE(YEAR(Loan_Start),MONTH(Loan_Start)+Payment_Number,DAY(Loan_Start))</definedName>
    <definedName name="Periodic_rate" localSheetId="4">Annual_interest_rate/Payments_per_year</definedName>
    <definedName name="Periodic_rate" localSheetId="3">Annual_interest_rate/Payments_per_year</definedName>
    <definedName name="Periodic_rate">Annual_interest_rate/Payments_per_year</definedName>
    <definedName name="Princ" localSheetId="3">#REF!</definedName>
    <definedName name="Princ">#REF!</definedName>
    <definedName name="_xlnm.Print_Area" localSheetId="3">Scores!$A$1:$I$11</definedName>
    <definedName name="Print_Area_Reset" localSheetId="4">OFFSET(Full_Print,0,0,[0]!Last_Row)</definedName>
    <definedName name="Print_Area_Reset" localSheetId="3">OFFSET(Scores!Full_Print,0,0,Scores!Last_Row)</definedName>
    <definedName name="Print_Area_Reset">OFFSET(Full_Print,0,0,Last_Row)</definedName>
    <definedName name="Sched_Pay" localSheetId="3">#REF!</definedName>
    <definedName name="Sched_Pay">#REF!</definedName>
    <definedName name="Scheduled_Extra_Payments" localSheetId="3">#REF!</definedName>
    <definedName name="Scheduled_Extra_Payments">#REF!</definedName>
    <definedName name="Scheduled_Interest_Rate">#REF!</definedName>
    <definedName name="Scheduled_Monthly_Payment" localSheetId="3">#REF!</definedName>
    <definedName name="Scheduled_Monthly_Payment">#REF!</definedName>
    <definedName name="Total_Interest">#REF!</definedName>
    <definedName name="Total_Pay" localSheetId="3">#REF!</definedName>
    <definedName name="Total_Pay">#REF!</definedName>
    <definedName name="Total_Payment" localSheetId="4">Scheduled_Payment+Extra_Payment</definedName>
    <definedName name="Total_Payment" localSheetId="3">Scheduled_Payment+Extra_Payment</definedName>
    <definedName name="Total_Payment">Scheduled_Payment+Extra_Payment</definedName>
    <definedName name="Total_payments" localSheetId="4">Payments_per_year*Term_in_years</definedName>
    <definedName name="Total_payments" localSheetId="3">Payments_per_year*Term_in_years</definedName>
    <definedName name="Total_payments">Payments_per_year*Term_in_years</definedName>
    <definedName name="Values_Entered" localSheetId="4">IF(Loan_Amount*Interest_Rate*Loan_Years*Loan_Start&gt;0,1,0)</definedName>
    <definedName name="Values_Entered" localSheetId="3">"#N/A"</definedName>
    <definedName name="Values_Entered">IF(Loan_Amount*Interest_Rate*Loan_Years*Loan_Start&gt;0,1,0)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7" l="1"/>
  <c r="J3" i="7"/>
  <c r="H3" i="7"/>
  <c r="I7" i="8"/>
  <c r="J7" i="8"/>
  <c r="H7" i="8"/>
  <c r="D36" i="8"/>
  <c r="E36" i="8"/>
  <c r="F36" i="8"/>
  <c r="G36" i="8"/>
  <c r="I36" i="8"/>
  <c r="J36" i="8"/>
  <c r="C36" i="8"/>
  <c r="K20" i="8"/>
  <c r="C21" i="8"/>
  <c r="D21" i="8"/>
  <c r="E21" i="8"/>
  <c r="F21" i="8"/>
  <c r="G21" i="8"/>
  <c r="H21" i="8"/>
  <c r="I21" i="8"/>
  <c r="J21" i="8"/>
  <c r="C22" i="8"/>
  <c r="D22" i="8"/>
  <c r="E22" i="8"/>
  <c r="F22" i="8"/>
  <c r="G22" i="8"/>
  <c r="H22" i="8"/>
  <c r="I22" i="8"/>
  <c r="J22" i="8"/>
  <c r="C23" i="8"/>
  <c r="D23" i="8"/>
  <c r="E23" i="8"/>
  <c r="F23" i="8"/>
  <c r="G23" i="8"/>
  <c r="H23" i="8"/>
  <c r="I23" i="8"/>
  <c r="J23" i="8"/>
  <c r="C24" i="8"/>
  <c r="D24" i="8"/>
  <c r="E24" i="8"/>
  <c r="F24" i="8"/>
  <c r="G24" i="8"/>
  <c r="H24" i="8"/>
  <c r="I24" i="8"/>
  <c r="J24" i="8"/>
  <c r="C25" i="8"/>
  <c r="D25" i="8"/>
  <c r="E25" i="8"/>
  <c r="F25" i="8"/>
  <c r="G25" i="8"/>
  <c r="H25" i="8"/>
  <c r="I25" i="8"/>
  <c r="J25" i="8"/>
  <c r="C26" i="8"/>
  <c r="D26" i="8"/>
  <c r="E26" i="8"/>
  <c r="F26" i="8"/>
  <c r="G26" i="8"/>
  <c r="H26" i="8"/>
  <c r="I26" i="8"/>
  <c r="J26" i="8"/>
  <c r="C27" i="8"/>
  <c r="D27" i="8"/>
  <c r="E27" i="8"/>
  <c r="F27" i="8"/>
  <c r="G27" i="8"/>
  <c r="H27" i="8"/>
  <c r="I27" i="8"/>
  <c r="J27" i="8"/>
  <c r="C28" i="8"/>
  <c r="D28" i="8"/>
  <c r="E28" i="8"/>
  <c r="F28" i="8"/>
  <c r="G28" i="8"/>
  <c r="H28" i="8"/>
  <c r="I28" i="8"/>
  <c r="J28" i="8"/>
  <c r="C29" i="8"/>
  <c r="D29" i="8"/>
  <c r="E29" i="8"/>
  <c r="F29" i="8"/>
  <c r="G29" i="8"/>
  <c r="H29" i="8"/>
  <c r="I29" i="8"/>
  <c r="J29" i="8"/>
  <c r="C30" i="8"/>
  <c r="D30" i="8"/>
  <c r="E30" i="8"/>
  <c r="F30" i="8"/>
  <c r="G30" i="8"/>
  <c r="H30" i="8"/>
  <c r="I30" i="8"/>
  <c r="J30" i="8"/>
  <c r="C31" i="8"/>
  <c r="D31" i="8"/>
  <c r="E31" i="8"/>
  <c r="F31" i="8"/>
  <c r="G31" i="8"/>
  <c r="H31" i="8"/>
  <c r="I31" i="8"/>
  <c r="J31" i="8"/>
  <c r="C32" i="8"/>
  <c r="D32" i="8"/>
  <c r="E32" i="8"/>
  <c r="F32" i="8"/>
  <c r="G32" i="8"/>
  <c r="H32" i="8"/>
  <c r="I32" i="8"/>
  <c r="J32" i="8"/>
  <c r="C33" i="8"/>
  <c r="D33" i="8"/>
  <c r="E33" i="8"/>
  <c r="F33" i="8"/>
  <c r="G33" i="8"/>
  <c r="H33" i="8"/>
  <c r="I33" i="8"/>
  <c r="J33" i="8"/>
  <c r="C34" i="8"/>
  <c r="D34" i="8"/>
  <c r="E34" i="8"/>
  <c r="F34" i="8"/>
  <c r="G34" i="8"/>
  <c r="H34" i="8"/>
  <c r="I34" i="8"/>
  <c r="J34" i="8"/>
  <c r="C35" i="8"/>
  <c r="D35" i="8"/>
  <c r="E35" i="8"/>
  <c r="F35" i="8"/>
  <c r="G35" i="8"/>
  <c r="I35" i="8"/>
  <c r="J35" i="8"/>
  <c r="D20" i="8"/>
  <c r="E20" i="8"/>
  <c r="F20" i="8"/>
  <c r="G20" i="8"/>
  <c r="H20" i="8"/>
  <c r="I20" i="8"/>
  <c r="J20" i="8"/>
  <c r="I53" i="8"/>
  <c r="H53" i="8"/>
  <c r="G55" i="8"/>
  <c r="F55" i="8"/>
  <c r="E55" i="8"/>
  <c r="D55" i="8"/>
  <c r="E139" i="1"/>
  <c r="N151" i="1"/>
  <c r="N128" i="1" l="1"/>
  <c r="D217" i="1"/>
  <c r="J95" i="1"/>
  <c r="D65" i="8" l="1"/>
  <c r="E65" i="8"/>
  <c r="F65" i="8"/>
  <c r="G65" i="8"/>
  <c r="H65" i="8"/>
  <c r="I65" i="8"/>
  <c r="I64" i="8"/>
  <c r="H64" i="8"/>
  <c r="G64" i="8"/>
  <c r="F64" i="8"/>
  <c r="E64" i="8"/>
  <c r="D64" i="8"/>
  <c r="D58" i="8"/>
  <c r="E58" i="8"/>
  <c r="F58" i="8"/>
  <c r="G58" i="8"/>
  <c r="H58" i="8"/>
  <c r="I58" i="8"/>
  <c r="G45" i="8"/>
  <c r="F45" i="8"/>
  <c r="E45" i="8"/>
  <c r="D45" i="8"/>
  <c r="G44" i="8"/>
  <c r="F44" i="8"/>
  <c r="E44" i="8"/>
  <c r="D44" i="8"/>
  <c r="G43" i="8"/>
  <c r="F43" i="8"/>
  <c r="E43" i="8"/>
  <c r="D43" i="8"/>
  <c r="D42" i="8"/>
  <c r="H40" i="8"/>
  <c r="B40" i="8"/>
  <c r="E107" i="8"/>
  <c r="F107" i="8"/>
  <c r="K19" i="8"/>
  <c r="F106" i="8"/>
  <c r="E106" i="8"/>
  <c r="D106" i="8"/>
  <c r="C106" i="8"/>
  <c r="B106" i="8"/>
  <c r="F105" i="8"/>
  <c r="E105" i="8"/>
  <c r="D105" i="8"/>
  <c r="C105" i="8"/>
  <c r="B105" i="8"/>
  <c r="F104" i="8"/>
  <c r="E104" i="8"/>
  <c r="D104" i="8"/>
  <c r="C104" i="8"/>
  <c r="B104" i="8"/>
  <c r="F103" i="8"/>
  <c r="E103" i="8"/>
  <c r="D103" i="8"/>
  <c r="C103" i="8"/>
  <c r="B103" i="8"/>
  <c r="F102" i="8"/>
  <c r="E102" i="8"/>
  <c r="D102" i="8"/>
  <c r="C102" i="8"/>
  <c r="B102" i="8"/>
  <c r="F101" i="8"/>
  <c r="E101" i="8"/>
  <c r="D101" i="8"/>
  <c r="C101" i="8"/>
  <c r="B101" i="8"/>
  <c r="F100" i="8"/>
  <c r="E100" i="8"/>
  <c r="D100" i="8"/>
  <c r="C100" i="8"/>
  <c r="B100" i="8"/>
  <c r="F99" i="8"/>
  <c r="E99" i="8"/>
  <c r="D99" i="8"/>
  <c r="C99" i="8"/>
  <c r="B99" i="8"/>
  <c r="F98" i="8"/>
  <c r="E98" i="8"/>
  <c r="D98" i="8"/>
  <c r="C98" i="8"/>
  <c r="B98" i="8"/>
  <c r="K97" i="8"/>
  <c r="F97" i="8"/>
  <c r="E97" i="8"/>
  <c r="D97" i="8"/>
  <c r="C97" i="8"/>
  <c r="B97" i="8"/>
  <c r="C49" i="1"/>
  <c r="C2" i="7"/>
  <c r="C30" i="7"/>
  <c r="D30" i="7"/>
  <c r="E30" i="7"/>
  <c r="F30" i="7"/>
  <c r="G30" i="7"/>
  <c r="I30" i="7"/>
  <c r="J30" i="7"/>
  <c r="H16" i="7"/>
  <c r="I16" i="7"/>
  <c r="J16" i="7"/>
  <c r="K16" i="7"/>
  <c r="H17" i="7"/>
  <c r="I17" i="7"/>
  <c r="J17" i="7"/>
  <c r="K17" i="7"/>
  <c r="H18" i="7"/>
  <c r="I18" i="7"/>
  <c r="J18" i="7"/>
  <c r="K18" i="7"/>
  <c r="H19" i="7"/>
  <c r="I19" i="7"/>
  <c r="J19" i="7"/>
  <c r="K19" i="7"/>
  <c r="H20" i="7"/>
  <c r="I20" i="7"/>
  <c r="J20" i="7"/>
  <c r="K20" i="7"/>
  <c r="H21" i="7"/>
  <c r="I21" i="7"/>
  <c r="J21" i="7"/>
  <c r="K21" i="7"/>
  <c r="H22" i="7"/>
  <c r="I22" i="7"/>
  <c r="J22" i="7"/>
  <c r="K22" i="7"/>
  <c r="H23" i="7"/>
  <c r="I23" i="7"/>
  <c r="J23" i="7"/>
  <c r="K23" i="7"/>
  <c r="H24" i="7"/>
  <c r="I24" i="7"/>
  <c r="J24" i="7"/>
  <c r="K24" i="7"/>
  <c r="H25" i="7"/>
  <c r="I25" i="7"/>
  <c r="J25" i="7"/>
  <c r="K25" i="7"/>
  <c r="C26" i="7"/>
  <c r="D26" i="7"/>
  <c r="E26" i="7"/>
  <c r="F26" i="7"/>
  <c r="G26" i="7"/>
  <c r="I26" i="7"/>
  <c r="J26" i="7"/>
  <c r="H27" i="7"/>
  <c r="I27" i="7"/>
  <c r="J27" i="7"/>
  <c r="H28" i="7"/>
  <c r="I28" i="7"/>
  <c r="J28" i="7"/>
  <c r="K28" i="7"/>
  <c r="H29" i="7"/>
  <c r="I29" i="7"/>
  <c r="J29" i="7"/>
  <c r="H15" i="7"/>
  <c r="I15" i="7"/>
  <c r="J15" i="7"/>
  <c r="K15" i="7"/>
  <c r="F5" i="7"/>
  <c r="G5" i="7"/>
  <c r="D2" i="7"/>
  <c r="E2" i="7"/>
  <c r="F2" i="7"/>
  <c r="G2" i="7"/>
  <c r="H2" i="7"/>
  <c r="I2" i="7"/>
  <c r="J2" i="7"/>
  <c r="H7" i="7"/>
  <c r="I7" i="7"/>
  <c r="J7" i="7"/>
  <c r="H8" i="7"/>
  <c r="H9" i="7"/>
  <c r="I9" i="7"/>
  <c r="J9" i="7"/>
  <c r="H10" i="7"/>
  <c r="I10" i="7"/>
  <c r="J10" i="7"/>
  <c r="D7" i="7"/>
  <c r="E7" i="7"/>
  <c r="F7" i="7"/>
  <c r="G7" i="7"/>
  <c r="G8" i="7"/>
  <c r="D9" i="7"/>
  <c r="E9" i="7"/>
  <c r="F9" i="7"/>
  <c r="G9" i="7"/>
  <c r="D10" i="7"/>
  <c r="E10" i="7"/>
  <c r="F10" i="7"/>
  <c r="G10" i="7"/>
  <c r="C10" i="7"/>
  <c r="C9" i="7"/>
  <c r="C11" i="7" s="1"/>
  <c r="C7" i="7"/>
  <c r="C7" i="8"/>
  <c r="D7" i="8"/>
  <c r="E7" i="8"/>
  <c r="F7" i="8"/>
  <c r="G7" i="8"/>
  <c r="C3" i="7"/>
  <c r="D3" i="7"/>
  <c r="E3" i="7"/>
  <c r="F3" i="7"/>
  <c r="G3" i="7"/>
  <c r="I47" i="1"/>
  <c r="I19" i="8" s="1"/>
  <c r="I6" i="8"/>
  <c r="J6" i="8"/>
  <c r="I11" i="8"/>
  <c r="J11" i="8"/>
  <c r="I13" i="8"/>
  <c r="J13" i="8"/>
  <c r="I14" i="8"/>
  <c r="J14" i="8"/>
  <c r="G6" i="8"/>
  <c r="H6" i="8"/>
  <c r="G9" i="8"/>
  <c r="G11" i="8"/>
  <c r="H11" i="8"/>
  <c r="G12" i="8"/>
  <c r="H12" i="8"/>
  <c r="G13" i="8"/>
  <c r="H13" i="8"/>
  <c r="G14" i="8"/>
  <c r="H14" i="8"/>
  <c r="D6" i="8"/>
  <c r="E6" i="8"/>
  <c r="F6" i="8"/>
  <c r="F9" i="8"/>
  <c r="D11" i="8"/>
  <c r="E11" i="8"/>
  <c r="F11" i="8"/>
  <c r="D13" i="8"/>
  <c r="E13" i="8"/>
  <c r="F13" i="8"/>
  <c r="D14" i="8"/>
  <c r="E14" i="8"/>
  <c r="F14" i="8"/>
  <c r="C6" i="8"/>
  <c r="C14" i="8"/>
  <c r="C13" i="8"/>
  <c r="C11" i="8"/>
  <c r="C47" i="1"/>
  <c r="C19" i="8" s="1"/>
  <c r="G47" i="1"/>
  <c r="F47" i="1"/>
  <c r="E47" i="1"/>
  <c r="E19" i="8" s="1"/>
  <c r="D47" i="1"/>
  <c r="D19" i="8" s="1"/>
  <c r="E39" i="1"/>
  <c r="E8" i="7" s="1"/>
  <c r="E36" i="1"/>
  <c r="D39" i="1"/>
  <c r="D8" i="7" s="1"/>
  <c r="D36" i="1"/>
  <c r="E62" i="1"/>
  <c r="F62" i="1"/>
  <c r="F28" i="7" s="1"/>
  <c r="G62" i="1"/>
  <c r="G28" i="7" s="1"/>
  <c r="D62" i="1"/>
  <c r="D28" i="7" s="1"/>
  <c r="D50" i="1"/>
  <c r="E50" i="1"/>
  <c r="F50" i="1"/>
  <c r="G50" i="1"/>
  <c r="G16" i="7" s="1"/>
  <c r="D51" i="1"/>
  <c r="E51" i="1"/>
  <c r="F51" i="1"/>
  <c r="G51" i="1"/>
  <c r="D52" i="1"/>
  <c r="E52" i="1"/>
  <c r="F52" i="1"/>
  <c r="G52" i="1"/>
  <c r="G18" i="7" s="1"/>
  <c r="D53" i="1"/>
  <c r="E53" i="1"/>
  <c r="E19" i="7" s="1"/>
  <c r="F53" i="1"/>
  <c r="G53" i="1"/>
  <c r="G19" i="7" s="1"/>
  <c r="D54" i="1"/>
  <c r="E54" i="1"/>
  <c r="F54" i="1"/>
  <c r="G54" i="1"/>
  <c r="D55" i="1"/>
  <c r="E55" i="1"/>
  <c r="F55" i="1"/>
  <c r="G55" i="1"/>
  <c r="G21" i="7" s="1"/>
  <c r="D56" i="1"/>
  <c r="E56" i="1"/>
  <c r="F56" i="1"/>
  <c r="G56" i="1"/>
  <c r="D57" i="1"/>
  <c r="E57" i="1"/>
  <c r="E23" i="7" s="1"/>
  <c r="F57" i="1"/>
  <c r="F23" i="7" s="1"/>
  <c r="G57" i="1"/>
  <c r="G23" i="7" s="1"/>
  <c r="D58" i="1"/>
  <c r="E58" i="1"/>
  <c r="F58" i="1"/>
  <c r="F24" i="7" s="1"/>
  <c r="G58" i="1"/>
  <c r="G24" i="7" s="1"/>
  <c r="D59" i="1"/>
  <c r="E59" i="1"/>
  <c r="F59" i="1"/>
  <c r="G59" i="1"/>
  <c r="G25" i="7" s="1"/>
  <c r="E49" i="1"/>
  <c r="F49" i="1"/>
  <c r="G49" i="1"/>
  <c r="C50" i="1"/>
  <c r="C51" i="1"/>
  <c r="C52" i="1"/>
  <c r="C53" i="1"/>
  <c r="C54" i="1"/>
  <c r="C55" i="1"/>
  <c r="C21" i="7" s="1"/>
  <c r="C56" i="1"/>
  <c r="C22" i="7" s="1"/>
  <c r="C57" i="1"/>
  <c r="C23" i="7" s="1"/>
  <c r="C58" i="1"/>
  <c r="C59" i="1"/>
  <c r="D49" i="1"/>
  <c r="G22" i="7" l="1"/>
  <c r="C24" i="7"/>
  <c r="E12" i="8"/>
  <c r="F22" i="7"/>
  <c r="E22" i="7"/>
  <c r="D12" i="8"/>
  <c r="E15" i="8"/>
  <c r="F15" i="8"/>
  <c r="C20" i="8"/>
  <c r="E15" i="7"/>
  <c r="D15" i="7"/>
  <c r="E28" i="7"/>
  <c r="D25" i="7"/>
  <c r="C25" i="7"/>
  <c r="D22" i="7"/>
  <c r="E21" i="7"/>
  <c r="D21" i="7"/>
  <c r="D18" i="7"/>
  <c r="G17" i="7"/>
  <c r="F17" i="7"/>
  <c r="E16" i="7"/>
  <c r="D16" i="7"/>
  <c r="C16" i="7"/>
  <c r="D19" i="7"/>
  <c r="F21" i="7"/>
  <c r="C19" i="7"/>
  <c r="F15" i="7"/>
  <c r="E24" i="7"/>
  <c r="G20" i="7"/>
  <c r="C18" i="7"/>
  <c r="E20" i="7"/>
  <c r="I11" i="7"/>
  <c r="C17" i="7"/>
  <c r="D20" i="7"/>
  <c r="F16" i="7"/>
  <c r="F11" i="7"/>
  <c r="G15" i="7"/>
  <c r="F19" i="7"/>
  <c r="C20" i="7"/>
  <c r="D24" i="7"/>
  <c r="F20" i="7"/>
  <c r="D17" i="7"/>
  <c r="J11" i="7"/>
  <c r="F14" i="7"/>
  <c r="F19" i="8"/>
  <c r="G14" i="7"/>
  <c r="G19" i="8"/>
  <c r="H11" i="7"/>
  <c r="D23" i="7"/>
  <c r="E17" i="7"/>
  <c r="E11" i="7"/>
  <c r="D11" i="7"/>
  <c r="F18" i="7"/>
  <c r="F25" i="7"/>
  <c r="E18" i="7"/>
  <c r="E25" i="7"/>
  <c r="G11" i="7"/>
  <c r="D15" i="8"/>
  <c r="J15" i="8"/>
  <c r="I15" i="8"/>
  <c r="H15" i="8"/>
  <c r="G15" i="8"/>
  <c r="E14" i="7" l="1"/>
  <c r="K14" i="7"/>
  <c r="F53" i="7"/>
  <c r="E53" i="7"/>
  <c r="D53" i="7"/>
  <c r="C53" i="7"/>
  <c r="F52" i="7"/>
  <c r="E52" i="7"/>
  <c r="D52" i="7"/>
  <c r="C52" i="7"/>
  <c r="F51" i="7"/>
  <c r="E51" i="7"/>
  <c r="D51" i="7"/>
  <c r="C51" i="7"/>
  <c r="F39" i="7"/>
  <c r="E39" i="7"/>
  <c r="D39" i="7"/>
  <c r="C39" i="7"/>
  <c r="F38" i="7"/>
  <c r="E38" i="7"/>
  <c r="D38" i="7"/>
  <c r="C38" i="7"/>
  <c r="F37" i="7"/>
  <c r="E37" i="7"/>
  <c r="D37" i="7"/>
  <c r="C37" i="7"/>
  <c r="C36" i="7"/>
  <c r="C15" i="7"/>
  <c r="F36" i="1"/>
  <c r="F39" i="1"/>
  <c r="D14" i="7"/>
  <c r="F8" i="7" l="1"/>
  <c r="F12" i="8"/>
  <c r="K107" i="8"/>
  <c r="B107" i="8"/>
  <c r="K31" i="8"/>
  <c r="C15" i="8"/>
  <c r="F72" i="5"/>
  <c r="F71" i="5"/>
  <c r="F70" i="5"/>
  <c r="F69" i="5"/>
  <c r="M58" i="4"/>
  <c r="E58" i="4"/>
  <c r="O57" i="4"/>
  <c r="N57" i="4"/>
  <c r="M57" i="4"/>
  <c r="K57" i="4"/>
  <c r="J57" i="4"/>
  <c r="F57" i="4"/>
  <c r="E57" i="4"/>
  <c r="D57" i="4"/>
  <c r="C57" i="4"/>
  <c r="B57" i="4"/>
  <c r="O56" i="4"/>
  <c r="N56" i="4"/>
  <c r="M56" i="4"/>
  <c r="L56" i="4"/>
  <c r="J56" i="4"/>
  <c r="F56" i="4"/>
  <c r="E56" i="4"/>
  <c r="D56" i="4"/>
  <c r="B56" i="4"/>
  <c r="O55" i="4"/>
  <c r="N55" i="4"/>
  <c r="M55" i="4"/>
  <c r="L55" i="4"/>
  <c r="J55" i="4"/>
  <c r="F55" i="4"/>
  <c r="E55" i="4"/>
  <c r="D55" i="4"/>
  <c r="B55" i="4"/>
  <c r="N54" i="4"/>
  <c r="M54" i="4"/>
  <c r="L54" i="4"/>
  <c r="J54" i="4"/>
  <c r="F54" i="4"/>
  <c r="E54" i="4"/>
  <c r="D54" i="4"/>
  <c r="C54" i="4"/>
  <c r="B54" i="4"/>
  <c r="O53" i="4"/>
  <c r="N53" i="4"/>
  <c r="M53" i="4"/>
  <c r="K53" i="4"/>
  <c r="J53" i="4"/>
  <c r="E53" i="4"/>
  <c r="C53" i="4"/>
  <c r="B53" i="4"/>
  <c r="O52" i="4"/>
  <c r="N52" i="4"/>
  <c r="M52" i="4"/>
  <c r="L52" i="4"/>
  <c r="J52" i="4"/>
  <c r="F52" i="4"/>
  <c r="E52" i="4"/>
  <c r="D52" i="4"/>
  <c r="B52" i="4"/>
  <c r="O51" i="4"/>
  <c r="N51" i="4"/>
  <c r="M51" i="4"/>
  <c r="L51" i="4"/>
  <c r="J51" i="4"/>
  <c r="F51" i="4"/>
  <c r="E51" i="4"/>
  <c r="D51" i="4"/>
  <c r="C51" i="4"/>
  <c r="B51" i="4"/>
  <c r="O50" i="4"/>
  <c r="N50" i="4"/>
  <c r="M50" i="4"/>
  <c r="L50" i="4"/>
  <c r="K50" i="4"/>
  <c r="J50" i="4"/>
  <c r="F50" i="4"/>
  <c r="E50" i="4"/>
  <c r="D50" i="4"/>
  <c r="C50" i="4"/>
  <c r="B50" i="4"/>
  <c r="O49" i="4"/>
  <c r="N49" i="4"/>
  <c r="M49" i="4"/>
  <c r="L49" i="4"/>
  <c r="J49" i="4"/>
  <c r="F49" i="4"/>
  <c r="E49" i="4"/>
  <c r="D49" i="4"/>
  <c r="C49" i="4"/>
  <c r="B49" i="4"/>
  <c r="O48" i="4"/>
  <c r="N48" i="4"/>
  <c r="M48" i="4"/>
  <c r="L48" i="4"/>
  <c r="K48" i="4"/>
  <c r="J48" i="4"/>
  <c r="F48" i="4"/>
  <c r="E48" i="4"/>
  <c r="D48" i="4"/>
  <c r="B48" i="4"/>
  <c r="O47" i="4"/>
  <c r="N47" i="4"/>
  <c r="M47" i="4"/>
  <c r="L47" i="4"/>
  <c r="J47" i="4"/>
  <c r="F47" i="4"/>
  <c r="E47" i="4"/>
  <c r="D47" i="4"/>
  <c r="B47" i="4"/>
  <c r="O46" i="4"/>
  <c r="N46" i="4"/>
  <c r="M46" i="4"/>
  <c r="L46" i="4"/>
  <c r="K46" i="4"/>
  <c r="J46" i="4"/>
  <c r="F46" i="4"/>
  <c r="E46" i="4"/>
  <c r="D46" i="4"/>
  <c r="B46" i="4"/>
  <c r="O45" i="4"/>
  <c r="N45" i="4"/>
  <c r="M45" i="4"/>
  <c r="L45" i="4"/>
  <c r="K45" i="4"/>
  <c r="J45" i="4"/>
  <c r="F45" i="4"/>
  <c r="E45" i="4"/>
  <c r="D45" i="4"/>
  <c r="C45" i="4"/>
  <c r="B45" i="4"/>
  <c r="O44" i="4"/>
  <c r="N44" i="4"/>
  <c r="M44" i="4"/>
  <c r="L44" i="4"/>
  <c r="J44" i="4"/>
  <c r="F44" i="4"/>
  <c r="E44" i="4"/>
  <c r="D44" i="4"/>
  <c r="C44" i="4"/>
  <c r="B44" i="4"/>
  <c r="O43" i="4"/>
  <c r="N43" i="4"/>
  <c r="M43" i="4"/>
  <c r="L43" i="4"/>
  <c r="J43" i="4"/>
  <c r="F43" i="4"/>
  <c r="E43" i="4"/>
  <c r="D43" i="4"/>
  <c r="C43" i="4"/>
  <c r="B43" i="4"/>
  <c r="O42" i="4"/>
  <c r="N42" i="4"/>
  <c r="M42" i="4"/>
  <c r="L42" i="4"/>
  <c r="K42" i="4"/>
  <c r="J42" i="4"/>
  <c r="F42" i="4"/>
  <c r="E42" i="4"/>
  <c r="D42" i="4"/>
  <c r="C42" i="4"/>
  <c r="B42" i="4"/>
  <c r="O41" i="4"/>
  <c r="N41" i="4"/>
  <c r="L41" i="4"/>
  <c r="K41" i="4"/>
  <c r="F41" i="4"/>
  <c r="C41" i="4"/>
  <c r="N36" i="4"/>
  <c r="M36" i="4"/>
  <c r="F36" i="4"/>
  <c r="E36" i="4"/>
  <c r="L35" i="4"/>
  <c r="L57" i="4" s="1"/>
  <c r="D35" i="4"/>
  <c r="K34" i="4"/>
  <c r="K56" i="4" s="1"/>
  <c r="C34" i="4"/>
  <c r="C56" i="4" s="1"/>
  <c r="K33" i="4"/>
  <c r="K55" i="4" s="1"/>
  <c r="C33" i="4"/>
  <c r="C55" i="4" s="1"/>
  <c r="O32" i="4"/>
  <c r="G32" i="4"/>
  <c r="C32" i="4"/>
  <c r="U31" i="4"/>
  <c r="L31" i="4"/>
  <c r="U30" i="4"/>
  <c r="K30" i="4"/>
  <c r="K52" i="4" s="1"/>
  <c r="C30" i="4"/>
  <c r="C52" i="4" s="1"/>
  <c r="U29" i="4"/>
  <c r="K29" i="4"/>
  <c r="K51" i="4" s="1"/>
  <c r="C29" i="4"/>
  <c r="U28" i="4"/>
  <c r="K28" i="4"/>
  <c r="C28" i="4"/>
  <c r="U27" i="4"/>
  <c r="K27" i="4"/>
  <c r="K49" i="4" s="1"/>
  <c r="C27" i="4"/>
  <c r="U26" i="4"/>
  <c r="K26" i="4"/>
  <c r="C26" i="4"/>
  <c r="C48" i="4" s="1"/>
  <c r="U25" i="4"/>
  <c r="K25" i="4"/>
  <c r="K47" i="4" s="1"/>
  <c r="C25" i="4"/>
  <c r="C47" i="4" s="1"/>
  <c r="U24" i="4"/>
  <c r="K24" i="4"/>
  <c r="C24" i="4"/>
  <c r="C46" i="4" s="1"/>
  <c r="U23" i="4"/>
  <c r="K23" i="4"/>
  <c r="C23" i="4"/>
  <c r="K22" i="4"/>
  <c r="K44" i="4" s="1"/>
  <c r="C22" i="4"/>
  <c r="K21" i="4"/>
  <c r="K43" i="4" s="1"/>
  <c r="C21" i="4"/>
  <c r="K20" i="4"/>
  <c r="C20" i="4"/>
  <c r="U18" i="4"/>
  <c r="N18" i="4"/>
  <c r="M18" i="4"/>
  <c r="M41" i="4" s="1"/>
  <c r="L18" i="4"/>
  <c r="F18" i="4"/>
  <c r="E18" i="4"/>
  <c r="E41" i="4" s="1"/>
  <c r="D18" i="4"/>
  <c r="D41" i="4" s="1"/>
  <c r="C18" i="4"/>
  <c r="U17" i="4"/>
  <c r="U16" i="4"/>
  <c r="U15" i="4"/>
  <c r="U14" i="4"/>
  <c r="U13" i="4"/>
  <c r="U12" i="4"/>
  <c r="K12" i="4"/>
  <c r="U11" i="4"/>
  <c r="G11" i="4"/>
  <c r="F11" i="4"/>
  <c r="E11" i="4"/>
  <c r="C11" i="4"/>
  <c r="U10" i="4"/>
  <c r="U9" i="4"/>
  <c r="U8" i="4"/>
  <c r="G8" i="4"/>
  <c r="F8" i="4"/>
  <c r="E8" i="4"/>
  <c r="C8" i="4"/>
  <c r="U7" i="4"/>
  <c r="U6" i="4"/>
  <c r="U5" i="4"/>
  <c r="U4" i="4"/>
  <c r="K3" i="4"/>
  <c r="B306" i="3"/>
  <c r="B304" i="3"/>
  <c r="F303" i="3"/>
  <c r="E303" i="3"/>
  <c r="D303" i="3"/>
  <c r="C303" i="3"/>
  <c r="B303" i="3"/>
  <c r="B301" i="3"/>
  <c r="F299" i="3"/>
  <c r="E299" i="3"/>
  <c r="D299" i="3"/>
  <c r="C299" i="3"/>
  <c r="B299" i="3"/>
  <c r="F298" i="3"/>
  <c r="E298" i="3"/>
  <c r="D298" i="3"/>
  <c r="C298" i="3"/>
  <c r="B298" i="3"/>
  <c r="F297" i="3"/>
  <c r="E297" i="3"/>
  <c r="D297" i="3"/>
  <c r="C297" i="3"/>
  <c r="B297" i="3"/>
  <c r="F296" i="3"/>
  <c r="E296" i="3"/>
  <c r="D296" i="3"/>
  <c r="C296" i="3"/>
  <c r="B296" i="3"/>
  <c r="B295" i="3"/>
  <c r="B294" i="3"/>
  <c r="B293" i="3"/>
  <c r="B292" i="3"/>
  <c r="B290" i="3"/>
  <c r="F289" i="3"/>
  <c r="E289" i="3"/>
  <c r="D289" i="3"/>
  <c r="C289" i="3"/>
  <c r="B289" i="3"/>
  <c r="B288" i="3"/>
  <c r="B287" i="3"/>
  <c r="B286" i="3"/>
  <c r="B285" i="3"/>
  <c r="B284" i="3"/>
  <c r="B283" i="3"/>
  <c r="B282" i="3"/>
  <c r="C280" i="3"/>
  <c r="B278" i="3"/>
  <c r="B272" i="3"/>
  <c r="B270" i="3"/>
  <c r="F269" i="3"/>
  <c r="E269" i="3"/>
  <c r="D269" i="3"/>
  <c r="C269" i="3"/>
  <c r="B269" i="3"/>
  <c r="B267" i="3"/>
  <c r="F265" i="3"/>
  <c r="E265" i="3"/>
  <c r="D265" i="3"/>
  <c r="C265" i="3"/>
  <c r="B265" i="3"/>
  <c r="F264" i="3"/>
  <c r="E264" i="3"/>
  <c r="D264" i="3"/>
  <c r="C264" i="3"/>
  <c r="B264" i="3"/>
  <c r="F263" i="3"/>
  <c r="E263" i="3"/>
  <c r="D263" i="3"/>
  <c r="C263" i="3"/>
  <c r="B263" i="3"/>
  <c r="F262" i="3"/>
  <c r="E262" i="3"/>
  <c r="D262" i="3"/>
  <c r="C262" i="3"/>
  <c r="B262" i="3"/>
  <c r="B261" i="3"/>
  <c r="B260" i="3"/>
  <c r="B259" i="3"/>
  <c r="B258" i="3"/>
  <c r="B256" i="3"/>
  <c r="F255" i="3"/>
  <c r="E255" i="3"/>
  <c r="D255" i="3"/>
  <c r="C255" i="3"/>
  <c r="B255" i="3"/>
  <c r="B254" i="3"/>
  <c r="B253" i="3"/>
  <c r="B252" i="3"/>
  <c r="B251" i="3"/>
  <c r="B250" i="3"/>
  <c r="B249" i="3"/>
  <c r="B248" i="3"/>
  <c r="C246" i="3"/>
  <c r="B244" i="3"/>
  <c r="B238" i="3"/>
  <c r="B236" i="3"/>
  <c r="F235" i="3"/>
  <c r="E235" i="3"/>
  <c r="D235" i="3"/>
  <c r="C235" i="3"/>
  <c r="B235" i="3"/>
  <c r="B233" i="3"/>
  <c r="F231" i="3"/>
  <c r="E231" i="3"/>
  <c r="D231" i="3"/>
  <c r="C231" i="3"/>
  <c r="B231" i="3"/>
  <c r="F230" i="3"/>
  <c r="E230" i="3"/>
  <c r="D230" i="3"/>
  <c r="C230" i="3"/>
  <c r="B230" i="3"/>
  <c r="F229" i="3"/>
  <c r="E229" i="3"/>
  <c r="D229" i="3"/>
  <c r="C229" i="3"/>
  <c r="B229" i="3"/>
  <c r="F228" i="3"/>
  <c r="E228" i="3"/>
  <c r="D228" i="3"/>
  <c r="C228" i="3"/>
  <c r="B228" i="3"/>
  <c r="B227" i="3"/>
  <c r="B226" i="3"/>
  <c r="B225" i="3"/>
  <c r="B224" i="3"/>
  <c r="B222" i="3"/>
  <c r="F221" i="3"/>
  <c r="E221" i="3"/>
  <c r="D221" i="3"/>
  <c r="C221" i="3"/>
  <c r="B221" i="3"/>
  <c r="B220" i="3"/>
  <c r="B219" i="3"/>
  <c r="B218" i="3"/>
  <c r="B217" i="3"/>
  <c r="B216" i="3"/>
  <c r="B215" i="3"/>
  <c r="B214" i="3"/>
  <c r="C212" i="3"/>
  <c r="B210" i="3"/>
  <c r="B204" i="3"/>
  <c r="B202" i="3"/>
  <c r="F201" i="3"/>
  <c r="E201" i="3"/>
  <c r="D201" i="3"/>
  <c r="C201" i="3"/>
  <c r="B201" i="3"/>
  <c r="B199" i="3"/>
  <c r="F197" i="3"/>
  <c r="E197" i="3"/>
  <c r="D197" i="3"/>
  <c r="C197" i="3"/>
  <c r="B197" i="3"/>
  <c r="F196" i="3"/>
  <c r="E196" i="3"/>
  <c r="D196" i="3"/>
  <c r="C196" i="3"/>
  <c r="B196" i="3"/>
  <c r="F195" i="3"/>
  <c r="E195" i="3"/>
  <c r="D195" i="3"/>
  <c r="C195" i="3"/>
  <c r="B195" i="3"/>
  <c r="F194" i="3"/>
  <c r="E194" i="3"/>
  <c r="D194" i="3"/>
  <c r="C194" i="3"/>
  <c r="B194" i="3"/>
  <c r="B193" i="3"/>
  <c r="B192" i="3"/>
  <c r="B191" i="3"/>
  <c r="B190" i="3"/>
  <c r="B188" i="3"/>
  <c r="F187" i="3"/>
  <c r="E187" i="3"/>
  <c r="D187" i="3"/>
  <c r="C187" i="3"/>
  <c r="B187" i="3"/>
  <c r="B186" i="3"/>
  <c r="B185" i="3"/>
  <c r="B184" i="3"/>
  <c r="B183" i="3"/>
  <c r="B182" i="3"/>
  <c r="B181" i="3"/>
  <c r="B180" i="3"/>
  <c r="C178" i="3"/>
  <c r="B176" i="3"/>
  <c r="B170" i="3"/>
  <c r="B168" i="3"/>
  <c r="F167" i="3"/>
  <c r="E167" i="3"/>
  <c r="D167" i="3"/>
  <c r="C167" i="3"/>
  <c r="B167" i="3"/>
  <c r="B165" i="3"/>
  <c r="F163" i="3"/>
  <c r="E163" i="3"/>
  <c r="D163" i="3"/>
  <c r="C163" i="3"/>
  <c r="B163" i="3"/>
  <c r="F162" i="3"/>
  <c r="E162" i="3"/>
  <c r="D162" i="3"/>
  <c r="C162" i="3"/>
  <c r="B162" i="3"/>
  <c r="F161" i="3"/>
  <c r="E161" i="3"/>
  <c r="D161" i="3"/>
  <c r="C161" i="3"/>
  <c r="B161" i="3"/>
  <c r="F160" i="3"/>
  <c r="E160" i="3"/>
  <c r="D160" i="3"/>
  <c r="C160" i="3"/>
  <c r="B160" i="3"/>
  <c r="B159" i="3"/>
  <c r="B158" i="3"/>
  <c r="B157" i="3"/>
  <c r="B156" i="3"/>
  <c r="B154" i="3"/>
  <c r="F153" i="3"/>
  <c r="E153" i="3"/>
  <c r="D153" i="3"/>
  <c r="C153" i="3"/>
  <c r="B153" i="3"/>
  <c r="B152" i="3"/>
  <c r="B151" i="3"/>
  <c r="B150" i="3"/>
  <c r="B149" i="3"/>
  <c r="B148" i="3"/>
  <c r="B147" i="3"/>
  <c r="B146" i="3"/>
  <c r="C144" i="3"/>
  <c r="B142" i="3"/>
  <c r="B136" i="3"/>
  <c r="B134" i="3"/>
  <c r="B133" i="3"/>
  <c r="B132" i="3"/>
  <c r="B131" i="3"/>
  <c r="B130" i="3"/>
  <c r="B128" i="3"/>
  <c r="B126" i="3"/>
  <c r="H125" i="3"/>
  <c r="G125" i="3"/>
  <c r="F125" i="3"/>
  <c r="E125" i="3"/>
  <c r="D125" i="3"/>
  <c r="C125" i="3"/>
  <c r="B125" i="3"/>
  <c r="H124" i="3"/>
  <c r="G124" i="3"/>
  <c r="F124" i="3"/>
  <c r="E124" i="3"/>
  <c r="D124" i="3"/>
  <c r="C124" i="3"/>
  <c r="B124" i="3"/>
  <c r="H123" i="3"/>
  <c r="G123" i="3"/>
  <c r="F123" i="3"/>
  <c r="E123" i="3"/>
  <c r="D123" i="3"/>
  <c r="C123" i="3"/>
  <c r="B123" i="3"/>
  <c r="F122" i="3"/>
  <c r="E122" i="3"/>
  <c r="D122" i="3"/>
  <c r="C122" i="3"/>
  <c r="B122" i="3"/>
  <c r="B121" i="3"/>
  <c r="B120" i="3"/>
  <c r="B119" i="3"/>
  <c r="B116" i="3"/>
  <c r="H115" i="3"/>
  <c r="G115" i="3"/>
  <c r="F115" i="3"/>
  <c r="E115" i="3"/>
  <c r="D115" i="3"/>
  <c r="C115" i="3"/>
  <c r="B115" i="3"/>
  <c r="B114" i="3"/>
  <c r="B113" i="3"/>
  <c r="B112" i="3"/>
  <c r="B111" i="3"/>
  <c r="B110" i="3"/>
  <c r="B109" i="3"/>
  <c r="B108" i="3"/>
  <c r="C106" i="3"/>
  <c r="B104" i="3"/>
  <c r="B98" i="3"/>
  <c r="B97" i="3"/>
  <c r="C96" i="3"/>
  <c r="B96" i="3"/>
  <c r="C95" i="3"/>
  <c r="B95" i="3"/>
  <c r="C94" i="3"/>
  <c r="B94" i="3"/>
  <c r="C93" i="3"/>
  <c r="B93" i="3"/>
  <c r="C92" i="3"/>
  <c r="B92" i="3"/>
  <c r="B91" i="3"/>
  <c r="B90" i="3"/>
  <c r="B89" i="3"/>
  <c r="B88" i="3"/>
  <c r="C87" i="3"/>
  <c r="B87" i="3"/>
  <c r="G78" i="3"/>
  <c r="E78" i="3"/>
  <c r="D78" i="3"/>
  <c r="G77" i="3"/>
  <c r="E77" i="3"/>
  <c r="D77" i="3"/>
  <c r="G76" i="3"/>
  <c r="E76" i="3"/>
  <c r="D76" i="3"/>
  <c r="G75" i="3"/>
  <c r="E75" i="3"/>
  <c r="D75" i="3"/>
  <c r="G74" i="3"/>
  <c r="E74" i="3"/>
  <c r="D74" i="3"/>
  <c r="G73" i="3"/>
  <c r="E73" i="3"/>
  <c r="D73" i="3"/>
  <c r="G72" i="3"/>
  <c r="E72" i="3"/>
  <c r="D72" i="3"/>
  <c r="B72" i="3"/>
  <c r="G71" i="3"/>
  <c r="E71" i="3"/>
  <c r="D71" i="3"/>
  <c r="B71" i="3"/>
  <c r="G70" i="3"/>
  <c r="E70" i="3"/>
  <c r="D70" i="3"/>
  <c r="B70" i="3"/>
  <c r="B63" i="3"/>
  <c r="B62" i="3"/>
  <c r="B56" i="3"/>
  <c r="E55" i="3"/>
  <c r="D55" i="3"/>
  <c r="C55" i="3"/>
  <c r="B55" i="3"/>
  <c r="B53" i="3"/>
  <c r="E52" i="3"/>
  <c r="D52" i="3"/>
  <c r="C52" i="3"/>
  <c r="B52" i="3"/>
  <c r="E51" i="3"/>
  <c r="D51" i="3"/>
  <c r="C51" i="3"/>
  <c r="B51" i="3"/>
  <c r="E49" i="3"/>
  <c r="D49" i="3"/>
  <c r="C49" i="3"/>
  <c r="B43" i="3"/>
  <c r="D42" i="3"/>
  <c r="C42" i="3"/>
  <c r="B42" i="3"/>
  <c r="D41" i="3"/>
  <c r="C41" i="3"/>
  <c r="B41" i="3"/>
  <c r="D40" i="3"/>
  <c r="C40" i="3"/>
  <c r="B40" i="3"/>
  <c r="D39" i="3"/>
  <c r="C39" i="3"/>
  <c r="B39" i="3"/>
  <c r="D38" i="3"/>
  <c r="C38" i="3"/>
  <c r="B38" i="3"/>
  <c r="D37" i="3"/>
  <c r="C37" i="3"/>
  <c r="B37" i="3"/>
  <c r="D36" i="3"/>
  <c r="C36" i="3"/>
  <c r="B36" i="3"/>
  <c r="D35" i="3"/>
  <c r="C35" i="3"/>
  <c r="B35" i="3"/>
  <c r="D34" i="3"/>
  <c r="C34" i="3"/>
  <c r="B34" i="3"/>
  <c r="D33" i="3"/>
  <c r="C33" i="3"/>
  <c r="B33" i="3"/>
  <c r="D32" i="3"/>
  <c r="C32" i="3"/>
  <c r="B32" i="3"/>
  <c r="D31" i="3"/>
  <c r="C31" i="3"/>
  <c r="B31" i="3"/>
  <c r="D30" i="3"/>
  <c r="C30" i="3"/>
  <c r="B30" i="3"/>
  <c r="D29" i="3"/>
  <c r="C29" i="3"/>
  <c r="B29" i="3"/>
  <c r="D28" i="3"/>
  <c r="C28" i="3"/>
  <c r="B28" i="3"/>
  <c r="T23" i="3"/>
  <c r="N23" i="3"/>
  <c r="I23" i="3"/>
  <c r="T22" i="3"/>
  <c r="N22" i="3"/>
  <c r="I22" i="3"/>
  <c r="F21" i="3"/>
  <c r="W21" i="3" s="1"/>
  <c r="E21" i="3"/>
  <c r="Q21" i="3" s="1"/>
  <c r="C21" i="3"/>
  <c r="U21" i="3" s="1"/>
  <c r="B21" i="3"/>
  <c r="T21" i="3" s="1"/>
  <c r="F20" i="3"/>
  <c r="W20" i="3" s="1"/>
  <c r="E20" i="3"/>
  <c r="Q20" i="3" s="1"/>
  <c r="D20" i="3"/>
  <c r="V20" i="3" s="1"/>
  <c r="B20" i="3"/>
  <c r="N20" i="3" s="1"/>
  <c r="G19" i="3"/>
  <c r="X19" i="3" s="1"/>
  <c r="F19" i="3"/>
  <c r="W19" i="3" s="1"/>
  <c r="E19" i="3"/>
  <c r="Q19" i="3" s="1"/>
  <c r="D19" i="3"/>
  <c r="V19" i="3" s="1"/>
  <c r="B19" i="3"/>
  <c r="I19" i="3" s="1"/>
  <c r="F18" i="3"/>
  <c r="W18" i="3" s="1"/>
  <c r="E18" i="3"/>
  <c r="Q18" i="3" s="1"/>
  <c r="D18" i="3"/>
  <c r="K18" i="3" s="1"/>
  <c r="B18" i="3"/>
  <c r="I18" i="3" s="1"/>
  <c r="F17" i="3"/>
  <c r="W17" i="3" s="1"/>
  <c r="E17" i="3"/>
  <c r="Q17" i="3" s="1"/>
  <c r="C17" i="3"/>
  <c r="O17" i="3" s="1"/>
  <c r="B17" i="3"/>
  <c r="T17" i="3" s="1"/>
  <c r="G16" i="3"/>
  <c r="R16" i="3" s="1"/>
  <c r="F16" i="3"/>
  <c r="W16" i="3" s="1"/>
  <c r="E16" i="3"/>
  <c r="Q16" i="3" s="1"/>
  <c r="D16" i="3"/>
  <c r="P16" i="3" s="1"/>
  <c r="B16" i="3"/>
  <c r="G15" i="3"/>
  <c r="F15" i="3"/>
  <c r="W15" i="3" s="1"/>
  <c r="E15" i="3"/>
  <c r="Q15" i="3" s="1"/>
  <c r="D15" i="3"/>
  <c r="P15" i="3" s="1"/>
  <c r="B15" i="3"/>
  <c r="G14" i="3"/>
  <c r="X14" i="3" s="1"/>
  <c r="F14" i="3"/>
  <c r="W14" i="3" s="1"/>
  <c r="E14" i="3"/>
  <c r="Q14" i="3" s="1"/>
  <c r="D14" i="3"/>
  <c r="K14" i="3" s="1"/>
  <c r="B14" i="3"/>
  <c r="T14" i="3" s="1"/>
  <c r="G13" i="3"/>
  <c r="R13" i="3" s="1"/>
  <c r="F13" i="3"/>
  <c r="W13" i="3" s="1"/>
  <c r="E13" i="3"/>
  <c r="Q13" i="3" s="1"/>
  <c r="D13" i="3"/>
  <c r="B13" i="3"/>
  <c r="I13" i="3" s="1"/>
  <c r="G12" i="3"/>
  <c r="X12" i="3" s="1"/>
  <c r="F12" i="3"/>
  <c r="W12" i="3" s="1"/>
  <c r="E12" i="3"/>
  <c r="Q12" i="3" s="1"/>
  <c r="D12" i="3"/>
  <c r="V12" i="3" s="1"/>
  <c r="B12" i="3"/>
  <c r="I12" i="3" s="1"/>
  <c r="G11" i="3"/>
  <c r="L11" i="3" s="1"/>
  <c r="F11" i="3"/>
  <c r="W11" i="3" s="1"/>
  <c r="E11" i="3"/>
  <c r="Q11" i="3" s="1"/>
  <c r="D11" i="3"/>
  <c r="K11" i="3" s="1"/>
  <c r="B11" i="3"/>
  <c r="T11" i="3" s="1"/>
  <c r="G10" i="3"/>
  <c r="L10" i="3" s="1"/>
  <c r="F10" i="3"/>
  <c r="W10" i="3" s="1"/>
  <c r="E10" i="3"/>
  <c r="Q10" i="3" s="1"/>
  <c r="D10" i="3"/>
  <c r="V10" i="3" s="1"/>
  <c r="B10" i="3"/>
  <c r="I10" i="3" s="1"/>
  <c r="G9" i="3"/>
  <c r="R9" i="3" s="1"/>
  <c r="F9" i="3"/>
  <c r="W9" i="3" s="1"/>
  <c r="E9" i="3"/>
  <c r="Q9" i="3" s="1"/>
  <c r="D9" i="3"/>
  <c r="B9" i="3"/>
  <c r="N9" i="3" s="1"/>
  <c r="G8" i="3"/>
  <c r="F8" i="3"/>
  <c r="W8" i="3" s="1"/>
  <c r="E8" i="3"/>
  <c r="Q8" i="3" s="1"/>
  <c r="D8" i="3"/>
  <c r="P8" i="3" s="1"/>
  <c r="B8" i="3"/>
  <c r="G7" i="3"/>
  <c r="X7" i="3" s="1"/>
  <c r="F7" i="3"/>
  <c r="W7" i="3" s="1"/>
  <c r="E7" i="3"/>
  <c r="Q7" i="3" s="1"/>
  <c r="D7" i="3"/>
  <c r="K7" i="3" s="1"/>
  <c r="B7" i="3"/>
  <c r="G6" i="3"/>
  <c r="X6" i="3" s="1"/>
  <c r="F6" i="3"/>
  <c r="W6" i="3" s="1"/>
  <c r="E6" i="3"/>
  <c r="Q6" i="3" s="1"/>
  <c r="D6" i="3"/>
  <c r="P6" i="3" s="1"/>
  <c r="B6" i="3"/>
  <c r="G5" i="3"/>
  <c r="R5" i="3" s="1"/>
  <c r="H27" i="2"/>
  <c r="F27" i="2"/>
  <c r="D27" i="2"/>
  <c r="H26" i="2"/>
  <c r="F26" i="2"/>
  <c r="D26" i="2"/>
  <c r="H25" i="2"/>
  <c r="F25" i="2"/>
  <c r="D25" i="2"/>
  <c r="H24" i="2"/>
  <c r="F24" i="2"/>
  <c r="D24" i="2"/>
  <c r="C21" i="2"/>
  <c r="H20" i="2"/>
  <c r="F20" i="2"/>
  <c r="D20" i="2"/>
  <c r="H19" i="2"/>
  <c r="F19" i="2"/>
  <c r="D19" i="2"/>
  <c r="H18" i="2"/>
  <c r="F18" i="2"/>
  <c r="D18" i="2"/>
  <c r="H17" i="2"/>
  <c r="F17" i="2"/>
  <c r="D17" i="2"/>
  <c r="G14" i="2"/>
  <c r="E14" i="2"/>
  <c r="C14" i="2"/>
  <c r="B4" i="2"/>
  <c r="F687" i="1"/>
  <c r="C683" i="1"/>
  <c r="J678" i="1"/>
  <c r="G678" i="1"/>
  <c r="D79" i="3" s="1"/>
  <c r="I677" i="1"/>
  <c r="K677" i="1" s="1"/>
  <c r="H78" i="3" s="1"/>
  <c r="E677" i="1"/>
  <c r="B78" i="3" s="1"/>
  <c r="I676" i="1"/>
  <c r="F77" i="3" s="1"/>
  <c r="E676" i="1"/>
  <c r="B77" i="3" s="1"/>
  <c r="I675" i="1"/>
  <c r="K675" i="1" s="1"/>
  <c r="H76" i="3" s="1"/>
  <c r="E675" i="1"/>
  <c r="B76" i="3" s="1"/>
  <c r="I674" i="1"/>
  <c r="E674" i="1"/>
  <c r="B75" i="3" s="1"/>
  <c r="I673" i="1"/>
  <c r="E673" i="1"/>
  <c r="B74" i="3" s="1"/>
  <c r="I672" i="1"/>
  <c r="F73" i="3" s="1"/>
  <c r="E672" i="1"/>
  <c r="B73" i="3" s="1"/>
  <c r="I671" i="1"/>
  <c r="F72" i="3" s="1"/>
  <c r="I670" i="1"/>
  <c r="F71" i="3" s="1"/>
  <c r="I669" i="1"/>
  <c r="K669" i="1" s="1"/>
  <c r="H70" i="3" s="1"/>
  <c r="I662" i="1"/>
  <c r="G662" i="1"/>
  <c r="E662" i="1"/>
  <c r="C662" i="1"/>
  <c r="I641" i="1"/>
  <c r="I643" i="1" s="1"/>
  <c r="G641" i="1"/>
  <c r="G643" i="1" s="1"/>
  <c r="E641" i="1"/>
  <c r="E643" i="1" s="1"/>
  <c r="C641" i="1"/>
  <c r="I632" i="1"/>
  <c r="G632" i="1"/>
  <c r="H15" i="2" s="1"/>
  <c r="E632" i="1"/>
  <c r="F15" i="2" s="1"/>
  <c r="C632" i="1"/>
  <c r="C660" i="1" s="1"/>
  <c r="J613" i="1"/>
  <c r="F304" i="3" s="1"/>
  <c r="H613" i="1"/>
  <c r="E304" i="3" s="1"/>
  <c r="F613" i="1"/>
  <c r="D304" i="3" s="1"/>
  <c r="D613" i="1"/>
  <c r="C304" i="3" s="1"/>
  <c r="J603" i="1"/>
  <c r="F295" i="3" s="1"/>
  <c r="H603" i="1"/>
  <c r="E295" i="3" s="1"/>
  <c r="F603" i="1"/>
  <c r="D295" i="3" s="1"/>
  <c r="D603" i="1"/>
  <c r="C295" i="3" s="1"/>
  <c r="J602" i="1"/>
  <c r="F294" i="3" s="1"/>
  <c r="H602" i="1"/>
  <c r="E294" i="3" s="1"/>
  <c r="F602" i="1"/>
  <c r="D294" i="3" s="1"/>
  <c r="D602" i="1"/>
  <c r="C294" i="3" s="1"/>
  <c r="J601" i="1"/>
  <c r="F293" i="3" s="1"/>
  <c r="H601" i="1"/>
  <c r="E293" i="3" s="1"/>
  <c r="F601" i="1"/>
  <c r="D293" i="3" s="1"/>
  <c r="D601" i="1"/>
  <c r="C293" i="3" s="1"/>
  <c r="J593" i="1"/>
  <c r="F287" i="3" s="1"/>
  <c r="H593" i="1"/>
  <c r="E287" i="3" s="1"/>
  <c r="F593" i="1"/>
  <c r="D287" i="3" s="1"/>
  <c r="D593" i="1"/>
  <c r="C287" i="3" s="1"/>
  <c r="J584" i="1"/>
  <c r="J585" i="1" s="1"/>
  <c r="F285" i="3" s="1"/>
  <c r="H584" i="1"/>
  <c r="H585" i="1" s="1"/>
  <c r="E285" i="3" s="1"/>
  <c r="F584" i="1"/>
  <c r="F585" i="1" s="1"/>
  <c r="D285" i="3" s="1"/>
  <c r="D584" i="1"/>
  <c r="D585" i="1" s="1"/>
  <c r="C285" i="3" s="1"/>
  <c r="J557" i="1"/>
  <c r="H557" i="1"/>
  <c r="E283" i="3" s="1"/>
  <c r="F557" i="1"/>
  <c r="D283" i="3" s="1"/>
  <c r="D557" i="1"/>
  <c r="C283" i="3" s="1"/>
  <c r="J556" i="1"/>
  <c r="F282" i="3" s="1"/>
  <c r="H556" i="1"/>
  <c r="I581" i="1" s="1"/>
  <c r="F556" i="1"/>
  <c r="G592" i="1" s="1"/>
  <c r="D556" i="1"/>
  <c r="E592" i="1" s="1"/>
  <c r="J555" i="1"/>
  <c r="H555" i="1"/>
  <c r="F555" i="1"/>
  <c r="D555" i="1"/>
  <c r="J552" i="1"/>
  <c r="H552" i="1"/>
  <c r="F552" i="1"/>
  <c r="D552" i="1"/>
  <c r="J549" i="1"/>
  <c r="H549" i="1"/>
  <c r="F549" i="1"/>
  <c r="D549" i="1"/>
  <c r="J546" i="1"/>
  <c r="F281" i="3" s="1"/>
  <c r="F542" i="1"/>
  <c r="D280" i="3" s="1"/>
  <c r="J534" i="1"/>
  <c r="F270" i="3" s="1"/>
  <c r="H534" i="1"/>
  <c r="E270" i="3" s="1"/>
  <c r="F534" i="1"/>
  <c r="D270" i="3" s="1"/>
  <c r="D534" i="1"/>
  <c r="C270" i="3" s="1"/>
  <c r="J524" i="1"/>
  <c r="F261" i="3" s="1"/>
  <c r="H524" i="1"/>
  <c r="E261" i="3" s="1"/>
  <c r="F524" i="1"/>
  <c r="D261" i="3" s="1"/>
  <c r="D524" i="1"/>
  <c r="C261" i="3" s="1"/>
  <c r="J523" i="1"/>
  <c r="F260" i="3" s="1"/>
  <c r="H523" i="1"/>
  <c r="E260" i="3" s="1"/>
  <c r="F523" i="1"/>
  <c r="D260" i="3" s="1"/>
  <c r="D523" i="1"/>
  <c r="C260" i="3" s="1"/>
  <c r="J522" i="1"/>
  <c r="F259" i="3" s="1"/>
  <c r="H522" i="1"/>
  <c r="E259" i="3" s="1"/>
  <c r="F522" i="1"/>
  <c r="D259" i="3" s="1"/>
  <c r="D522" i="1"/>
  <c r="C259" i="3" s="1"/>
  <c r="J514" i="1"/>
  <c r="F253" i="3" s="1"/>
  <c r="H514" i="1"/>
  <c r="E253" i="3" s="1"/>
  <c r="F514" i="1"/>
  <c r="D253" i="3" s="1"/>
  <c r="D514" i="1"/>
  <c r="C253" i="3" s="1"/>
  <c r="J505" i="1"/>
  <c r="J506" i="1" s="1"/>
  <c r="F251" i="3" s="1"/>
  <c r="H505" i="1"/>
  <c r="H506" i="1" s="1"/>
  <c r="E251" i="3" s="1"/>
  <c r="F505" i="1"/>
  <c r="F506" i="1" s="1"/>
  <c r="D251" i="3" s="1"/>
  <c r="D505" i="1"/>
  <c r="D506" i="1" s="1"/>
  <c r="C251" i="3" s="1"/>
  <c r="J478" i="1"/>
  <c r="H478" i="1"/>
  <c r="E249" i="3" s="1"/>
  <c r="F478" i="1"/>
  <c r="D249" i="3" s="1"/>
  <c r="D478" i="1"/>
  <c r="C249" i="3" s="1"/>
  <c r="J477" i="1"/>
  <c r="F248" i="3" s="1"/>
  <c r="H477" i="1"/>
  <c r="I514" i="1" s="1"/>
  <c r="F477" i="1"/>
  <c r="G512" i="1" s="1"/>
  <c r="D477" i="1"/>
  <c r="E519" i="1" s="1"/>
  <c r="J476" i="1"/>
  <c r="H476" i="1"/>
  <c r="F476" i="1"/>
  <c r="D476" i="1"/>
  <c r="J473" i="1"/>
  <c r="H473" i="1"/>
  <c r="F473" i="1"/>
  <c r="D473" i="1"/>
  <c r="J470" i="1"/>
  <c r="H470" i="1"/>
  <c r="F470" i="1"/>
  <c r="D470" i="1"/>
  <c r="J467" i="1"/>
  <c r="F247" i="3" s="1"/>
  <c r="F463" i="1"/>
  <c r="D246" i="3" s="1"/>
  <c r="J455" i="1"/>
  <c r="F236" i="3" s="1"/>
  <c r="H455" i="1"/>
  <c r="E236" i="3" s="1"/>
  <c r="F455" i="1"/>
  <c r="D236" i="3" s="1"/>
  <c r="D455" i="1"/>
  <c r="C236" i="3" s="1"/>
  <c r="J445" i="1"/>
  <c r="F227" i="3" s="1"/>
  <c r="H445" i="1"/>
  <c r="E227" i="3" s="1"/>
  <c r="F445" i="1"/>
  <c r="D227" i="3" s="1"/>
  <c r="D445" i="1"/>
  <c r="C227" i="3" s="1"/>
  <c r="J444" i="1"/>
  <c r="F226" i="3" s="1"/>
  <c r="H444" i="1"/>
  <c r="E226" i="3" s="1"/>
  <c r="F444" i="1"/>
  <c r="D226" i="3" s="1"/>
  <c r="D444" i="1"/>
  <c r="C226" i="3" s="1"/>
  <c r="J443" i="1"/>
  <c r="F225" i="3" s="1"/>
  <c r="H443" i="1"/>
  <c r="E225" i="3" s="1"/>
  <c r="F443" i="1"/>
  <c r="D225" i="3" s="1"/>
  <c r="D443" i="1"/>
  <c r="C225" i="3" s="1"/>
  <c r="J435" i="1"/>
  <c r="F219" i="3" s="1"/>
  <c r="H435" i="1"/>
  <c r="E219" i="3" s="1"/>
  <c r="F435" i="1"/>
  <c r="D219" i="3" s="1"/>
  <c r="D435" i="1"/>
  <c r="C219" i="3" s="1"/>
  <c r="J426" i="1"/>
  <c r="J427" i="1" s="1"/>
  <c r="F217" i="3" s="1"/>
  <c r="H426" i="1"/>
  <c r="H427" i="1" s="1"/>
  <c r="E217" i="3" s="1"/>
  <c r="F426" i="1"/>
  <c r="F427" i="1" s="1"/>
  <c r="D217" i="3" s="1"/>
  <c r="D426" i="1"/>
  <c r="D427" i="1" s="1"/>
  <c r="C217" i="3" s="1"/>
  <c r="J399" i="1"/>
  <c r="F215" i="3" s="1"/>
  <c r="H399" i="1"/>
  <c r="E215" i="3" s="1"/>
  <c r="F399" i="1"/>
  <c r="D215" i="3" s="1"/>
  <c r="D399" i="1"/>
  <c r="C215" i="3" s="1"/>
  <c r="J398" i="1"/>
  <c r="K434" i="1" s="1"/>
  <c r="H398" i="1"/>
  <c r="I422" i="1" s="1"/>
  <c r="F398" i="1"/>
  <c r="G431" i="1" s="1"/>
  <c r="D398" i="1"/>
  <c r="E424" i="1" s="1"/>
  <c r="J397" i="1"/>
  <c r="H397" i="1"/>
  <c r="F397" i="1"/>
  <c r="D397" i="1"/>
  <c r="J394" i="1"/>
  <c r="H394" i="1"/>
  <c r="F394" i="1"/>
  <c r="D394" i="1"/>
  <c r="J391" i="1"/>
  <c r="H391" i="1"/>
  <c r="F391" i="1"/>
  <c r="D391" i="1"/>
  <c r="J388" i="1"/>
  <c r="F213" i="3" s="1"/>
  <c r="F384" i="1"/>
  <c r="H384" i="1" s="1"/>
  <c r="E212" i="3" s="1"/>
  <c r="J376" i="1"/>
  <c r="F202" i="3" s="1"/>
  <c r="H376" i="1"/>
  <c r="E202" i="3" s="1"/>
  <c r="F376" i="1"/>
  <c r="D202" i="3" s="1"/>
  <c r="D376" i="1"/>
  <c r="C202" i="3" s="1"/>
  <c r="J366" i="1"/>
  <c r="F193" i="3" s="1"/>
  <c r="H366" i="1"/>
  <c r="E193" i="3" s="1"/>
  <c r="F366" i="1"/>
  <c r="D193" i="3" s="1"/>
  <c r="D366" i="1"/>
  <c r="C193" i="3" s="1"/>
  <c r="J365" i="1"/>
  <c r="F192" i="3" s="1"/>
  <c r="H365" i="1"/>
  <c r="E192" i="3" s="1"/>
  <c r="F365" i="1"/>
  <c r="D192" i="3" s="1"/>
  <c r="D365" i="1"/>
  <c r="C192" i="3" s="1"/>
  <c r="J364" i="1"/>
  <c r="F191" i="3" s="1"/>
  <c r="H364" i="1"/>
  <c r="E191" i="3" s="1"/>
  <c r="F364" i="1"/>
  <c r="D191" i="3" s="1"/>
  <c r="D364" i="1"/>
  <c r="C191" i="3" s="1"/>
  <c r="J356" i="1"/>
  <c r="F185" i="3" s="1"/>
  <c r="H356" i="1"/>
  <c r="E185" i="3" s="1"/>
  <c r="F356" i="1"/>
  <c r="D185" i="3" s="1"/>
  <c r="D356" i="1"/>
  <c r="C185" i="3" s="1"/>
  <c r="J347" i="1"/>
  <c r="J348" i="1" s="1"/>
  <c r="F183" i="3" s="1"/>
  <c r="H347" i="1"/>
  <c r="H348" i="1" s="1"/>
  <c r="E183" i="3" s="1"/>
  <c r="F347" i="1"/>
  <c r="F348" i="1" s="1"/>
  <c r="D183" i="3" s="1"/>
  <c r="D347" i="1"/>
  <c r="D348" i="1" s="1"/>
  <c r="C183" i="3" s="1"/>
  <c r="J320" i="1"/>
  <c r="F181" i="3" s="1"/>
  <c r="H320" i="1"/>
  <c r="E181" i="3" s="1"/>
  <c r="F320" i="1"/>
  <c r="D320" i="1"/>
  <c r="C181" i="3" s="1"/>
  <c r="J319" i="1"/>
  <c r="K342" i="1" s="1"/>
  <c r="H319" i="1"/>
  <c r="I361" i="1" s="1"/>
  <c r="F319" i="1"/>
  <c r="D180" i="3" s="1"/>
  <c r="D319" i="1"/>
  <c r="E359" i="1" s="1"/>
  <c r="J318" i="1"/>
  <c r="H318" i="1"/>
  <c r="F318" i="1"/>
  <c r="D318" i="1"/>
  <c r="J315" i="1"/>
  <c r="H315" i="1"/>
  <c r="F315" i="1"/>
  <c r="D315" i="1"/>
  <c r="J312" i="1"/>
  <c r="H312" i="1"/>
  <c r="F312" i="1"/>
  <c r="D312" i="1"/>
  <c r="J309" i="1"/>
  <c r="F179" i="3" s="1"/>
  <c r="F305" i="1"/>
  <c r="D178" i="3" s="1"/>
  <c r="J297" i="1"/>
  <c r="F168" i="3" s="1"/>
  <c r="H297" i="1"/>
  <c r="E168" i="3" s="1"/>
  <c r="F297" i="1"/>
  <c r="D168" i="3" s="1"/>
  <c r="D297" i="1"/>
  <c r="C168" i="3" s="1"/>
  <c r="J287" i="1"/>
  <c r="F159" i="3" s="1"/>
  <c r="H287" i="1"/>
  <c r="E159" i="3" s="1"/>
  <c r="F287" i="1"/>
  <c r="D159" i="3" s="1"/>
  <c r="D287" i="1"/>
  <c r="C159" i="3" s="1"/>
  <c r="J286" i="1"/>
  <c r="F158" i="3" s="1"/>
  <c r="H286" i="1"/>
  <c r="E158" i="3" s="1"/>
  <c r="F286" i="1"/>
  <c r="D158" i="3" s="1"/>
  <c r="D286" i="1"/>
  <c r="C158" i="3" s="1"/>
  <c r="J285" i="1"/>
  <c r="F157" i="3" s="1"/>
  <c r="H285" i="1"/>
  <c r="E157" i="3" s="1"/>
  <c r="F285" i="1"/>
  <c r="D157" i="3" s="1"/>
  <c r="D285" i="1"/>
  <c r="C157" i="3" s="1"/>
  <c r="J277" i="1"/>
  <c r="F151" i="3" s="1"/>
  <c r="H277" i="1"/>
  <c r="E151" i="3" s="1"/>
  <c r="F277" i="1"/>
  <c r="D151" i="3" s="1"/>
  <c r="D277" i="1"/>
  <c r="C151" i="3" s="1"/>
  <c r="J268" i="1"/>
  <c r="J269" i="1" s="1"/>
  <c r="F149" i="3" s="1"/>
  <c r="H268" i="1"/>
  <c r="H269" i="1" s="1"/>
  <c r="E149" i="3" s="1"/>
  <c r="F268" i="1"/>
  <c r="F269" i="1" s="1"/>
  <c r="D149" i="3" s="1"/>
  <c r="D268" i="1"/>
  <c r="D269" i="1" s="1"/>
  <c r="C149" i="3" s="1"/>
  <c r="J241" i="1"/>
  <c r="F147" i="3" s="1"/>
  <c r="H241" i="1"/>
  <c r="E147" i="3" s="1"/>
  <c r="F241" i="1"/>
  <c r="D147" i="3" s="1"/>
  <c r="D241" i="1"/>
  <c r="J240" i="1"/>
  <c r="F146" i="3" s="1"/>
  <c r="H240" i="1"/>
  <c r="E146" i="3" s="1"/>
  <c r="F240" i="1"/>
  <c r="G255" i="1" s="1"/>
  <c r="D240" i="1"/>
  <c r="E277" i="1" s="1"/>
  <c r="J239" i="1"/>
  <c r="H239" i="1"/>
  <c r="F239" i="1"/>
  <c r="D239" i="1"/>
  <c r="J236" i="1"/>
  <c r="H236" i="1"/>
  <c r="F236" i="1"/>
  <c r="D236" i="1"/>
  <c r="J233" i="1"/>
  <c r="H233" i="1"/>
  <c r="F233" i="1"/>
  <c r="D233" i="1"/>
  <c r="J230" i="1"/>
  <c r="F145" i="3" s="1"/>
  <c r="F226" i="1"/>
  <c r="D144" i="3" s="1"/>
  <c r="C219" i="1"/>
  <c r="C109" i="8" s="1"/>
  <c r="D107" i="8"/>
  <c r="C217" i="1"/>
  <c r="C107" i="8" s="1"/>
  <c r="J216" i="1"/>
  <c r="J106" i="8" s="1"/>
  <c r="H216" i="1"/>
  <c r="J215" i="1"/>
  <c r="J105" i="8" s="1"/>
  <c r="H215" i="1"/>
  <c r="J214" i="1"/>
  <c r="J104" i="8" s="1"/>
  <c r="H214" i="1"/>
  <c r="J213" i="1"/>
  <c r="J103" i="8" s="1"/>
  <c r="H213" i="1"/>
  <c r="J212" i="1"/>
  <c r="J102" i="8" s="1"/>
  <c r="H212" i="1"/>
  <c r="J211" i="1"/>
  <c r="J101" i="8" s="1"/>
  <c r="H211" i="1"/>
  <c r="J210" i="1"/>
  <c r="J100" i="8" s="1"/>
  <c r="H210" i="1"/>
  <c r="J209" i="1"/>
  <c r="J99" i="8" s="1"/>
  <c r="H209" i="1"/>
  <c r="J208" i="1"/>
  <c r="J98" i="8" s="1"/>
  <c r="H208" i="1"/>
  <c r="J207" i="1"/>
  <c r="H207" i="1"/>
  <c r="J192" i="1"/>
  <c r="H192" i="1"/>
  <c r="F192" i="1"/>
  <c r="D192" i="1"/>
  <c r="J191" i="1"/>
  <c r="H191" i="1"/>
  <c r="F191" i="1"/>
  <c r="D191" i="1"/>
  <c r="J189" i="1"/>
  <c r="H189" i="1"/>
  <c r="F189" i="1"/>
  <c r="D189" i="1"/>
  <c r="J188" i="1"/>
  <c r="H188" i="1"/>
  <c r="F188" i="1"/>
  <c r="D188" i="1"/>
  <c r="J186" i="1"/>
  <c r="H186" i="1"/>
  <c r="F186" i="1"/>
  <c r="J185" i="1"/>
  <c r="H185" i="1"/>
  <c r="F185" i="1"/>
  <c r="D185" i="1"/>
  <c r="J183" i="1"/>
  <c r="H183" i="1"/>
  <c r="F183" i="1"/>
  <c r="D183" i="1"/>
  <c r="J182" i="1"/>
  <c r="H182" i="1"/>
  <c r="F182" i="1"/>
  <c r="D182" i="1"/>
  <c r="J177" i="1"/>
  <c r="H177" i="1"/>
  <c r="F177" i="1"/>
  <c r="D177" i="1"/>
  <c r="J176" i="1"/>
  <c r="H176" i="1"/>
  <c r="F176" i="1"/>
  <c r="D176" i="1"/>
  <c r="J175" i="1"/>
  <c r="H175" i="1"/>
  <c r="F175" i="1"/>
  <c r="D175" i="1"/>
  <c r="J174" i="1"/>
  <c r="H174" i="1"/>
  <c r="F174" i="1"/>
  <c r="D174" i="1"/>
  <c r="M160" i="1"/>
  <c r="M159" i="1"/>
  <c r="M156" i="1"/>
  <c r="I71" i="8"/>
  <c r="H71" i="8"/>
  <c r="P147" i="1"/>
  <c r="H122" i="3" s="1"/>
  <c r="N147" i="1"/>
  <c r="G122" i="3" s="1"/>
  <c r="P146" i="1"/>
  <c r="H121" i="3" s="1"/>
  <c r="N146" i="1"/>
  <c r="G121" i="3" s="1"/>
  <c r="J146" i="1"/>
  <c r="F121" i="3" s="1"/>
  <c r="H146" i="1"/>
  <c r="E121" i="3" s="1"/>
  <c r="F146" i="1"/>
  <c r="D121" i="3" s="1"/>
  <c r="D146" i="1"/>
  <c r="C121" i="3" s="1"/>
  <c r="P145" i="1"/>
  <c r="H120" i="3" s="1"/>
  <c r="N145" i="1"/>
  <c r="G120" i="3" s="1"/>
  <c r="J145" i="1"/>
  <c r="F120" i="3" s="1"/>
  <c r="H145" i="1"/>
  <c r="E120" i="3" s="1"/>
  <c r="F145" i="1"/>
  <c r="D120" i="3" s="1"/>
  <c r="D145" i="1"/>
  <c r="C120" i="3" s="1"/>
  <c r="P136" i="1"/>
  <c r="H113" i="3" s="1"/>
  <c r="N136" i="1"/>
  <c r="G113" i="3" s="1"/>
  <c r="J136" i="1"/>
  <c r="F113" i="3" s="1"/>
  <c r="H136" i="1"/>
  <c r="F136" i="1"/>
  <c r="D136" i="1"/>
  <c r="P128" i="1"/>
  <c r="J128" i="1"/>
  <c r="H128" i="1"/>
  <c r="F51" i="8" s="1"/>
  <c r="F128" i="1"/>
  <c r="E51" i="8" s="1"/>
  <c r="BH108" i="1"/>
  <c r="BF108" i="1"/>
  <c r="BH107" i="1"/>
  <c r="BF107" i="1"/>
  <c r="BH106" i="1"/>
  <c r="BF106" i="1"/>
  <c r="BH102" i="1"/>
  <c r="BF102" i="1"/>
  <c r="BH101" i="1"/>
  <c r="BF101" i="1"/>
  <c r="BH100" i="1"/>
  <c r="BF100" i="1"/>
  <c r="P100" i="1"/>
  <c r="N100" i="1"/>
  <c r="J100" i="1"/>
  <c r="G48" i="8" s="1"/>
  <c r="H100" i="1"/>
  <c r="F48" i="8" s="1"/>
  <c r="F100" i="1"/>
  <c r="E48" i="8" s="1"/>
  <c r="D100" i="1"/>
  <c r="D48" i="8" s="1"/>
  <c r="P99" i="1"/>
  <c r="N99" i="1"/>
  <c r="J99" i="1"/>
  <c r="G47" i="8" s="1"/>
  <c r="H99" i="1"/>
  <c r="F99" i="1"/>
  <c r="D99" i="1"/>
  <c r="D47" i="8" s="1"/>
  <c r="P98" i="1"/>
  <c r="N98" i="1"/>
  <c r="J98" i="1"/>
  <c r="H98" i="1"/>
  <c r="F98" i="1"/>
  <c r="D98" i="1"/>
  <c r="BH96" i="1"/>
  <c r="BF96" i="1"/>
  <c r="BH95" i="1"/>
  <c r="BF95" i="1"/>
  <c r="P95" i="1"/>
  <c r="N95" i="1"/>
  <c r="H95" i="1"/>
  <c r="F95" i="1"/>
  <c r="D95" i="1"/>
  <c r="BH94" i="1"/>
  <c r="BF94" i="1"/>
  <c r="P92" i="1"/>
  <c r="N92" i="1"/>
  <c r="J92" i="1"/>
  <c r="H92" i="1"/>
  <c r="F92" i="1"/>
  <c r="D92" i="1"/>
  <c r="BH90" i="1"/>
  <c r="BF90" i="1"/>
  <c r="BH89" i="1"/>
  <c r="BF89" i="1"/>
  <c r="J89" i="1"/>
  <c r="F107" i="3" s="1"/>
  <c r="BH88" i="1"/>
  <c r="BF88" i="1"/>
  <c r="F85" i="1"/>
  <c r="E42" i="8" s="1"/>
  <c r="BH84" i="1"/>
  <c r="BF84" i="1"/>
  <c r="BH83" i="1"/>
  <c r="BF83" i="1"/>
  <c r="BH82" i="1"/>
  <c r="BF82" i="1"/>
  <c r="C76" i="1"/>
  <c r="C91" i="3" s="1"/>
  <c r="C75" i="1"/>
  <c r="C90" i="3" s="1"/>
  <c r="C74" i="1"/>
  <c r="C89" i="3" s="1"/>
  <c r="C73" i="1"/>
  <c r="J65" i="1"/>
  <c r="I65" i="1"/>
  <c r="I31" i="7" s="1"/>
  <c r="C62" i="1"/>
  <c r="K61" i="1"/>
  <c r="R60" i="1"/>
  <c r="U57" i="1"/>
  <c r="T57" i="1"/>
  <c r="T56" i="1"/>
  <c r="T55" i="1"/>
  <c r="T54" i="1"/>
  <c r="T53" i="1"/>
  <c r="T52" i="1"/>
  <c r="T51" i="1"/>
  <c r="T50" i="1"/>
  <c r="C7" i="3"/>
  <c r="BG49" i="1"/>
  <c r="T49" i="1"/>
  <c r="C6" i="3"/>
  <c r="O6" i="3" s="1"/>
  <c r="BG48" i="1"/>
  <c r="J47" i="1"/>
  <c r="J19" i="8" s="1"/>
  <c r="H47" i="1"/>
  <c r="BH46" i="1"/>
  <c r="BC45" i="1"/>
  <c r="BF52" i="1" s="1"/>
  <c r="T44" i="1"/>
  <c r="E42" i="3" s="1"/>
  <c r="T43" i="1"/>
  <c r="E41" i="3" s="1"/>
  <c r="T42" i="1"/>
  <c r="E40" i="3" s="1"/>
  <c r="T41" i="1"/>
  <c r="E39" i="3" s="1"/>
  <c r="T40" i="1"/>
  <c r="E38" i="3" s="1"/>
  <c r="T39" i="1"/>
  <c r="E37" i="3" s="1"/>
  <c r="J39" i="1"/>
  <c r="I39" i="1"/>
  <c r="C39" i="1"/>
  <c r="T38" i="1"/>
  <c r="E36" i="3" s="1"/>
  <c r="T37" i="1"/>
  <c r="E35" i="3" s="1"/>
  <c r="T36" i="1"/>
  <c r="E34" i="3" s="1"/>
  <c r="J36" i="1"/>
  <c r="I36" i="1"/>
  <c r="C36" i="1"/>
  <c r="BE106" i="1" s="1"/>
  <c r="BK106" i="1" s="1"/>
  <c r="T35" i="1"/>
  <c r="E33" i="3" s="1"/>
  <c r="T34" i="1"/>
  <c r="E32" i="3" s="1"/>
  <c r="T33" i="1"/>
  <c r="E31" i="3" s="1"/>
  <c r="T32" i="1"/>
  <c r="E30" i="3" s="1"/>
  <c r="T31" i="1"/>
  <c r="V30" i="1"/>
  <c r="E28" i="3" s="1"/>
  <c r="D128" i="1" l="1"/>
  <c r="D51" i="8" s="1"/>
  <c r="J97" i="8"/>
  <c r="J217" i="1"/>
  <c r="E47" i="8"/>
  <c r="G132" i="1"/>
  <c r="F47" i="8"/>
  <c r="I133" i="1"/>
  <c r="K27" i="7"/>
  <c r="G61" i="1"/>
  <c r="H217" i="1"/>
  <c r="J31" i="7"/>
  <c r="I47" i="8"/>
  <c r="I210" i="1"/>
  <c r="I100" i="8" s="1"/>
  <c r="H100" i="8"/>
  <c r="J8" i="7"/>
  <c r="J12" i="8"/>
  <c r="H133" i="3"/>
  <c r="I78" i="8"/>
  <c r="I214" i="1"/>
  <c r="I104" i="8" s="1"/>
  <c r="H104" i="8"/>
  <c r="G111" i="3"/>
  <c r="H51" i="8"/>
  <c r="C126" i="3"/>
  <c r="D66" i="8"/>
  <c r="H111" i="3"/>
  <c r="I51" i="8"/>
  <c r="I208" i="1"/>
  <c r="I98" i="8" s="1"/>
  <c r="H98" i="8"/>
  <c r="I209" i="1"/>
  <c r="I99" i="8" s="1"/>
  <c r="H99" i="8"/>
  <c r="D63" i="8"/>
  <c r="C50" i="7"/>
  <c r="G132" i="3"/>
  <c r="H77" i="8"/>
  <c r="I212" i="1"/>
  <c r="I102" i="8" s="1"/>
  <c r="H102" i="8"/>
  <c r="G109" i="3"/>
  <c r="H48" i="8"/>
  <c r="F63" i="8"/>
  <c r="E50" i="7"/>
  <c r="G119" i="3"/>
  <c r="H63" i="8"/>
  <c r="G53" i="8"/>
  <c r="G51" i="8"/>
  <c r="H119" i="3"/>
  <c r="I63" i="8"/>
  <c r="I207" i="1"/>
  <c r="H97" i="8"/>
  <c r="D126" i="3"/>
  <c r="E66" i="8"/>
  <c r="I215" i="1"/>
  <c r="I105" i="8" s="1"/>
  <c r="H105" i="8"/>
  <c r="P151" i="1"/>
  <c r="F66" i="8"/>
  <c r="F126" i="3"/>
  <c r="G66" i="8"/>
  <c r="I216" i="1"/>
  <c r="I106" i="8" s="1"/>
  <c r="H106" i="8"/>
  <c r="H47" i="8"/>
  <c r="H14" i="7"/>
  <c r="H19" i="8"/>
  <c r="I211" i="1"/>
  <c r="I101" i="8" s="1"/>
  <c r="H101" i="8"/>
  <c r="E63" i="8"/>
  <c r="D50" i="7"/>
  <c r="H132" i="3"/>
  <c r="I77" i="8"/>
  <c r="BG94" i="1"/>
  <c r="BI94" i="1" s="1"/>
  <c r="BJ94" i="1" s="1"/>
  <c r="C8" i="7"/>
  <c r="C12" i="8"/>
  <c r="I8" i="7"/>
  <c r="I12" i="8"/>
  <c r="C28" i="7"/>
  <c r="K33" i="8"/>
  <c r="H109" i="3"/>
  <c r="I48" i="8"/>
  <c r="G63" i="8"/>
  <c r="F50" i="7"/>
  <c r="G133" i="3"/>
  <c r="H78" i="8"/>
  <c r="I213" i="1"/>
  <c r="I103" i="8" s="1"/>
  <c r="H103" i="8"/>
  <c r="E61" i="1"/>
  <c r="F61" i="1"/>
  <c r="D61" i="1"/>
  <c r="G18" i="3"/>
  <c r="L18" i="3" s="1"/>
  <c r="C61" i="1"/>
  <c r="C8" i="3"/>
  <c r="U8" i="3" s="1"/>
  <c r="C15" i="3"/>
  <c r="U15" i="3" s="1"/>
  <c r="C10" i="3"/>
  <c r="U10" i="3" s="1"/>
  <c r="H85" i="1"/>
  <c r="D36" i="7"/>
  <c r="E113" i="3"/>
  <c r="E47" i="7"/>
  <c r="C9" i="3"/>
  <c r="O9" i="3" s="1"/>
  <c r="C16" i="3"/>
  <c r="J16" i="3" s="1"/>
  <c r="C109" i="3"/>
  <c r="C42" i="7"/>
  <c r="C11" i="3"/>
  <c r="J11" i="3" s="1"/>
  <c r="F111" i="3"/>
  <c r="F45" i="7"/>
  <c r="E5" i="3"/>
  <c r="Q5" i="3" s="1"/>
  <c r="I14" i="7"/>
  <c r="C111" i="3"/>
  <c r="C45" i="7"/>
  <c r="E119" i="3"/>
  <c r="C12" i="3"/>
  <c r="J12" i="3" s="1"/>
  <c r="E111" i="3"/>
  <c r="E45" i="7"/>
  <c r="C13" i="3"/>
  <c r="O13" i="3" s="1"/>
  <c r="G127" i="1"/>
  <c r="D41" i="7"/>
  <c r="C5" i="3"/>
  <c r="O5" i="3" s="1"/>
  <c r="C14" i="7"/>
  <c r="D109" i="3"/>
  <c r="D42" i="7"/>
  <c r="E109" i="3"/>
  <c r="E42" i="7"/>
  <c r="D5" i="3"/>
  <c r="P5" i="3" s="1"/>
  <c r="C19" i="3"/>
  <c r="O19" i="3" s="1"/>
  <c r="D119" i="3"/>
  <c r="F119" i="3"/>
  <c r="C14" i="3"/>
  <c r="U14" i="3" s="1"/>
  <c r="I111" i="1"/>
  <c r="E41" i="7"/>
  <c r="C113" i="3"/>
  <c r="C47" i="7"/>
  <c r="C119" i="3"/>
  <c r="F109" i="3"/>
  <c r="F42" i="7"/>
  <c r="F5" i="3"/>
  <c r="W5" i="3" s="1"/>
  <c r="J14" i="7"/>
  <c r="D111" i="3"/>
  <c r="D45" i="7"/>
  <c r="K128" i="1"/>
  <c r="F41" i="7"/>
  <c r="D113" i="3"/>
  <c r="D47" i="7"/>
  <c r="E93" i="1"/>
  <c r="C41" i="7"/>
  <c r="G486" i="1"/>
  <c r="E490" i="1"/>
  <c r="I310" i="1"/>
  <c r="E392" i="1"/>
  <c r="E254" i="1"/>
  <c r="K310" i="1"/>
  <c r="D214" i="3"/>
  <c r="G407" i="1"/>
  <c r="I407" i="1"/>
  <c r="I411" i="1"/>
  <c r="I392" i="1"/>
  <c r="I393" i="1"/>
  <c r="I410" i="1"/>
  <c r="I397" i="1"/>
  <c r="I423" i="1"/>
  <c r="I425" i="1"/>
  <c r="I440" i="1"/>
  <c r="I395" i="1"/>
  <c r="N10" i="3"/>
  <c r="I390" i="1"/>
  <c r="I396" i="1"/>
  <c r="I399" i="1"/>
  <c r="P10" i="3"/>
  <c r="K12" i="3"/>
  <c r="P12" i="3"/>
  <c r="I400" i="1"/>
  <c r="I429" i="1"/>
  <c r="E644" i="1"/>
  <c r="T10" i="3"/>
  <c r="I424" i="1"/>
  <c r="BE88" i="1"/>
  <c r="BK88" i="1" s="1"/>
  <c r="G397" i="1"/>
  <c r="I403" i="1"/>
  <c r="I431" i="1"/>
  <c r="G644" i="1"/>
  <c r="I391" i="1"/>
  <c r="I405" i="1"/>
  <c r="I433" i="1"/>
  <c r="G660" i="1"/>
  <c r="E273" i="1"/>
  <c r="G645" i="1"/>
  <c r="G655" i="1" s="1"/>
  <c r="G656" i="1" s="1"/>
  <c r="G648" i="1" s="1"/>
  <c r="G652" i="1" s="1"/>
  <c r="E274" i="1"/>
  <c r="H463" i="1"/>
  <c r="E246" i="3" s="1"/>
  <c r="K549" i="1"/>
  <c r="K359" i="1"/>
  <c r="K361" i="1"/>
  <c r="I412" i="1"/>
  <c r="K568" i="1"/>
  <c r="L13" i="3"/>
  <c r="Q95" i="1"/>
  <c r="G342" i="1"/>
  <c r="I417" i="1"/>
  <c r="I434" i="1"/>
  <c r="K570" i="1"/>
  <c r="X13" i="3"/>
  <c r="F78" i="3"/>
  <c r="E233" i="1"/>
  <c r="I568" i="1"/>
  <c r="Q106" i="1"/>
  <c r="E249" i="1"/>
  <c r="K344" i="1"/>
  <c r="I394" i="1"/>
  <c r="I419" i="1"/>
  <c r="E472" i="1"/>
  <c r="K593" i="1"/>
  <c r="E275" i="1"/>
  <c r="I335" i="1"/>
  <c r="G434" i="1"/>
  <c r="N36" i="1"/>
  <c r="E251" i="1"/>
  <c r="I389" i="1"/>
  <c r="I420" i="1"/>
  <c r="K16" i="3"/>
  <c r="O90" i="1"/>
  <c r="O126" i="1"/>
  <c r="E238" i="1"/>
  <c r="K396" i="1"/>
  <c r="I592" i="1"/>
  <c r="BE83" i="1"/>
  <c r="E231" i="1"/>
  <c r="E242" i="1"/>
  <c r="I333" i="1"/>
  <c r="G418" i="1"/>
  <c r="I432" i="1"/>
  <c r="I565" i="1"/>
  <c r="K592" i="1"/>
  <c r="G344" i="1"/>
  <c r="E276" i="1"/>
  <c r="K577" i="1"/>
  <c r="I327" i="1"/>
  <c r="E565" i="1"/>
  <c r="N37" i="1"/>
  <c r="E232" i="1"/>
  <c r="E239" i="1"/>
  <c r="E246" i="1"/>
  <c r="E271" i="1"/>
  <c r="G335" i="1"/>
  <c r="K391" i="1"/>
  <c r="G400" i="1"/>
  <c r="I418" i="1"/>
  <c r="G433" i="1"/>
  <c r="K555" i="1"/>
  <c r="K565" i="1"/>
  <c r="I506" i="1"/>
  <c r="I573" i="1"/>
  <c r="E235" i="1"/>
  <c r="E258" i="1"/>
  <c r="I552" i="1"/>
  <c r="K581" i="1"/>
  <c r="U17" i="3"/>
  <c r="I260" i="1"/>
  <c r="K313" i="1"/>
  <c r="G411" i="1"/>
  <c r="I483" i="1"/>
  <c r="K582" i="1"/>
  <c r="T20" i="3"/>
  <c r="E240" i="1"/>
  <c r="E262" i="1"/>
  <c r="E279" i="1"/>
  <c r="K553" i="1"/>
  <c r="D558" i="1"/>
  <c r="C284" i="3" s="1"/>
  <c r="E257" i="1"/>
  <c r="BE82" i="1"/>
  <c r="BK82" i="1" s="1"/>
  <c r="E280" i="1"/>
  <c r="I321" i="1"/>
  <c r="E350" i="1"/>
  <c r="K395" i="1"/>
  <c r="G413" i="1"/>
  <c r="I427" i="1"/>
  <c r="E504" i="1"/>
  <c r="K558" i="1"/>
  <c r="O96" i="1"/>
  <c r="E256" i="1"/>
  <c r="K598" i="1"/>
  <c r="E261" i="1"/>
  <c r="K552" i="1"/>
  <c r="BE108" i="1"/>
  <c r="K90" i="1"/>
  <c r="Q100" i="1"/>
  <c r="E237" i="1"/>
  <c r="G327" i="1"/>
  <c r="K415" i="1"/>
  <c r="K547" i="1"/>
  <c r="K562" i="1"/>
  <c r="E501" i="1"/>
  <c r="K510" i="1"/>
  <c r="G314" i="1"/>
  <c r="G326" i="1"/>
  <c r="G334" i="1"/>
  <c r="G343" i="1"/>
  <c r="G348" i="1"/>
  <c r="K486" i="1"/>
  <c r="G503" i="1"/>
  <c r="G513" i="1"/>
  <c r="BE90" i="1"/>
  <c r="O100" i="1"/>
  <c r="BE107" i="1"/>
  <c r="G310" i="1"/>
  <c r="K318" i="1"/>
  <c r="K326" i="1"/>
  <c r="K334" i="1"/>
  <c r="K343" i="1"/>
  <c r="K348" i="1"/>
  <c r="G359" i="1"/>
  <c r="G410" i="1"/>
  <c r="K487" i="1"/>
  <c r="I503" i="1"/>
  <c r="I513" i="1"/>
  <c r="R6" i="3"/>
  <c r="K489" i="1"/>
  <c r="K503" i="1"/>
  <c r="K513" i="1"/>
  <c r="G311" i="1"/>
  <c r="G328" i="1"/>
  <c r="G337" i="1"/>
  <c r="G345" i="1"/>
  <c r="G353" i="1"/>
  <c r="K474" i="1"/>
  <c r="R14" i="3"/>
  <c r="O112" i="1"/>
  <c r="G316" i="1"/>
  <c r="E330" i="1"/>
  <c r="K338" i="1"/>
  <c r="K346" i="1"/>
  <c r="G354" i="1"/>
  <c r="I404" i="1"/>
  <c r="I413" i="1"/>
  <c r="E470" i="1"/>
  <c r="K478" i="1"/>
  <c r="E494" i="1"/>
  <c r="K514" i="1"/>
  <c r="E585" i="1"/>
  <c r="I645" i="1"/>
  <c r="I655" i="1" s="1"/>
  <c r="V14" i="3"/>
  <c r="F76" i="3"/>
  <c r="G346" i="1"/>
  <c r="O113" i="1"/>
  <c r="O132" i="1"/>
  <c r="I279" i="1"/>
  <c r="G312" i="1"/>
  <c r="K316" i="1"/>
  <c r="G320" i="1"/>
  <c r="G330" i="1"/>
  <c r="G339" i="1"/>
  <c r="K354" i="1"/>
  <c r="G394" i="1"/>
  <c r="G405" i="1"/>
  <c r="I414" i="1"/>
  <c r="E476" i="1"/>
  <c r="F479" i="1"/>
  <c r="F516" i="1" s="1"/>
  <c r="I495" i="1"/>
  <c r="G519" i="1"/>
  <c r="K571" i="1"/>
  <c r="E660" i="1"/>
  <c r="X5" i="3"/>
  <c r="I11" i="3"/>
  <c r="O21" i="3"/>
  <c r="K473" i="1"/>
  <c r="K353" i="1"/>
  <c r="G329" i="1"/>
  <c r="BE96" i="1"/>
  <c r="K114" i="1"/>
  <c r="Q133" i="1"/>
  <c r="G317" i="1"/>
  <c r="I330" i="1"/>
  <c r="K339" i="1"/>
  <c r="G355" i="1"/>
  <c r="G426" i="1"/>
  <c r="K479" i="1"/>
  <c r="K497" i="1"/>
  <c r="G506" i="1"/>
  <c r="K519" i="1"/>
  <c r="N11" i="3"/>
  <c r="E62" i="3"/>
  <c r="D106" i="3"/>
  <c r="K468" i="1"/>
  <c r="K491" i="1"/>
  <c r="K328" i="1"/>
  <c r="K345" i="1"/>
  <c r="I245" i="1"/>
  <c r="BE94" i="1"/>
  <c r="BK94" i="1" s="1"/>
  <c r="O106" i="1"/>
  <c r="O118" i="1"/>
  <c r="E253" i="1"/>
  <c r="E269" i="1"/>
  <c r="E282" i="1"/>
  <c r="I312" i="1"/>
  <c r="G332" i="1"/>
  <c r="E340" i="1"/>
  <c r="G347" i="1"/>
  <c r="K405" i="1"/>
  <c r="K416" i="1"/>
  <c r="K435" i="1"/>
  <c r="G498" i="1"/>
  <c r="E576" i="1"/>
  <c r="I589" i="1"/>
  <c r="K19" i="3"/>
  <c r="G315" i="1"/>
  <c r="G350" i="1"/>
  <c r="G361" i="1"/>
  <c r="K492" i="1"/>
  <c r="E119" i="1"/>
  <c r="I253" i="1"/>
  <c r="K320" i="1"/>
  <c r="K332" i="1"/>
  <c r="G340" i="1"/>
  <c r="I398" i="1"/>
  <c r="I406" i="1"/>
  <c r="E417" i="1"/>
  <c r="I437" i="1"/>
  <c r="K470" i="1"/>
  <c r="K483" i="1"/>
  <c r="K498" i="1"/>
  <c r="I576" i="1"/>
  <c r="K589" i="1"/>
  <c r="P19" i="3"/>
  <c r="I311" i="1"/>
  <c r="I315" i="1"/>
  <c r="E338" i="1"/>
  <c r="E469" i="1"/>
  <c r="E474" i="1"/>
  <c r="G338" i="1"/>
  <c r="E354" i="1"/>
  <c r="K493" i="1"/>
  <c r="V16" i="3"/>
  <c r="E78" i="8"/>
  <c r="I90" i="1"/>
  <c r="G313" i="1"/>
  <c r="G318" i="1"/>
  <c r="G321" i="1"/>
  <c r="G333" i="1"/>
  <c r="K340" i="1"/>
  <c r="G356" i="1"/>
  <c r="K406" i="1"/>
  <c r="G417" i="1"/>
  <c r="I471" i="1"/>
  <c r="K476" i="1"/>
  <c r="E486" i="1"/>
  <c r="K499" i="1"/>
  <c r="K506" i="1"/>
  <c r="I553" i="1"/>
  <c r="K576" i="1"/>
  <c r="V8" i="3"/>
  <c r="K10" i="3"/>
  <c r="BH60" i="1"/>
  <c r="BF61" i="1"/>
  <c r="BF63" i="1"/>
  <c r="BF53" i="1"/>
  <c r="BF59" i="1" s="1"/>
  <c r="E558" i="1"/>
  <c r="E571" i="1"/>
  <c r="E582" i="1"/>
  <c r="K676" i="1"/>
  <c r="H77" i="3" s="1"/>
  <c r="C282" i="3"/>
  <c r="O95" i="1"/>
  <c r="Q113" i="1"/>
  <c r="O133" i="1"/>
  <c r="E314" i="1"/>
  <c r="E318" i="1"/>
  <c r="E333" i="1"/>
  <c r="E344" i="1"/>
  <c r="E348" i="1"/>
  <c r="E361" i="1"/>
  <c r="G479" i="1"/>
  <c r="G493" i="1"/>
  <c r="I549" i="1"/>
  <c r="E556" i="1"/>
  <c r="I571" i="1"/>
  <c r="I582" i="1"/>
  <c r="I585" i="1"/>
  <c r="E645" i="1"/>
  <c r="E655" i="1" s="1"/>
  <c r="E656" i="1" s="1"/>
  <c r="E648" i="1" s="1"/>
  <c r="E652" i="1" s="1"/>
  <c r="E659" i="1" s="1"/>
  <c r="K670" i="1"/>
  <c r="H71" i="3" s="1"/>
  <c r="E282" i="3"/>
  <c r="E566" i="1"/>
  <c r="L19" i="3"/>
  <c r="O92" i="1"/>
  <c r="O115" i="1"/>
  <c r="O134" i="1"/>
  <c r="G474" i="1"/>
  <c r="G508" i="1"/>
  <c r="I561" i="1"/>
  <c r="I566" i="1"/>
  <c r="E572" i="1"/>
  <c r="E583" i="1"/>
  <c r="E587" i="1"/>
  <c r="E593" i="1"/>
  <c r="O107" i="1"/>
  <c r="Q115" i="1"/>
  <c r="K279" i="1"/>
  <c r="E315" i="1"/>
  <c r="E334" i="1"/>
  <c r="E345" i="1"/>
  <c r="D400" i="1"/>
  <c r="D429" i="1" s="1"/>
  <c r="C218" i="3" s="1"/>
  <c r="G471" i="1"/>
  <c r="I482" i="1"/>
  <c r="I488" i="1"/>
  <c r="G494" i="1"/>
  <c r="E500" i="1"/>
  <c r="K504" i="1"/>
  <c r="I508" i="1"/>
  <c r="G514" i="1"/>
  <c r="E550" i="1"/>
  <c r="K561" i="1"/>
  <c r="I567" i="1"/>
  <c r="I572" i="1"/>
  <c r="E578" i="1"/>
  <c r="I583" i="1"/>
  <c r="I587" i="1"/>
  <c r="P7" i="3"/>
  <c r="I21" i="3"/>
  <c r="G487" i="1"/>
  <c r="E553" i="1"/>
  <c r="E561" i="1"/>
  <c r="E577" i="1"/>
  <c r="L12" i="3"/>
  <c r="E339" i="1"/>
  <c r="G477" i="1"/>
  <c r="G482" i="1"/>
  <c r="G504" i="1"/>
  <c r="L7" i="3"/>
  <c r="O93" i="1"/>
  <c r="O116" i="1"/>
  <c r="E312" i="1"/>
  <c r="E321" i="1"/>
  <c r="E356" i="1"/>
  <c r="E418" i="1"/>
  <c r="E468" i="1"/>
  <c r="G475" i="1"/>
  <c r="K482" i="1"/>
  <c r="K488" i="1"/>
  <c r="I494" i="1"/>
  <c r="G500" i="1"/>
  <c r="K508" i="1"/>
  <c r="E547" i="1"/>
  <c r="I550" i="1"/>
  <c r="E554" i="1"/>
  <c r="K556" i="1"/>
  <c r="E562" i="1"/>
  <c r="K567" i="1"/>
  <c r="K572" i="1"/>
  <c r="I578" i="1"/>
  <c r="K583" i="1"/>
  <c r="K587" i="1"/>
  <c r="J6" i="3"/>
  <c r="P11" i="3"/>
  <c r="R12" i="3"/>
  <c r="R19" i="3"/>
  <c r="J21" i="3"/>
  <c r="F70" i="3"/>
  <c r="H400" i="1"/>
  <c r="E216" i="3" s="1"/>
  <c r="K410" i="1"/>
  <c r="G468" i="1"/>
  <c r="K471" i="1"/>
  <c r="K475" i="1"/>
  <c r="K477" i="1"/>
  <c r="G483" i="1"/>
  <c r="G489" i="1"/>
  <c r="K494" i="1"/>
  <c r="K500" i="1"/>
  <c r="E510" i="1"/>
  <c r="I547" i="1"/>
  <c r="K550" i="1"/>
  <c r="I554" i="1"/>
  <c r="I562" i="1"/>
  <c r="E568" i="1"/>
  <c r="E573" i="1"/>
  <c r="K578" i="1"/>
  <c r="E589" i="1"/>
  <c r="I593" i="1"/>
  <c r="L6" i="3"/>
  <c r="R7" i="3"/>
  <c r="R11" i="3"/>
  <c r="K15" i="3"/>
  <c r="P18" i="3"/>
  <c r="N21" i="3"/>
  <c r="D212" i="3"/>
  <c r="G324" i="1"/>
  <c r="K330" i="1"/>
  <c r="K335" i="1"/>
  <c r="E341" i="1"/>
  <c r="G352" i="1"/>
  <c r="I356" i="1"/>
  <c r="K429" i="1"/>
  <c r="K437" i="1"/>
  <c r="G469" i="1"/>
  <c r="K472" i="1"/>
  <c r="G478" i="1"/>
  <c r="G484" i="1"/>
  <c r="G490" i="1"/>
  <c r="K495" i="1"/>
  <c r="K501" i="1"/>
  <c r="G511" i="1"/>
  <c r="K516" i="1"/>
  <c r="I548" i="1"/>
  <c r="K551" i="1"/>
  <c r="K563" i="1"/>
  <c r="E569" i="1"/>
  <c r="K574" i="1"/>
  <c r="K579" i="1"/>
  <c r="I584" i="1"/>
  <c r="K590" i="1"/>
  <c r="I595" i="1"/>
  <c r="U6" i="3"/>
  <c r="I14" i="3"/>
  <c r="I17" i="3"/>
  <c r="E214" i="3"/>
  <c r="E248" i="3"/>
  <c r="G495" i="1"/>
  <c r="G510" i="1"/>
  <c r="E551" i="1"/>
  <c r="E557" i="1"/>
  <c r="E579" i="1"/>
  <c r="E126" i="3"/>
  <c r="K232" i="1"/>
  <c r="G472" i="1"/>
  <c r="G501" i="1"/>
  <c r="E563" i="1"/>
  <c r="I574" i="1"/>
  <c r="I579" i="1"/>
  <c r="C180" i="3"/>
  <c r="K245" i="1"/>
  <c r="O97" i="1"/>
  <c r="O104" i="1"/>
  <c r="O123" i="1"/>
  <c r="H305" i="1"/>
  <c r="E178" i="3" s="1"/>
  <c r="K315" i="1"/>
  <c r="G319" i="1"/>
  <c r="E325" i="1"/>
  <c r="G331" i="1"/>
  <c r="G336" i="1"/>
  <c r="G341" i="1"/>
  <c r="E347" i="1"/>
  <c r="K352" i="1"/>
  <c r="K404" i="1"/>
  <c r="K412" i="1"/>
  <c r="I421" i="1"/>
  <c r="I438" i="1"/>
  <c r="I469" i="1"/>
  <c r="G476" i="1"/>
  <c r="K484" i="1"/>
  <c r="I490" i="1"/>
  <c r="G496" i="1"/>
  <c r="G502" i="1"/>
  <c r="K505" i="1"/>
  <c r="K511" i="1"/>
  <c r="G517" i="1"/>
  <c r="K548" i="1"/>
  <c r="I557" i="1"/>
  <c r="E564" i="1"/>
  <c r="I569" i="1"/>
  <c r="E575" i="1"/>
  <c r="E580" i="1"/>
  <c r="E591" i="1"/>
  <c r="K595" i="1"/>
  <c r="L14" i="3"/>
  <c r="J17" i="3"/>
  <c r="E22" i="3"/>
  <c r="Q22" i="3" s="1"/>
  <c r="H108" i="3"/>
  <c r="E247" i="1"/>
  <c r="E268" i="1"/>
  <c r="K312" i="1"/>
  <c r="G325" i="1"/>
  <c r="K331" i="1"/>
  <c r="K336" i="1"/>
  <c r="I341" i="1"/>
  <c r="E353" i="1"/>
  <c r="G358" i="1"/>
  <c r="K469" i="1"/>
  <c r="I478" i="1"/>
  <c r="E485" i="1"/>
  <c r="K490" i="1"/>
  <c r="K496" i="1"/>
  <c r="I502" i="1"/>
  <c r="E506" i="1"/>
  <c r="K512" i="1"/>
  <c r="K517" i="1"/>
  <c r="I555" i="1"/>
  <c r="I564" i="1"/>
  <c r="K569" i="1"/>
  <c r="I575" i="1"/>
  <c r="I580" i="1"/>
  <c r="K584" i="1"/>
  <c r="K591" i="1"/>
  <c r="E596" i="1"/>
  <c r="L5" i="3"/>
  <c r="N14" i="3"/>
  <c r="N17" i="3"/>
  <c r="G499" i="1"/>
  <c r="G505" i="1"/>
  <c r="V11" i="3"/>
  <c r="Q120" i="1"/>
  <c r="E319" i="1"/>
  <c r="J321" i="1"/>
  <c r="F182" i="3" s="1"/>
  <c r="E352" i="1"/>
  <c r="G516" i="1"/>
  <c r="E548" i="1"/>
  <c r="I551" i="1"/>
  <c r="E555" i="1"/>
  <c r="X11" i="3"/>
  <c r="V15" i="3"/>
  <c r="V18" i="3"/>
  <c r="D248" i="3"/>
  <c r="O121" i="1"/>
  <c r="O136" i="1"/>
  <c r="O91" i="1"/>
  <c r="G105" i="1"/>
  <c r="Q109" i="1"/>
  <c r="K124" i="1"/>
  <c r="T58" i="1"/>
  <c r="T45" i="1" s="1"/>
  <c r="C43" i="3" s="1"/>
  <c r="Q105" i="1"/>
  <c r="O110" i="1"/>
  <c r="O124" i="1"/>
  <c r="E248" i="1"/>
  <c r="E310" i="1"/>
  <c r="E313" i="1"/>
  <c r="E326" i="1"/>
  <c r="E332" i="1"/>
  <c r="E337" i="1"/>
  <c r="K440" i="1"/>
  <c r="G473" i="1"/>
  <c r="I476" i="1"/>
  <c r="K485" i="1"/>
  <c r="G491" i="1"/>
  <c r="G497" i="1"/>
  <c r="K502" i="1"/>
  <c r="E513" i="1"/>
  <c r="E549" i="1"/>
  <c r="K557" i="1"/>
  <c r="K564" i="1"/>
  <c r="E570" i="1"/>
  <c r="K575" i="1"/>
  <c r="K596" i="1"/>
  <c r="K8" i="3"/>
  <c r="P14" i="3"/>
  <c r="K20" i="3"/>
  <c r="K30" i="8"/>
  <c r="K25" i="8"/>
  <c r="K26" i="8"/>
  <c r="K22" i="8"/>
  <c r="K23" i="8"/>
  <c r="K27" i="8"/>
  <c r="K24" i="8"/>
  <c r="K21" i="8"/>
  <c r="K28" i="8"/>
  <c r="K29" i="8"/>
  <c r="E110" i="1"/>
  <c r="I110" i="1"/>
  <c r="I119" i="1"/>
  <c r="D78" i="8"/>
  <c r="K92" i="1"/>
  <c r="K97" i="1"/>
  <c r="K99" i="1"/>
  <c r="E121" i="1"/>
  <c r="I126" i="1"/>
  <c r="G78" i="8"/>
  <c r="K237" i="1"/>
  <c r="C147" i="3"/>
  <c r="D242" i="1"/>
  <c r="K254" i="1"/>
  <c r="G263" i="1"/>
  <c r="C108" i="3"/>
  <c r="G240" i="1"/>
  <c r="I97" i="1"/>
  <c r="F78" i="8"/>
  <c r="F74" i="3"/>
  <c r="K673" i="1"/>
  <c r="H74" i="3" s="1"/>
  <c r="E104" i="1"/>
  <c r="I116" i="1"/>
  <c r="I134" i="1"/>
  <c r="Q92" i="1"/>
  <c r="K96" i="1"/>
  <c r="H101" i="1"/>
  <c r="G104" i="1"/>
  <c r="Q111" i="1"/>
  <c r="K116" i="1"/>
  <c r="E122" i="1"/>
  <c r="K134" i="1"/>
  <c r="K234" i="1"/>
  <c r="I249" i="1"/>
  <c r="K264" i="1"/>
  <c r="F400" i="1"/>
  <c r="G440" i="1"/>
  <c r="G432" i="1"/>
  <c r="G427" i="1"/>
  <c r="G416" i="1"/>
  <c r="G412" i="1"/>
  <c r="G420" i="1"/>
  <c r="G399" i="1"/>
  <c r="G392" i="1"/>
  <c r="G419" i="1"/>
  <c r="G398" i="1"/>
  <c r="G396" i="1"/>
  <c r="G415" i="1"/>
  <c r="G435" i="1"/>
  <c r="G409" i="1"/>
  <c r="G404" i="1"/>
  <c r="G429" i="1"/>
  <c r="G425" i="1"/>
  <c r="G414" i="1"/>
  <c r="G403" i="1"/>
  <c r="G393" i="1"/>
  <c r="G390" i="1"/>
  <c r="G408" i="1"/>
  <c r="G438" i="1"/>
  <c r="G424" i="1"/>
  <c r="G389" i="1"/>
  <c r="G437" i="1"/>
  <c r="G406" i="1"/>
  <c r="I15" i="3"/>
  <c r="T15" i="3"/>
  <c r="N15" i="3"/>
  <c r="N33" i="1"/>
  <c r="I95" i="1"/>
  <c r="I101" i="1"/>
  <c r="I104" i="1"/>
  <c r="G122" i="1"/>
  <c r="G250" i="1"/>
  <c r="G265" i="1"/>
  <c r="K269" i="1"/>
  <c r="G391" i="1"/>
  <c r="G395" i="1"/>
  <c r="G421" i="1"/>
  <c r="L36" i="4"/>
  <c r="L53" i="4"/>
  <c r="N58" i="4"/>
  <c r="E127" i="1"/>
  <c r="E106" i="1"/>
  <c r="D101" i="1"/>
  <c r="E91" i="1"/>
  <c r="E99" i="1"/>
  <c r="E94" i="1"/>
  <c r="E126" i="1"/>
  <c r="E118" i="1"/>
  <c r="E100" i="1"/>
  <c r="E133" i="1"/>
  <c r="E115" i="1"/>
  <c r="E123" i="1"/>
  <c r="E112" i="1"/>
  <c r="E95" i="1"/>
  <c r="E120" i="1"/>
  <c r="E117" i="1"/>
  <c r="E109" i="1"/>
  <c r="E108" i="1"/>
  <c r="E92" i="1"/>
  <c r="E135" i="1"/>
  <c r="E90" i="1"/>
  <c r="G268" i="1"/>
  <c r="J558" i="1"/>
  <c r="F283" i="3"/>
  <c r="E97" i="1"/>
  <c r="D108" i="3"/>
  <c r="G139" i="1"/>
  <c r="G133" i="1"/>
  <c r="G128" i="1"/>
  <c r="G120" i="1"/>
  <c r="G113" i="1"/>
  <c r="G98" i="1"/>
  <c r="G95" i="1"/>
  <c r="G90" i="1"/>
  <c r="G124" i="1"/>
  <c r="G117" i="1"/>
  <c r="G110" i="1"/>
  <c r="G100" i="1"/>
  <c r="G115" i="1"/>
  <c r="G123" i="1"/>
  <c r="G112" i="1"/>
  <c r="G94" i="1"/>
  <c r="G107" i="1"/>
  <c r="G106" i="1"/>
  <c r="G92" i="1"/>
  <c r="G135" i="1"/>
  <c r="G125" i="1"/>
  <c r="G114" i="1"/>
  <c r="G134" i="1"/>
  <c r="G116" i="1"/>
  <c r="G101" i="1"/>
  <c r="G99" i="1"/>
  <c r="E114" i="1"/>
  <c r="E128" i="1"/>
  <c r="E132" i="1"/>
  <c r="G273" i="1"/>
  <c r="T7" i="3"/>
  <c r="N7" i="3"/>
  <c r="I7" i="3"/>
  <c r="I16" i="3"/>
  <c r="T16" i="3"/>
  <c r="N16" i="3"/>
  <c r="C88" i="3"/>
  <c r="D78" i="1"/>
  <c r="K274" i="1"/>
  <c r="K248" i="1"/>
  <c r="K242" i="1"/>
  <c r="K258" i="1"/>
  <c r="K238" i="1"/>
  <c r="K253" i="1"/>
  <c r="K275" i="1"/>
  <c r="K267" i="1"/>
  <c r="K262" i="1"/>
  <c r="K257" i="1"/>
  <c r="K233" i="1"/>
  <c r="K252" i="1"/>
  <c r="K247" i="1"/>
  <c r="K236" i="1"/>
  <c r="K241" i="1"/>
  <c r="K239" i="1"/>
  <c r="K282" i="1"/>
  <c r="K277" i="1"/>
  <c r="K266" i="1"/>
  <c r="K261" i="1"/>
  <c r="K256" i="1"/>
  <c r="K251" i="1"/>
  <c r="K246" i="1"/>
  <c r="K273" i="1"/>
  <c r="K260" i="1"/>
  <c r="K280" i="1"/>
  <c r="K249" i="1"/>
  <c r="K240" i="1"/>
  <c r="K672" i="1"/>
  <c r="H73" i="3" s="1"/>
  <c r="E96" i="1"/>
  <c r="G108" i="1"/>
  <c r="E111" i="1"/>
  <c r="G121" i="1"/>
  <c r="H542" i="1"/>
  <c r="V9" i="3"/>
  <c r="P9" i="3"/>
  <c r="K9" i="3"/>
  <c r="D53" i="3"/>
  <c r="J159" i="1"/>
  <c r="G77" i="8" s="1"/>
  <c r="H159" i="1"/>
  <c r="F77" i="8" s="1"/>
  <c r="F159" i="1"/>
  <c r="E77" i="8" s="1"/>
  <c r="G282" i="1"/>
  <c r="G256" i="1"/>
  <c r="G239" i="1"/>
  <c r="G280" i="1"/>
  <c r="G251" i="1"/>
  <c r="G242" i="1"/>
  <c r="G276" i="1"/>
  <c r="G261" i="1"/>
  <c r="G246" i="1"/>
  <c r="G232" i="1"/>
  <c r="G279" i="1"/>
  <c r="G275" i="1"/>
  <c r="G262" i="1"/>
  <c r="G257" i="1"/>
  <c r="G267" i="1"/>
  <c r="G252" i="1"/>
  <c r="G247" i="1"/>
  <c r="G274" i="1"/>
  <c r="G269" i="1"/>
  <c r="G236" i="1"/>
  <c r="G233" i="1"/>
  <c r="G266" i="1"/>
  <c r="G245" i="1"/>
  <c r="G235" i="1"/>
  <c r="G253" i="1"/>
  <c r="G260" i="1"/>
  <c r="D22" i="2"/>
  <c r="I660" i="1"/>
  <c r="G119" i="1"/>
  <c r="G97" i="1"/>
  <c r="E108" i="3"/>
  <c r="I99" i="1"/>
  <c r="I105" i="1"/>
  <c r="I123" i="1"/>
  <c r="I112" i="1"/>
  <c r="I94" i="1"/>
  <c r="I92" i="1"/>
  <c r="I107" i="1"/>
  <c r="I106" i="1"/>
  <c r="I120" i="1"/>
  <c r="I109" i="1"/>
  <c r="I108" i="1"/>
  <c r="I135" i="1"/>
  <c r="I117" i="1"/>
  <c r="I132" i="1"/>
  <c r="I125" i="1"/>
  <c r="I114" i="1"/>
  <c r="I98" i="1"/>
  <c r="I127" i="1"/>
  <c r="I122" i="1"/>
  <c r="I93" i="1"/>
  <c r="I136" i="1"/>
  <c r="I128" i="1"/>
  <c r="I124" i="1"/>
  <c r="I91" i="1"/>
  <c r="E125" i="1"/>
  <c r="I275" i="1"/>
  <c r="I262" i="1"/>
  <c r="I255" i="1"/>
  <c r="I248" i="1"/>
  <c r="I231" i="1"/>
  <c r="I280" i="1"/>
  <c r="I274" i="1"/>
  <c r="I261" i="1"/>
  <c r="I252" i="1"/>
  <c r="I236" i="1"/>
  <c r="I273" i="1"/>
  <c r="I247" i="1"/>
  <c r="I240" i="1"/>
  <c r="I271" i="1"/>
  <c r="I268" i="1"/>
  <c r="I265" i="1"/>
  <c r="I257" i="1"/>
  <c r="I237" i="1"/>
  <c r="I269" i="1"/>
  <c r="I267" i="1"/>
  <c r="I233" i="1"/>
  <c r="I266" i="1"/>
  <c r="I256" i="1"/>
  <c r="I251" i="1"/>
  <c r="I241" i="1"/>
  <c r="I239" i="1"/>
  <c r="I282" i="1"/>
  <c r="I277" i="1"/>
  <c r="I246" i="1"/>
  <c r="I264" i="1"/>
  <c r="I259" i="1"/>
  <c r="I254" i="1"/>
  <c r="I238" i="1"/>
  <c r="I232" i="1"/>
  <c r="X8" i="3"/>
  <c r="R8" i="3"/>
  <c r="L8" i="3"/>
  <c r="F108" i="3"/>
  <c r="K135" i="1"/>
  <c r="K122" i="1"/>
  <c r="K115" i="1"/>
  <c r="K100" i="1"/>
  <c r="K136" i="1"/>
  <c r="K132" i="1"/>
  <c r="K126" i="1"/>
  <c r="K119" i="1"/>
  <c r="K112" i="1"/>
  <c r="K107" i="1"/>
  <c r="K106" i="1"/>
  <c r="K120" i="1"/>
  <c r="K109" i="1"/>
  <c r="K108" i="1"/>
  <c r="K117" i="1"/>
  <c r="K98" i="1"/>
  <c r="K127" i="1"/>
  <c r="K125" i="1"/>
  <c r="K93" i="1"/>
  <c r="K139" i="1"/>
  <c r="K111" i="1"/>
  <c r="K105" i="1"/>
  <c r="K121" i="1"/>
  <c r="K113" i="1"/>
  <c r="K110" i="1"/>
  <c r="I115" i="1"/>
  <c r="G126" i="1"/>
  <c r="K133" i="1"/>
  <c r="G237" i="1"/>
  <c r="G254" i="1"/>
  <c r="K268" i="1"/>
  <c r="F321" i="1"/>
  <c r="D181" i="3"/>
  <c r="J384" i="1"/>
  <c r="F212" i="3" s="1"/>
  <c r="N6" i="3"/>
  <c r="I6" i="3"/>
  <c r="H130" i="3"/>
  <c r="G248" i="1"/>
  <c r="I263" i="1"/>
  <c r="I276" i="1"/>
  <c r="G596" i="1"/>
  <c r="G593" i="1"/>
  <c r="G590" i="1"/>
  <c r="G577" i="1"/>
  <c r="G570" i="1"/>
  <c r="G563" i="1"/>
  <c r="G558" i="1"/>
  <c r="G580" i="1"/>
  <c r="G576" i="1"/>
  <c r="G572" i="1"/>
  <c r="G568" i="1"/>
  <c r="G564" i="1"/>
  <c r="G554" i="1"/>
  <c r="D282" i="3"/>
  <c r="G583" i="1"/>
  <c r="G579" i="1"/>
  <c r="G575" i="1"/>
  <c r="G571" i="1"/>
  <c r="G567" i="1"/>
  <c r="G553" i="1"/>
  <c r="G573" i="1"/>
  <c r="G569" i="1"/>
  <c r="G565" i="1"/>
  <c r="G561" i="1"/>
  <c r="G552" i="1"/>
  <c r="G591" i="1"/>
  <c r="G585" i="1"/>
  <c r="G578" i="1"/>
  <c r="G598" i="1"/>
  <c r="G566" i="1"/>
  <c r="G555" i="1"/>
  <c r="G595" i="1"/>
  <c r="G582" i="1"/>
  <c r="G589" i="1"/>
  <c r="G581" i="1"/>
  <c r="G548" i="1"/>
  <c r="G547" i="1"/>
  <c r="G574" i="1"/>
  <c r="G549" i="1"/>
  <c r="G587" i="1"/>
  <c r="G557" i="1"/>
  <c r="G562" i="1"/>
  <c r="G551" i="1"/>
  <c r="F558" i="1"/>
  <c r="G556" i="1"/>
  <c r="G550" i="1"/>
  <c r="E29" i="3"/>
  <c r="N38" i="1"/>
  <c r="G96" i="1"/>
  <c r="Q136" i="1"/>
  <c r="Q124" i="1"/>
  <c r="Q117" i="1"/>
  <c r="Q110" i="1"/>
  <c r="Q134" i="1"/>
  <c r="Q127" i="1"/>
  <c r="Q121" i="1"/>
  <c r="Q114" i="1"/>
  <c r="P101" i="1"/>
  <c r="I49" i="8" s="1"/>
  <c r="Q97" i="1"/>
  <c r="Q135" i="1"/>
  <c r="Q125" i="1"/>
  <c r="Q132" i="1"/>
  <c r="Q101" i="1"/>
  <c r="Q99" i="1"/>
  <c r="Q93" i="1"/>
  <c r="Q139" i="1"/>
  <c r="Q128" i="1"/>
  <c r="Q122" i="1"/>
  <c r="Q119" i="1"/>
  <c r="Q116" i="1"/>
  <c r="Q90" i="1"/>
  <c r="Q118" i="1"/>
  <c r="Q108" i="1"/>
  <c r="G111" i="1"/>
  <c r="E116" i="1"/>
  <c r="I121" i="1"/>
  <c r="Q126" i="1"/>
  <c r="E134" i="1"/>
  <c r="G234" i="1"/>
  <c r="G238" i="1"/>
  <c r="G241" i="1"/>
  <c r="K255" i="1"/>
  <c r="K263" i="1"/>
  <c r="K276" i="1"/>
  <c r="E438" i="1"/>
  <c r="E432" i="1"/>
  <c r="C214" i="3"/>
  <c r="E437" i="1"/>
  <c r="E420" i="1"/>
  <c r="E413" i="1"/>
  <c r="E406" i="1"/>
  <c r="E389" i="1"/>
  <c r="E426" i="1"/>
  <c r="E419" i="1"/>
  <c r="E412" i="1"/>
  <c r="E405" i="1"/>
  <c r="E408" i="1"/>
  <c r="E404" i="1"/>
  <c r="E395" i="1"/>
  <c r="E390" i="1"/>
  <c r="E416" i="1"/>
  <c r="E435" i="1"/>
  <c r="E431" i="1"/>
  <c r="E415" i="1"/>
  <c r="E411" i="1"/>
  <c r="E407" i="1"/>
  <c r="E403" i="1"/>
  <c r="E434" i="1"/>
  <c r="E400" i="1"/>
  <c r="E391" i="1"/>
  <c r="E421" i="1"/>
  <c r="E410" i="1"/>
  <c r="E399" i="1"/>
  <c r="E394" i="1"/>
  <c r="E397" i="1"/>
  <c r="E440" i="1"/>
  <c r="E409" i="1"/>
  <c r="E429" i="1"/>
  <c r="E425" i="1"/>
  <c r="E414" i="1"/>
  <c r="E393" i="1"/>
  <c r="E396" i="1"/>
  <c r="E433" i="1"/>
  <c r="E423" i="1"/>
  <c r="BG107" i="1"/>
  <c r="BI107" i="1" s="1"/>
  <c r="BJ107" i="1" s="1"/>
  <c r="BG102" i="1"/>
  <c r="BI102" i="1" s="1"/>
  <c r="BJ102" i="1" s="1"/>
  <c r="BG89" i="1"/>
  <c r="BI89" i="1" s="1"/>
  <c r="BJ89" i="1" s="1"/>
  <c r="BG90" i="1"/>
  <c r="BI90" i="1" s="1"/>
  <c r="BJ90" i="1" s="1"/>
  <c r="BG83" i="1"/>
  <c r="BI83" i="1" s="1"/>
  <c r="BJ83" i="1" s="1"/>
  <c r="BG100" i="1"/>
  <c r="BI100" i="1" s="1"/>
  <c r="BJ100" i="1" s="1"/>
  <c r="BG95" i="1"/>
  <c r="BI95" i="1" s="1"/>
  <c r="BJ95" i="1" s="1"/>
  <c r="BG96" i="1"/>
  <c r="BI96" i="1" s="1"/>
  <c r="BJ96" i="1" s="1"/>
  <c r="BG108" i="1"/>
  <c r="BI108" i="1" s="1"/>
  <c r="BJ108" i="1" s="1"/>
  <c r="BG88" i="1"/>
  <c r="BI88" i="1" s="1"/>
  <c r="BJ88" i="1" s="1"/>
  <c r="BG82" i="1"/>
  <c r="BI82" i="1" s="1"/>
  <c r="BJ82" i="1" s="1"/>
  <c r="F22" i="3"/>
  <c r="W22" i="3" s="1"/>
  <c r="I96" i="1"/>
  <c r="E98" i="1"/>
  <c r="F101" i="1"/>
  <c r="BG106" i="1"/>
  <c r="BI106" i="1" s="1"/>
  <c r="BJ106" i="1" s="1"/>
  <c r="I234" i="1"/>
  <c r="G249" i="1"/>
  <c r="G264" i="1"/>
  <c r="E398" i="1"/>
  <c r="F75" i="3"/>
  <c r="K674" i="1"/>
  <c r="H75" i="3" s="1"/>
  <c r="E63" i="3"/>
  <c r="D146" i="3"/>
  <c r="G91" i="1"/>
  <c r="G93" i="1"/>
  <c r="Q96" i="1"/>
  <c r="I100" i="1"/>
  <c r="J101" i="1"/>
  <c r="K101" i="1" s="1"/>
  <c r="K104" i="1"/>
  <c r="E107" i="1"/>
  <c r="Q112" i="1"/>
  <c r="G118" i="1"/>
  <c r="K123" i="1"/>
  <c r="I235" i="1"/>
  <c r="F242" i="1"/>
  <c r="I250" i="1"/>
  <c r="G258" i="1"/>
  <c r="K265" i="1"/>
  <c r="G277" i="1"/>
  <c r="E427" i="1"/>
  <c r="J479" i="1"/>
  <c r="F249" i="3"/>
  <c r="I644" i="1"/>
  <c r="BG84" i="1"/>
  <c r="BI84" i="1" s="1"/>
  <c r="BJ84" i="1" s="1"/>
  <c r="K91" i="1"/>
  <c r="K95" i="1"/>
  <c r="E113" i="1"/>
  <c r="I118" i="1"/>
  <c r="E136" i="1"/>
  <c r="I139" i="1"/>
  <c r="G231" i="1"/>
  <c r="K235" i="1"/>
  <c r="H242" i="1"/>
  <c r="K250" i="1"/>
  <c r="I258" i="1"/>
  <c r="E422" i="1"/>
  <c r="G584" i="1"/>
  <c r="I8" i="3"/>
  <c r="N8" i="3"/>
  <c r="T8" i="3"/>
  <c r="E53" i="3"/>
  <c r="BI52" i="1"/>
  <c r="BF55" i="1"/>
  <c r="K94" i="1"/>
  <c r="Q104" i="1"/>
  <c r="Q107" i="1"/>
  <c r="I113" i="1"/>
  <c r="K118" i="1"/>
  <c r="Q123" i="1"/>
  <c r="D159" i="1"/>
  <c r="D77" i="8" s="1"/>
  <c r="K231" i="1"/>
  <c r="I242" i="1"/>
  <c r="G259" i="1"/>
  <c r="G271" i="1"/>
  <c r="G422" i="1"/>
  <c r="T6" i="3"/>
  <c r="C53" i="3"/>
  <c r="BE95" i="1"/>
  <c r="BE101" i="1"/>
  <c r="BE89" i="1"/>
  <c r="BE100" i="1"/>
  <c r="BK100" i="1" s="1"/>
  <c r="BE102" i="1"/>
  <c r="BE84" i="1"/>
  <c r="Q91" i="1"/>
  <c r="Q94" i="1"/>
  <c r="Q98" i="1"/>
  <c r="BG101" i="1"/>
  <c r="BI101" i="1" s="1"/>
  <c r="BJ101" i="1" s="1"/>
  <c r="E105" i="1"/>
  <c r="G109" i="1"/>
  <c r="E124" i="1"/>
  <c r="G136" i="1"/>
  <c r="F47" i="7" s="1"/>
  <c r="J242" i="1"/>
  <c r="K259" i="1"/>
  <c r="K271" i="1"/>
  <c r="G423" i="1"/>
  <c r="K32" i="4"/>
  <c r="K54" i="4" s="1"/>
  <c r="O54" i="4"/>
  <c r="O36" i="4"/>
  <c r="I318" i="1"/>
  <c r="I320" i="1"/>
  <c r="I326" i="1"/>
  <c r="I359" i="1"/>
  <c r="K397" i="1"/>
  <c r="K399" i="1"/>
  <c r="D15" i="2"/>
  <c r="C644" i="1"/>
  <c r="G108" i="3"/>
  <c r="O94" i="1"/>
  <c r="O119" i="1"/>
  <c r="O128" i="1"/>
  <c r="I337" i="1"/>
  <c r="I342" i="1"/>
  <c r="K392" i="1"/>
  <c r="K418" i="1"/>
  <c r="C643" i="1"/>
  <c r="C645" i="1"/>
  <c r="O99" i="1"/>
  <c r="N101" i="1"/>
  <c r="O101" i="1" s="1"/>
  <c r="O105" i="1"/>
  <c r="O111" i="1"/>
  <c r="O122" i="1"/>
  <c r="O139" i="1"/>
  <c r="I316" i="1"/>
  <c r="I328" i="1"/>
  <c r="K400" i="1"/>
  <c r="K427" i="1"/>
  <c r="E503" i="1"/>
  <c r="E496" i="1"/>
  <c r="E489" i="1"/>
  <c r="E482" i="1"/>
  <c r="E471" i="1"/>
  <c r="E502" i="1"/>
  <c r="E495" i="1"/>
  <c r="E488" i="1"/>
  <c r="E516" i="1"/>
  <c r="E508" i="1"/>
  <c r="C248" i="3"/>
  <c r="E511" i="1"/>
  <c r="E484" i="1"/>
  <c r="D479" i="1"/>
  <c r="E475" i="1"/>
  <c r="E514" i="1"/>
  <c r="E483" i="1"/>
  <c r="E517" i="1"/>
  <c r="E497" i="1"/>
  <c r="E492" i="1"/>
  <c r="E478" i="1"/>
  <c r="E505" i="1"/>
  <c r="E491" i="1"/>
  <c r="E473" i="1"/>
  <c r="E499" i="1"/>
  <c r="E477" i="1"/>
  <c r="E479" i="1"/>
  <c r="I510" i="1"/>
  <c r="U32" i="4"/>
  <c r="U19" i="4" s="1"/>
  <c r="U20" i="4" s="1"/>
  <c r="K433" i="1"/>
  <c r="K423" i="1"/>
  <c r="J400" i="1"/>
  <c r="K432" i="1"/>
  <c r="K422" i="1"/>
  <c r="F214" i="3"/>
  <c r="K424" i="1"/>
  <c r="K431" i="1"/>
  <c r="K411" i="1"/>
  <c r="K407" i="1"/>
  <c r="K403" i="1"/>
  <c r="K394" i="1"/>
  <c r="K389" i="1"/>
  <c r="K426" i="1"/>
  <c r="K421" i="1"/>
  <c r="K417" i="1"/>
  <c r="K413" i="1"/>
  <c r="K409" i="1"/>
  <c r="K393" i="1"/>
  <c r="K408" i="1"/>
  <c r="K419" i="1"/>
  <c r="K438" i="1"/>
  <c r="X15" i="3"/>
  <c r="R15" i="3"/>
  <c r="L15" i="3"/>
  <c r="T19" i="3"/>
  <c r="N19" i="3"/>
  <c r="O7" i="3"/>
  <c r="J7" i="3"/>
  <c r="U7" i="3"/>
  <c r="BF60" i="1"/>
  <c r="O114" i="1"/>
  <c r="O125" i="1"/>
  <c r="O135" i="1"/>
  <c r="H226" i="1"/>
  <c r="E180" i="3"/>
  <c r="I352" i="1"/>
  <c r="I346" i="1"/>
  <c r="I339" i="1"/>
  <c r="I332" i="1"/>
  <c r="I325" i="1"/>
  <c r="I314" i="1"/>
  <c r="I345" i="1"/>
  <c r="I338" i="1"/>
  <c r="I331" i="1"/>
  <c r="I324" i="1"/>
  <c r="I313" i="1"/>
  <c r="I344" i="1"/>
  <c r="I340" i="1"/>
  <c r="I336" i="1"/>
  <c r="I358" i="1"/>
  <c r="I355" i="1"/>
  <c r="I350" i="1"/>
  <c r="I347" i="1"/>
  <c r="I354" i="1"/>
  <c r="I343" i="1"/>
  <c r="H321" i="1"/>
  <c r="I319" i="1"/>
  <c r="I348" i="1"/>
  <c r="K398" i="1"/>
  <c r="N13" i="3"/>
  <c r="T13" i="3"/>
  <c r="BF62" i="1"/>
  <c r="O117" i="1"/>
  <c r="O127" i="1"/>
  <c r="I317" i="1"/>
  <c r="F180" i="3"/>
  <c r="K358" i="1"/>
  <c r="K355" i="1"/>
  <c r="K350" i="1"/>
  <c r="K327" i="1"/>
  <c r="K321" i="1"/>
  <c r="K317" i="1"/>
  <c r="K314" i="1"/>
  <c r="K311" i="1"/>
  <c r="K341" i="1"/>
  <c r="K337" i="1"/>
  <c r="K333" i="1"/>
  <c r="K329" i="1"/>
  <c r="K325" i="1"/>
  <c r="I329" i="1"/>
  <c r="K347" i="1"/>
  <c r="K356" i="1"/>
  <c r="K390" i="1"/>
  <c r="K414" i="1"/>
  <c r="K420" i="1"/>
  <c r="I512" i="1"/>
  <c r="I499" i="1"/>
  <c r="I492" i="1"/>
  <c r="I485" i="1"/>
  <c r="I468" i="1"/>
  <c r="I517" i="1"/>
  <c r="I511" i="1"/>
  <c r="I498" i="1"/>
  <c r="I491" i="1"/>
  <c r="I484" i="1"/>
  <c r="H479" i="1"/>
  <c r="I519" i="1"/>
  <c r="I501" i="1"/>
  <c r="I497" i="1"/>
  <c r="I493" i="1"/>
  <c r="I489" i="1"/>
  <c r="I479" i="1"/>
  <c r="I504" i="1"/>
  <c r="I500" i="1"/>
  <c r="I496" i="1"/>
  <c r="I472" i="1"/>
  <c r="I505" i="1"/>
  <c r="I487" i="1"/>
  <c r="I473" i="1"/>
  <c r="I470" i="1"/>
  <c r="I516" i="1"/>
  <c r="I486" i="1"/>
  <c r="I474" i="1"/>
  <c r="I678" i="1"/>
  <c r="K671" i="1"/>
  <c r="V13" i="3"/>
  <c r="K13" i="3"/>
  <c r="P13" i="3"/>
  <c r="T18" i="3"/>
  <c r="N18" i="3"/>
  <c r="N35" i="1"/>
  <c r="O98" i="1"/>
  <c r="O108" i="1"/>
  <c r="O109" i="1"/>
  <c r="O120" i="1"/>
  <c r="G130" i="3"/>
  <c r="K319" i="1"/>
  <c r="K324" i="1"/>
  <c r="I334" i="1"/>
  <c r="I353" i="1"/>
  <c r="K425" i="1"/>
  <c r="I475" i="1"/>
  <c r="I477" i="1"/>
  <c r="E487" i="1"/>
  <c r="E493" i="1"/>
  <c r="E498" i="1"/>
  <c r="E512" i="1"/>
  <c r="I9" i="3"/>
  <c r="T9" i="3"/>
  <c r="C146" i="3"/>
  <c r="E266" i="1"/>
  <c r="E259" i="1"/>
  <c r="E252" i="1"/>
  <c r="E245" i="1"/>
  <c r="E234" i="1"/>
  <c r="E265" i="1"/>
  <c r="E250" i="1"/>
  <c r="E343" i="1"/>
  <c r="E336" i="1"/>
  <c r="E329" i="1"/>
  <c r="D321" i="1"/>
  <c r="E317" i="1"/>
  <c r="E355" i="1"/>
  <c r="E342" i="1"/>
  <c r="E335" i="1"/>
  <c r="E328" i="1"/>
  <c r="E316" i="1"/>
  <c r="E311" i="1"/>
  <c r="E346" i="1"/>
  <c r="G79" i="3"/>
  <c r="P20" i="3"/>
  <c r="E236" i="1"/>
  <c r="E255" i="1"/>
  <c r="E263" i="1"/>
  <c r="E267" i="1"/>
  <c r="E327" i="1"/>
  <c r="E331" i="1"/>
  <c r="E358" i="1"/>
  <c r="V7" i="3"/>
  <c r="V6" i="3"/>
  <c r="K6" i="3"/>
  <c r="N34" i="1"/>
  <c r="E241" i="1"/>
  <c r="E260" i="1"/>
  <c r="E264" i="1"/>
  <c r="E320" i="1"/>
  <c r="E324" i="1"/>
  <c r="T12" i="3"/>
  <c r="N12" i="3"/>
  <c r="C36" i="4"/>
  <c r="I408" i="1"/>
  <c r="I415" i="1"/>
  <c r="I435" i="1"/>
  <c r="G488" i="1"/>
  <c r="G492" i="1"/>
  <c r="X16" i="3"/>
  <c r="L16" i="3"/>
  <c r="I409" i="1"/>
  <c r="I416" i="1"/>
  <c r="I426" i="1"/>
  <c r="G470" i="1"/>
  <c r="G485" i="1"/>
  <c r="X9" i="3"/>
  <c r="L9" i="3"/>
  <c r="R10" i="3"/>
  <c r="X10" i="3"/>
  <c r="I20" i="3"/>
  <c r="E581" i="1"/>
  <c r="E574" i="1"/>
  <c r="E567" i="1"/>
  <c r="E584" i="1"/>
  <c r="E552" i="1"/>
  <c r="E590" i="1"/>
  <c r="E598" i="1"/>
  <c r="I596" i="1"/>
  <c r="I590" i="1"/>
  <c r="I577" i="1"/>
  <c r="I570" i="1"/>
  <c r="I563" i="1"/>
  <c r="H558" i="1"/>
  <c r="I556" i="1"/>
  <c r="I558" i="1"/>
  <c r="I591" i="1"/>
  <c r="E595" i="1"/>
  <c r="I598" i="1"/>
  <c r="K554" i="1"/>
  <c r="K566" i="1"/>
  <c r="K573" i="1"/>
  <c r="K580" i="1"/>
  <c r="K585" i="1"/>
  <c r="I97" i="8" l="1"/>
  <c r="I217" i="1"/>
  <c r="I107" i="8" s="1"/>
  <c r="D27" i="7"/>
  <c r="F58" i="7"/>
  <c r="J107" i="8"/>
  <c r="J85" i="1"/>
  <c r="G42" i="8" s="1"/>
  <c r="F42" i="8"/>
  <c r="G126" i="3"/>
  <c r="H66" i="8"/>
  <c r="H49" i="8"/>
  <c r="N138" i="1"/>
  <c r="J9" i="8"/>
  <c r="J5" i="7"/>
  <c r="E219" i="1"/>
  <c r="H107" i="8"/>
  <c r="C27" i="7"/>
  <c r="D49" i="8"/>
  <c r="D138" i="1"/>
  <c r="D57" i="8" s="1"/>
  <c r="E43" i="7"/>
  <c r="F49" i="8"/>
  <c r="G27" i="7"/>
  <c r="F27" i="7"/>
  <c r="E27" i="7"/>
  <c r="F43" i="7"/>
  <c r="G49" i="8"/>
  <c r="D50" i="3"/>
  <c r="I5" i="7"/>
  <c r="I9" i="8"/>
  <c r="D43" i="7"/>
  <c r="E49" i="8"/>
  <c r="H126" i="3"/>
  <c r="I66" i="8"/>
  <c r="U13" i="3"/>
  <c r="R18" i="3"/>
  <c r="X18" i="3"/>
  <c r="J9" i="3"/>
  <c r="J5" i="3"/>
  <c r="O8" i="3"/>
  <c r="U5" i="3"/>
  <c r="J8" i="3"/>
  <c r="U9" i="3"/>
  <c r="I40" i="1"/>
  <c r="D56" i="3" s="1"/>
  <c r="J14" i="3"/>
  <c r="O14" i="3"/>
  <c r="J19" i="3"/>
  <c r="O12" i="3"/>
  <c r="V5" i="3"/>
  <c r="C132" i="3"/>
  <c r="C62" i="7"/>
  <c r="U11" i="3"/>
  <c r="E106" i="3"/>
  <c r="E36" i="7"/>
  <c r="O11" i="3"/>
  <c r="J13" i="3"/>
  <c r="C133" i="3"/>
  <c r="C63" i="7"/>
  <c r="C18" i="3"/>
  <c r="O18" i="3" s="1"/>
  <c r="U19" i="3"/>
  <c r="E101" i="1"/>
  <c r="C43" i="7"/>
  <c r="U12" i="3"/>
  <c r="D132" i="3"/>
  <c r="D62" i="7"/>
  <c r="U16" i="3"/>
  <c r="E132" i="3"/>
  <c r="E62" i="7"/>
  <c r="O16" i="3"/>
  <c r="D133" i="3"/>
  <c r="D63" i="7"/>
  <c r="F133" i="3"/>
  <c r="F63" i="7"/>
  <c r="O10" i="3"/>
  <c r="O15" i="3"/>
  <c r="J15" i="3"/>
  <c r="E133" i="3"/>
  <c r="E63" i="7"/>
  <c r="J10" i="3"/>
  <c r="F132" i="3"/>
  <c r="F62" i="7"/>
  <c r="K5" i="3"/>
  <c r="J305" i="1"/>
  <c r="F178" i="3" s="1"/>
  <c r="G659" i="1"/>
  <c r="BK107" i="1"/>
  <c r="J463" i="1"/>
  <c r="F246" i="3" s="1"/>
  <c r="D587" i="1"/>
  <c r="C286" i="3" s="1"/>
  <c r="R78" i="1"/>
  <c r="S78" i="1" s="1"/>
  <c r="T78" i="1" s="1"/>
  <c r="D595" i="1"/>
  <c r="C288" i="3" s="1"/>
  <c r="C216" i="3"/>
  <c r="BK96" i="1"/>
  <c r="I656" i="1"/>
  <c r="I648" i="1" s="1"/>
  <c r="I652" i="1" s="1"/>
  <c r="I659" i="1" s="1"/>
  <c r="J350" i="1"/>
  <c r="F184" i="3" s="1"/>
  <c r="J358" i="1"/>
  <c r="J361" i="1" s="1"/>
  <c r="F508" i="1"/>
  <c r="D252" i="3" s="1"/>
  <c r="D250" i="3"/>
  <c r="H437" i="1"/>
  <c r="E220" i="3" s="1"/>
  <c r="G71" i="8"/>
  <c r="H429" i="1"/>
  <c r="E218" i="3" s="1"/>
  <c r="D71" i="8"/>
  <c r="T46" i="1"/>
  <c r="BF54" i="1"/>
  <c r="BE56" i="1" s="1"/>
  <c r="K64" i="1" s="1"/>
  <c r="K30" i="7" s="1"/>
  <c r="E43" i="3"/>
  <c r="D437" i="1"/>
  <c r="D440" i="1" s="1"/>
  <c r="BK95" i="1"/>
  <c r="BK108" i="1"/>
  <c r="G110" i="3"/>
  <c r="N130" i="1"/>
  <c r="O130" i="1" s="1"/>
  <c r="L37" i="4"/>
  <c r="L59" i="4" s="1"/>
  <c r="L58" i="4"/>
  <c r="E110" i="3"/>
  <c r="H138" i="1"/>
  <c r="I138" i="1" s="1"/>
  <c r="H130" i="1"/>
  <c r="C655" i="1"/>
  <c r="C656" i="1" s="1"/>
  <c r="C648" i="1" s="1"/>
  <c r="C652" i="1" s="1"/>
  <c r="C659" i="1" s="1"/>
  <c r="D110" i="3"/>
  <c r="F130" i="1"/>
  <c r="F138" i="1"/>
  <c r="G138" i="1" s="1"/>
  <c r="F48" i="7" s="1"/>
  <c r="C58" i="4"/>
  <c r="G31" i="4"/>
  <c r="H110" i="3"/>
  <c r="P138" i="1"/>
  <c r="P130" i="1"/>
  <c r="Q130" i="1" s="1"/>
  <c r="F587" i="1"/>
  <c r="D286" i="3" s="1"/>
  <c r="F595" i="1"/>
  <c r="D284" i="3"/>
  <c r="D182" i="3"/>
  <c r="F358" i="1"/>
  <c r="F350" i="1"/>
  <c r="D184" i="3" s="1"/>
  <c r="D279" i="1"/>
  <c r="D271" i="1"/>
  <c r="C150" i="3" s="1"/>
  <c r="C148" i="3"/>
  <c r="BG62" i="1"/>
  <c r="BG60" i="1"/>
  <c r="BL52" i="1"/>
  <c r="BG61" i="1"/>
  <c r="BI53" i="1"/>
  <c r="BG59" i="1" s="1"/>
  <c r="O37" i="4"/>
  <c r="O59" i="4" s="1"/>
  <c r="L3" i="4"/>
  <c r="O58" i="4"/>
  <c r="M37" i="4"/>
  <c r="M59" i="4" s="1"/>
  <c r="H72" i="3"/>
  <c r="K678" i="1"/>
  <c r="J542" i="1"/>
  <c r="F280" i="3" s="1"/>
  <c r="E280" i="3"/>
  <c r="C110" i="3"/>
  <c r="D130" i="1"/>
  <c r="F519" i="1"/>
  <c r="D254" i="3"/>
  <c r="E144" i="3"/>
  <c r="J226" i="1"/>
  <c r="F144" i="3" s="1"/>
  <c r="F148" i="3"/>
  <c r="J271" i="1"/>
  <c r="F150" i="3" s="1"/>
  <c r="J279" i="1"/>
  <c r="BK84" i="1"/>
  <c r="C97" i="3"/>
  <c r="F216" i="3"/>
  <c r="J429" i="1"/>
  <c r="F218" i="3" s="1"/>
  <c r="J437" i="1"/>
  <c r="D148" i="3"/>
  <c r="F279" i="1"/>
  <c r="F271" i="1"/>
  <c r="D150" i="3" s="1"/>
  <c r="F429" i="1"/>
  <c r="D218" i="3" s="1"/>
  <c r="D216" i="3"/>
  <c r="F437" i="1"/>
  <c r="K36" i="4"/>
  <c r="D358" i="1"/>
  <c r="D350" i="1"/>
  <c r="C184" i="3" s="1"/>
  <c r="C182" i="3"/>
  <c r="BK102" i="1"/>
  <c r="BK83" i="1"/>
  <c r="E148" i="3"/>
  <c r="H271" i="1"/>
  <c r="E150" i="3" s="1"/>
  <c r="H279" i="1"/>
  <c r="F110" i="3"/>
  <c r="J138" i="1"/>
  <c r="J130" i="1"/>
  <c r="E182" i="3"/>
  <c r="H350" i="1"/>
  <c r="E184" i="3" s="1"/>
  <c r="H358" i="1"/>
  <c r="C63" i="3"/>
  <c r="E50" i="3"/>
  <c r="D516" i="1"/>
  <c r="D508" i="1"/>
  <c r="C252" i="3" s="1"/>
  <c r="C250" i="3"/>
  <c r="F79" i="3"/>
  <c r="J40" i="1"/>
  <c r="BK90" i="1"/>
  <c r="BK89" i="1"/>
  <c r="E284" i="3"/>
  <c r="H595" i="1"/>
  <c r="H587" i="1"/>
  <c r="E286" i="3" s="1"/>
  <c r="E250" i="3"/>
  <c r="H508" i="1"/>
  <c r="E252" i="3" s="1"/>
  <c r="H516" i="1"/>
  <c r="BK101" i="1"/>
  <c r="F250" i="3"/>
  <c r="J508" i="1"/>
  <c r="F252" i="3" s="1"/>
  <c r="J516" i="1"/>
  <c r="J587" i="1"/>
  <c r="F286" i="3" s="1"/>
  <c r="F284" i="3"/>
  <c r="J595" i="1"/>
  <c r="N37" i="4"/>
  <c r="N59" i="4" s="1"/>
  <c r="I57" i="8" l="1"/>
  <c r="Q138" i="1"/>
  <c r="H57" i="8"/>
  <c r="O138" i="1"/>
  <c r="F106" i="3"/>
  <c r="G57" i="8"/>
  <c r="K138" i="1"/>
  <c r="F112" i="3"/>
  <c r="K130" i="1"/>
  <c r="F53" i="8"/>
  <c r="I130" i="1"/>
  <c r="E53" i="8"/>
  <c r="G130" i="1"/>
  <c r="F46" i="7" s="1"/>
  <c r="G219" i="1"/>
  <c r="G109" i="8" s="1"/>
  <c r="E109" i="8"/>
  <c r="E48" i="7"/>
  <c r="F57" i="8"/>
  <c r="F71" i="8"/>
  <c r="E71" i="8"/>
  <c r="G112" i="3"/>
  <c r="H55" i="8"/>
  <c r="H112" i="3"/>
  <c r="I55" i="8"/>
  <c r="C46" i="7"/>
  <c r="D53" i="8"/>
  <c r="D48" i="7"/>
  <c r="E57" i="8"/>
  <c r="K32" i="8"/>
  <c r="F130" i="3"/>
  <c r="F36" i="7"/>
  <c r="N40" i="1"/>
  <c r="K29" i="7"/>
  <c r="U18" i="3"/>
  <c r="E138" i="1"/>
  <c r="C48" i="7"/>
  <c r="D112" i="3"/>
  <c r="D46" i="7"/>
  <c r="J18" i="3"/>
  <c r="D130" i="3"/>
  <c r="D58" i="7"/>
  <c r="C130" i="3"/>
  <c r="C58" i="7"/>
  <c r="E130" i="3"/>
  <c r="E58" i="7"/>
  <c r="E112" i="3"/>
  <c r="E46" i="7"/>
  <c r="C112" i="3"/>
  <c r="E130" i="1"/>
  <c r="D598" i="1"/>
  <c r="D610" i="1" s="1"/>
  <c r="E44" i="3"/>
  <c r="F186" i="3"/>
  <c r="H440" i="1"/>
  <c r="E222" i="3" s="1"/>
  <c r="U44" i="1"/>
  <c r="N39" i="1"/>
  <c r="C220" i="3"/>
  <c r="J598" i="1"/>
  <c r="F288" i="3"/>
  <c r="E114" i="3"/>
  <c r="H141" i="1"/>
  <c r="L4" i="4"/>
  <c r="L6" i="4"/>
  <c r="M6" i="4" s="1"/>
  <c r="L5" i="4"/>
  <c r="M5" i="4" s="1"/>
  <c r="C222" i="3"/>
  <c r="D452" i="1"/>
  <c r="H114" i="3"/>
  <c r="P141" i="1"/>
  <c r="F188" i="3"/>
  <c r="J373" i="1"/>
  <c r="E186" i="3"/>
  <c r="H361" i="1"/>
  <c r="C186" i="3"/>
  <c r="D361" i="1"/>
  <c r="K58" i="4"/>
  <c r="N8" i="4"/>
  <c r="M4" i="4"/>
  <c r="N10" i="4"/>
  <c r="K37" i="4"/>
  <c r="K59" i="4" s="1"/>
  <c r="J440" i="1"/>
  <c r="F220" i="3"/>
  <c r="F254" i="3"/>
  <c r="J519" i="1"/>
  <c r="D256" i="3"/>
  <c r="F531" i="1"/>
  <c r="E56" i="3"/>
  <c r="D63" i="3"/>
  <c r="D220" i="3"/>
  <c r="F440" i="1"/>
  <c r="C114" i="3"/>
  <c r="D141" i="1"/>
  <c r="D60" i="8" s="1"/>
  <c r="G36" i="4"/>
  <c r="D31" i="4"/>
  <c r="F53" i="4"/>
  <c r="F114" i="3"/>
  <c r="J141" i="1"/>
  <c r="C152" i="3"/>
  <c r="D282" i="1"/>
  <c r="E254" i="3"/>
  <c r="H519" i="1"/>
  <c r="E152" i="3"/>
  <c r="H282" i="1"/>
  <c r="BG63" i="1"/>
  <c r="BI54" i="1" s="1"/>
  <c r="BI56" i="1" s="1"/>
  <c r="BL53" i="1"/>
  <c r="BK63" i="1" s="1"/>
  <c r="G114" i="3"/>
  <c r="N141" i="1"/>
  <c r="D186" i="3"/>
  <c r="F361" i="1"/>
  <c r="C681" i="1"/>
  <c r="H79" i="3"/>
  <c r="F141" i="1"/>
  <c r="D114" i="3"/>
  <c r="BK60" i="1"/>
  <c r="BK62" i="1"/>
  <c r="BK61" i="1"/>
  <c r="E288" i="3"/>
  <c r="H598" i="1"/>
  <c r="F282" i="1"/>
  <c r="D152" i="3"/>
  <c r="J282" i="1"/>
  <c r="F152" i="3"/>
  <c r="D288" i="3"/>
  <c r="F598" i="1"/>
  <c r="D519" i="1"/>
  <c r="C254" i="3"/>
  <c r="G21" i="3"/>
  <c r="H64" i="1"/>
  <c r="H30" i="7" l="1"/>
  <c r="H35" i="8"/>
  <c r="I60" i="8"/>
  <c r="Q141" i="1"/>
  <c r="H60" i="8"/>
  <c r="O141" i="1"/>
  <c r="G60" i="8"/>
  <c r="K141" i="1"/>
  <c r="F60" i="8"/>
  <c r="I141" i="1"/>
  <c r="E60" i="8"/>
  <c r="G141" i="1"/>
  <c r="E141" i="1"/>
  <c r="N41" i="1"/>
  <c r="F63" i="1"/>
  <c r="G20" i="3"/>
  <c r="D63" i="1"/>
  <c r="E63" i="1"/>
  <c r="C63" i="1"/>
  <c r="G63" i="1"/>
  <c r="D21" i="3"/>
  <c r="P21" i="3" s="1"/>
  <c r="H452" i="1"/>
  <c r="E233" i="3" s="1"/>
  <c r="C290" i="3"/>
  <c r="BK59" i="1"/>
  <c r="BL54" i="1" s="1"/>
  <c r="BL56" i="1" s="1"/>
  <c r="F256" i="3"/>
  <c r="J531" i="1"/>
  <c r="D154" i="3"/>
  <c r="F294" i="1"/>
  <c r="D188" i="3"/>
  <c r="F373" i="1"/>
  <c r="D53" i="4"/>
  <c r="D36" i="4"/>
  <c r="H116" i="3"/>
  <c r="P153" i="1"/>
  <c r="I69" i="8" s="1"/>
  <c r="E290" i="3"/>
  <c r="H610" i="1"/>
  <c r="G37" i="4"/>
  <c r="F59" i="4" s="1"/>
  <c r="F58" i="4"/>
  <c r="E37" i="4"/>
  <c r="E59" i="4" s="1"/>
  <c r="F37" i="4"/>
  <c r="C37" i="4"/>
  <c r="C59" i="4" s="1"/>
  <c r="C116" i="3"/>
  <c r="D153" i="1"/>
  <c r="F222" i="3"/>
  <c r="J452" i="1"/>
  <c r="D457" i="1"/>
  <c r="C238" i="3" s="1"/>
  <c r="C233" i="3"/>
  <c r="H294" i="1"/>
  <c r="E154" i="3"/>
  <c r="X21" i="3"/>
  <c r="L21" i="3"/>
  <c r="R21" i="3"/>
  <c r="E256" i="3"/>
  <c r="H531" i="1"/>
  <c r="L8" i="4"/>
  <c r="L9" i="4"/>
  <c r="L11" i="4"/>
  <c r="L10" i="4"/>
  <c r="F154" i="3"/>
  <c r="J294" i="1"/>
  <c r="F199" i="3"/>
  <c r="J378" i="1"/>
  <c r="F204" i="3" s="1"/>
  <c r="C256" i="3"/>
  <c r="D531" i="1"/>
  <c r="C188" i="3"/>
  <c r="D373" i="1"/>
  <c r="E116" i="3"/>
  <c r="H153" i="1"/>
  <c r="F610" i="1"/>
  <c r="D290" i="3"/>
  <c r="C154" i="3"/>
  <c r="D294" i="1"/>
  <c r="C301" i="3"/>
  <c r="D615" i="1"/>
  <c r="C306" i="3" s="1"/>
  <c r="D116" i="3"/>
  <c r="F153" i="1"/>
  <c r="D267" i="3"/>
  <c r="F536" i="1"/>
  <c r="D272" i="3" s="1"/>
  <c r="H373" i="1"/>
  <c r="E188" i="3"/>
  <c r="G116" i="3"/>
  <c r="N153" i="1"/>
  <c r="H69" i="8" s="1"/>
  <c r="D222" i="3"/>
  <c r="F452" i="1"/>
  <c r="F116" i="3"/>
  <c r="J153" i="1"/>
  <c r="J610" i="1"/>
  <c r="F290" i="3"/>
  <c r="H36" i="8" l="1"/>
  <c r="K36" i="8" s="1"/>
  <c r="C37" i="8" s="1"/>
  <c r="K35" i="8"/>
  <c r="D57" i="7"/>
  <c r="E69" i="8"/>
  <c r="C29" i="7"/>
  <c r="E57" i="7"/>
  <c r="F69" i="8"/>
  <c r="G29" i="7"/>
  <c r="E29" i="7"/>
  <c r="D29" i="7"/>
  <c r="F57" i="7"/>
  <c r="G69" i="8"/>
  <c r="C57" i="7"/>
  <c r="D69" i="8"/>
  <c r="F29" i="7"/>
  <c r="E65" i="1"/>
  <c r="C65" i="1"/>
  <c r="K60" i="1" s="1"/>
  <c r="C20" i="3"/>
  <c r="H457" i="1"/>
  <c r="E238" i="3" s="1"/>
  <c r="K21" i="3"/>
  <c r="G65" i="1"/>
  <c r="V21" i="3"/>
  <c r="D65" i="1"/>
  <c r="X20" i="3"/>
  <c r="L20" i="3"/>
  <c r="R20" i="3"/>
  <c r="F65" i="1"/>
  <c r="D58" i="4"/>
  <c r="D37" i="4"/>
  <c r="D59" i="4" s="1"/>
  <c r="D171" i="1"/>
  <c r="C128" i="3"/>
  <c r="L12" i="4"/>
  <c r="N11" i="4" s="1"/>
  <c r="N12" i="4" s="1"/>
  <c r="D301" i="3"/>
  <c r="F615" i="1"/>
  <c r="D306" i="3" s="1"/>
  <c r="E267" i="3"/>
  <c r="H536" i="1"/>
  <c r="E272" i="3" s="1"/>
  <c r="D199" i="3"/>
  <c r="F378" i="1"/>
  <c r="D204" i="3" s="1"/>
  <c r="C165" i="3"/>
  <c r="D299" i="1"/>
  <c r="C170" i="3" s="1"/>
  <c r="G128" i="3"/>
  <c r="E128" i="3"/>
  <c r="H171" i="1"/>
  <c r="F84" i="8" s="1"/>
  <c r="D165" i="3"/>
  <c r="F299" i="1"/>
  <c r="D170" i="3" s="1"/>
  <c r="C199" i="3"/>
  <c r="D378" i="1"/>
  <c r="C204" i="3" s="1"/>
  <c r="F301" i="3"/>
  <c r="J615" i="1"/>
  <c r="F306" i="3" s="1"/>
  <c r="J536" i="1"/>
  <c r="F272" i="3" s="1"/>
  <c r="F267" i="3"/>
  <c r="F128" i="3"/>
  <c r="J171" i="1"/>
  <c r="G84" i="8" s="1"/>
  <c r="E199" i="3"/>
  <c r="H378" i="1"/>
  <c r="E204" i="3" s="1"/>
  <c r="F171" i="1"/>
  <c r="E84" i="8" s="1"/>
  <c r="D128" i="3"/>
  <c r="J299" i="1"/>
  <c r="F170" i="3" s="1"/>
  <c r="F165" i="3"/>
  <c r="E165" i="3"/>
  <c r="H299" i="1"/>
  <c r="E170" i="3" s="1"/>
  <c r="E301" i="3"/>
  <c r="H615" i="1"/>
  <c r="E306" i="3" s="1"/>
  <c r="D536" i="1"/>
  <c r="C272" i="3" s="1"/>
  <c r="C267" i="3"/>
  <c r="H128" i="3"/>
  <c r="F457" i="1"/>
  <c r="D238" i="3" s="1"/>
  <c r="D233" i="3"/>
  <c r="F233" i="3"/>
  <c r="J457" i="1"/>
  <c r="F238" i="3" s="1"/>
  <c r="D84" i="8" l="1"/>
  <c r="D194" i="1"/>
  <c r="K34" i="8"/>
  <c r="G31" i="7"/>
  <c r="C31" i="7"/>
  <c r="E31" i="7"/>
  <c r="F31" i="7"/>
  <c r="D31" i="7"/>
  <c r="R71" i="1"/>
  <c r="M63" i="1"/>
  <c r="G214" i="1"/>
  <c r="G104" i="8" s="1"/>
  <c r="K26" i="7"/>
  <c r="M59" i="1"/>
  <c r="G211" i="1"/>
  <c r="G101" i="8" s="1"/>
  <c r="M51" i="1"/>
  <c r="G207" i="1"/>
  <c r="M64" i="1"/>
  <c r="M58" i="1"/>
  <c r="M50" i="1"/>
  <c r="C22" i="3"/>
  <c r="M53" i="1"/>
  <c r="S68" i="1"/>
  <c r="G216" i="1"/>
  <c r="G106" i="8" s="1"/>
  <c r="M62" i="1"/>
  <c r="G209" i="1"/>
  <c r="G99" i="8" s="1"/>
  <c r="M60" i="1"/>
  <c r="G215" i="1"/>
  <c r="G105" i="8" s="1"/>
  <c r="M49" i="1"/>
  <c r="G208" i="1"/>
  <c r="G98" i="8" s="1"/>
  <c r="G210" i="1"/>
  <c r="G100" i="8" s="1"/>
  <c r="M57" i="1"/>
  <c r="R77" i="1"/>
  <c r="S77" i="1" s="1"/>
  <c r="T77" i="1" s="1"/>
  <c r="T79" i="1" s="1"/>
  <c r="C64" i="3"/>
  <c r="C680" i="1"/>
  <c r="M54" i="1"/>
  <c r="G213" i="1"/>
  <c r="G103" i="8" s="1"/>
  <c r="M56" i="1"/>
  <c r="M61" i="1"/>
  <c r="G212" i="1"/>
  <c r="G102" i="8" s="1"/>
  <c r="M55" i="1"/>
  <c r="M52" i="1"/>
  <c r="BD90" i="1"/>
  <c r="BL90" i="1" s="1"/>
  <c r="BD94" i="1"/>
  <c r="BL94" i="1" s="1"/>
  <c r="BD96" i="1"/>
  <c r="BL96" i="1" s="1"/>
  <c r="BD102" i="1"/>
  <c r="BL102" i="1" s="1"/>
  <c r="BD82" i="1"/>
  <c r="BL82" i="1" s="1"/>
  <c r="BD106" i="1"/>
  <c r="BL106" i="1" s="1"/>
  <c r="R74" i="1"/>
  <c r="J20" i="3"/>
  <c r="U20" i="3"/>
  <c r="O20" i="3"/>
  <c r="J194" i="1"/>
  <c r="F68" i="7"/>
  <c r="H194" i="1"/>
  <c r="E68" i="7"/>
  <c r="F194" i="1"/>
  <c r="D68" i="7"/>
  <c r="C68" i="7"/>
  <c r="G97" i="8" l="1"/>
  <c r="G217" i="1"/>
  <c r="G107" i="8" s="1"/>
  <c r="D67" i="7"/>
  <c r="D69" i="7" s="1"/>
  <c r="E87" i="8"/>
  <c r="E9" i="8"/>
  <c r="E5" i="7"/>
  <c r="C67" i="7"/>
  <c r="C69" i="7" s="1"/>
  <c r="D87" i="8"/>
  <c r="E67" i="7"/>
  <c r="E69" i="7" s="1"/>
  <c r="F87" i="8"/>
  <c r="F67" i="7"/>
  <c r="F69" i="7" s="1"/>
  <c r="G87" i="8"/>
  <c r="D9" i="8"/>
  <c r="D5" i="7"/>
  <c r="BD100" i="1"/>
  <c r="BL100" i="1" s="1"/>
  <c r="C5" i="7"/>
  <c r="C9" i="8"/>
  <c r="BD88" i="1"/>
  <c r="BL88" i="1" s="1"/>
  <c r="BD84" i="1"/>
  <c r="BL84" i="1" s="1"/>
  <c r="BD107" i="1"/>
  <c r="BL107" i="1" s="1"/>
  <c r="BD83" i="1"/>
  <c r="BL83" i="1" s="1"/>
  <c r="BD89" i="1"/>
  <c r="BL89" i="1" s="1"/>
  <c r="H164" i="1" s="1"/>
  <c r="N60" i="1"/>
  <c r="N61" i="1"/>
  <c r="N62" i="1"/>
  <c r="N63" i="1"/>
  <c r="G680" i="1"/>
  <c r="D81" i="3" s="1"/>
  <c r="C682" i="1"/>
  <c r="C684" i="1" s="1"/>
  <c r="C685" i="1" s="1"/>
  <c r="G683" i="1"/>
  <c r="K680" i="1"/>
  <c r="H81" i="3" s="1"/>
  <c r="G681" i="1"/>
  <c r="D82" i="3" s="1"/>
  <c r="K681" i="1"/>
  <c r="H82" i="3" s="1"/>
  <c r="J22" i="3"/>
  <c r="U22" i="3"/>
  <c r="O22" i="3"/>
  <c r="N50" i="1"/>
  <c r="N64" i="1"/>
  <c r="N49" i="1"/>
  <c r="N55" i="1"/>
  <c r="N58" i="1"/>
  <c r="N57" i="1"/>
  <c r="N51" i="1"/>
  <c r="N52" i="1"/>
  <c r="N59" i="1"/>
  <c r="G17" i="3"/>
  <c r="H60" i="1"/>
  <c r="H26" i="7" s="1"/>
  <c r="K65" i="1"/>
  <c r="K31" i="7" s="1"/>
  <c r="N56" i="1"/>
  <c r="BD108" i="1"/>
  <c r="BL108" i="1" s="1"/>
  <c r="C62" i="3"/>
  <c r="E64" i="3" s="1"/>
  <c r="C50" i="3"/>
  <c r="BD101" i="1"/>
  <c r="BL101" i="1" s="1"/>
  <c r="BD95" i="1"/>
  <c r="BL95" i="1" s="1"/>
  <c r="N54" i="1"/>
  <c r="N53" i="1"/>
  <c r="E37" i="8" l="1"/>
  <c r="G37" i="8"/>
  <c r="H37" i="8"/>
  <c r="I37" i="8"/>
  <c r="J37" i="8"/>
  <c r="K37" i="8"/>
  <c r="D37" i="8"/>
  <c r="F37" i="8"/>
  <c r="H156" i="1"/>
  <c r="C40" i="1"/>
  <c r="D64" i="3" s="1"/>
  <c r="D164" i="1"/>
  <c r="J164" i="1"/>
  <c r="F164" i="1"/>
  <c r="D40" i="1"/>
  <c r="E40" i="1"/>
  <c r="J156" i="1"/>
  <c r="F156" i="1"/>
  <c r="D156" i="1"/>
  <c r="F40" i="1"/>
  <c r="N65" i="1"/>
  <c r="R69" i="1" s="1"/>
  <c r="D66" i="1"/>
  <c r="I66" i="1"/>
  <c r="J66" i="1"/>
  <c r="C66" i="1"/>
  <c r="G66" i="1"/>
  <c r="K66" i="1"/>
  <c r="S60" i="1"/>
  <c r="G22" i="3"/>
  <c r="F66" i="1"/>
  <c r="E66" i="1"/>
  <c r="D17" i="3"/>
  <c r="H65" i="1"/>
  <c r="H31" i="7" s="1"/>
  <c r="X17" i="3"/>
  <c r="R17" i="3"/>
  <c r="L17" i="3"/>
  <c r="J165" i="1"/>
  <c r="F165" i="1"/>
  <c r="D165" i="1"/>
  <c r="H165" i="1"/>
  <c r="J166" i="1"/>
  <c r="D166" i="1"/>
  <c r="F166" i="1"/>
  <c r="H166" i="1"/>
  <c r="S69" i="1"/>
  <c r="R72" i="1" s="1"/>
  <c r="R73" i="1" s="1"/>
  <c r="J161" i="1" l="1"/>
  <c r="G79" i="8" s="1"/>
  <c r="G74" i="8"/>
  <c r="H161" i="1"/>
  <c r="F79" i="8" s="1"/>
  <c r="F74" i="8"/>
  <c r="F161" i="1"/>
  <c r="E79" i="8" s="1"/>
  <c r="E74" i="8"/>
  <c r="E131" i="3"/>
  <c r="E59" i="7"/>
  <c r="D32" i="7"/>
  <c r="F131" i="3"/>
  <c r="E32" i="7"/>
  <c r="C59" i="7"/>
  <c r="D74" i="8"/>
  <c r="D62" i="3"/>
  <c r="C56" i="3"/>
  <c r="F59" i="7"/>
  <c r="D131" i="3"/>
  <c r="D59" i="7"/>
  <c r="D161" i="1"/>
  <c r="C131" i="3"/>
  <c r="R22" i="3"/>
  <c r="L22" i="3"/>
  <c r="X22" i="3"/>
  <c r="C32" i="7"/>
  <c r="C23" i="3"/>
  <c r="H66" i="1"/>
  <c r="F78" i="1"/>
  <c r="D22" i="3"/>
  <c r="G32" i="7"/>
  <c r="I32" i="7"/>
  <c r="E23" i="3"/>
  <c r="Q23" i="3" s="1"/>
  <c r="V17" i="3"/>
  <c r="K17" i="3"/>
  <c r="P17" i="3"/>
  <c r="S62" i="1"/>
  <c r="T62" i="1" s="1"/>
  <c r="S63" i="1"/>
  <c r="T63" i="1" s="1"/>
  <c r="S61" i="1"/>
  <c r="G23" i="3"/>
  <c r="K32" i="7"/>
  <c r="F23" i="3"/>
  <c r="W23" i="3" s="1"/>
  <c r="J32" i="7"/>
  <c r="J163" i="1" l="1"/>
  <c r="G81" i="8" s="1"/>
  <c r="J172" i="1"/>
  <c r="G85" i="8" s="1"/>
  <c r="F64" i="7"/>
  <c r="F134" i="3"/>
  <c r="F163" i="1"/>
  <c r="E81" i="8" s="1"/>
  <c r="E64" i="7"/>
  <c r="H163" i="1"/>
  <c r="F81" i="8" s="1"/>
  <c r="E134" i="3"/>
  <c r="H172" i="1"/>
  <c r="F85" i="8" s="1"/>
  <c r="P161" i="1"/>
  <c r="I79" i="8" s="1"/>
  <c r="I74" i="8"/>
  <c r="D64" i="7"/>
  <c r="G131" i="3"/>
  <c r="H74" i="8"/>
  <c r="F172" i="1"/>
  <c r="E85" i="8" s="1"/>
  <c r="D134" i="3"/>
  <c r="D163" i="1"/>
  <c r="D81" i="8" s="1"/>
  <c r="D79" i="8"/>
  <c r="H9" i="8"/>
  <c r="H5" i="7"/>
  <c r="H131" i="3"/>
  <c r="N161" i="1"/>
  <c r="C134" i="3"/>
  <c r="D172" i="1"/>
  <c r="C64" i="7"/>
  <c r="E65" i="7"/>
  <c r="H195" i="1"/>
  <c r="F88" i="8" s="1"/>
  <c r="O23" i="3"/>
  <c r="J23" i="3"/>
  <c r="U23" i="3"/>
  <c r="S67" i="1"/>
  <c r="S66" i="1"/>
  <c r="T61" i="1"/>
  <c r="S65" i="1"/>
  <c r="L23" i="3"/>
  <c r="X23" i="3"/>
  <c r="R23" i="3"/>
  <c r="V22" i="3"/>
  <c r="K22" i="3"/>
  <c r="P22" i="3"/>
  <c r="H78" i="1"/>
  <c r="C99" i="3" s="1"/>
  <c r="C98" i="3"/>
  <c r="D23" i="3"/>
  <c r="H32" i="7"/>
  <c r="F32" i="7"/>
  <c r="F71" i="7" l="1"/>
  <c r="F65" i="7"/>
  <c r="F136" i="3"/>
  <c r="J195" i="1"/>
  <c r="G88" i="8" s="1"/>
  <c r="E71" i="7"/>
  <c r="D65" i="7"/>
  <c r="E136" i="3"/>
  <c r="D136" i="3"/>
  <c r="H134" i="3"/>
  <c r="P163" i="1"/>
  <c r="D71" i="7"/>
  <c r="F195" i="1"/>
  <c r="E88" i="8" s="1"/>
  <c r="C71" i="7"/>
  <c r="D85" i="8"/>
  <c r="H136" i="3"/>
  <c r="I81" i="8"/>
  <c r="C65" i="7"/>
  <c r="C136" i="3"/>
  <c r="N163" i="1"/>
  <c r="H79" i="8"/>
  <c r="D195" i="1"/>
  <c r="G134" i="3"/>
  <c r="P23" i="3"/>
  <c r="K23" i="3"/>
  <c r="V23" i="3"/>
  <c r="H201" i="1"/>
  <c r="H198" i="1"/>
  <c r="F91" i="8" s="1"/>
  <c r="H199" i="1"/>
  <c r="E70" i="7"/>
  <c r="H200" i="1"/>
  <c r="J198" i="1" l="1"/>
  <c r="G91" i="8" s="1"/>
  <c r="F70" i="7"/>
  <c r="J201" i="1"/>
  <c r="J199" i="1"/>
  <c r="J200" i="1"/>
  <c r="F200" i="1"/>
  <c r="F199" i="1"/>
  <c r="F198" i="1"/>
  <c r="E91" i="8" s="1"/>
  <c r="F201" i="1"/>
  <c r="D70" i="7"/>
  <c r="D200" i="1"/>
  <c r="D88" i="8"/>
  <c r="G136" i="3"/>
  <c r="H81" i="8"/>
  <c r="D199" i="1"/>
  <c r="D201" i="1"/>
  <c r="C70" i="7"/>
  <c r="D198" i="1"/>
  <c r="D91" i="8" s="1"/>
  <c r="F72" i="7" l="1"/>
  <c r="F73" i="7" s="1"/>
  <c r="E72" i="7"/>
  <c r="E73" i="7" s="1"/>
  <c r="D72" i="7"/>
  <c r="D73" i="7" s="1"/>
  <c r="C72" i="7"/>
  <c r="C7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40" authorId="0" shapeId="0" xr:uid="{00000000-0006-0000-0000-000001000000}">
      <text>
        <r>
          <rPr>
            <sz val="11"/>
            <color rgb="FF000000"/>
            <rFont val="Calibri"/>
            <family val="2"/>
          </rPr>
          <t xml:space="preserve">Administrator:
Amortization Basis and Months required to calculate Payment.
Pmt Calculates off Sources and Uses if input
</t>
        </r>
      </text>
    </comment>
    <comment ref="D40" authorId="0" shapeId="0" xr:uid="{48172558-DA3C-4160-86A7-453695126346}">
      <text>
        <r>
          <rPr>
            <sz val="11"/>
            <color rgb="FF000000"/>
            <rFont val="Calibri"/>
            <family val="2"/>
          </rPr>
          <t xml:space="preserve">Administrator:
Amortization Basis and Months required to calculate Payment.
Pmt Calculates off Sources and Uses if input
</t>
        </r>
      </text>
    </comment>
    <comment ref="E40" authorId="0" shapeId="0" xr:uid="{BA1E3FD7-A41F-4B85-9237-78FDEAC8CA20}">
      <text>
        <r>
          <rPr>
            <sz val="11"/>
            <color rgb="FF000000"/>
            <rFont val="Calibri"/>
            <family val="2"/>
          </rPr>
          <t xml:space="preserve">Administrator:
Amortization Basis and Months required to calculate Payment.
Pmt Calculates off Sources and Uses if input
</t>
        </r>
      </text>
    </comment>
  </commentList>
</comments>
</file>

<file path=xl/sharedStrings.xml><?xml version="1.0" encoding="utf-8"?>
<sst xmlns="http://schemas.openxmlformats.org/spreadsheetml/2006/main" count="1659" uniqueCount="772">
  <si>
    <t xml:space="preserve">  </t>
  </si>
  <si>
    <t>BDO Prequalification</t>
  </si>
  <si>
    <t>Loan Structure</t>
  </si>
  <si>
    <t>Purchase and Sale Close Date, if known, otherwise Target Closing Date</t>
  </si>
  <si>
    <t>Entity Name:</t>
  </si>
  <si>
    <t>Role</t>
  </si>
  <si>
    <t>Yrs. In Bus.</t>
  </si>
  <si>
    <t>Guarantor?</t>
  </si>
  <si>
    <t>BDO:</t>
  </si>
  <si>
    <t>Cooperating BDO:</t>
  </si>
  <si>
    <t>Broker Name:</t>
  </si>
  <si>
    <t>Broker Fee:</t>
  </si>
  <si>
    <t>* List entities in the following order (as applicable): Borrower, Co-Borrower, Operating Entity, Corp. Guarantor, Affiliate.</t>
  </si>
  <si>
    <t>Individual Guarantor Info:</t>
  </si>
  <si>
    <t>Ownership Exp. (yrs)</t>
  </si>
  <si>
    <t>Ownership %</t>
  </si>
  <si>
    <t>FICO</t>
  </si>
  <si>
    <t>Prior BK?</t>
  </si>
  <si>
    <t>Prior Loss to Gov't</t>
  </si>
  <si>
    <t>Debarred by SBA?</t>
  </si>
  <si>
    <t>Pending Legal Action?</t>
  </si>
  <si>
    <t>Criminal History?</t>
  </si>
  <si>
    <t>Business / Property Address:</t>
  </si>
  <si>
    <t>(Street)</t>
  </si>
  <si>
    <t>(City) (State) (ZIP)</t>
  </si>
  <si>
    <t>Loan Terms</t>
  </si>
  <si>
    <t>Closing Costs</t>
  </si>
  <si>
    <t>Cost</t>
  </si>
  <si>
    <t>Quantity</t>
  </si>
  <si>
    <t>Total</t>
  </si>
  <si>
    <t>Closing Cost Calculator  ---&gt; Expand/Collapse Above ---&gt;</t>
  </si>
  <si>
    <t>Loan Packaging Fee</t>
  </si>
  <si>
    <t>$1.5M - 2.5M</t>
  </si>
  <si>
    <t>T Bank Loan</t>
  </si>
  <si>
    <t>Borrower</t>
  </si>
  <si>
    <t>Seller Note</t>
  </si>
  <si>
    <t>3rd Party</t>
  </si>
  <si>
    <t>Title Insurance</t>
  </si>
  <si>
    <t>0.5%-1% of CRE value (FL &amp; NY +)</t>
  </si>
  <si>
    <t>Product Type</t>
  </si>
  <si>
    <t>SBA Gty %</t>
  </si>
  <si>
    <t>Real Estate Tax Fee</t>
  </si>
  <si>
    <t>$150 for 1st $500M, $200 for $956M</t>
  </si>
  <si>
    <t>Loan Amount/Injection</t>
  </si>
  <si>
    <t>Est. Appraisal Costs</t>
  </si>
  <si>
    <t>Survey Charges</t>
  </si>
  <si>
    <t>$1M - $3M</t>
  </si>
  <si>
    <t>Base Rate</t>
  </si>
  <si>
    <t>Est. Environmental Report Costs</t>
  </si>
  <si>
    <t>CRE Appraisal</t>
  </si>
  <si>
    <t>$3.5M - $6.0M</t>
  </si>
  <si>
    <t>Spread</t>
  </si>
  <si>
    <t>Packaging Fee</t>
  </si>
  <si>
    <t>Equipment Appraisal</t>
  </si>
  <si>
    <t>$1.5M - $3.5M</t>
  </si>
  <si>
    <t>Indicative Rate</t>
  </si>
  <si>
    <t>Survey</t>
  </si>
  <si>
    <t>Appraisal Review</t>
  </si>
  <si>
    <t>$250 - $900</t>
  </si>
  <si>
    <t>Amortization Basis</t>
  </si>
  <si>
    <t>Actual/365</t>
  </si>
  <si>
    <t>Business Valuation</t>
  </si>
  <si>
    <t>Site Visit</t>
  </si>
  <si>
    <t>Term (years)</t>
  </si>
  <si>
    <t>Title / Escrow / Closing</t>
  </si>
  <si>
    <t>Environmental Investigation</t>
  </si>
  <si>
    <t>$2M</t>
  </si>
  <si>
    <t>Amortization (mos)</t>
  </si>
  <si>
    <t>SBA GTY Fee</t>
  </si>
  <si>
    <t>$2.5M - $3M</t>
  </si>
  <si>
    <t>Estimated Payment</t>
  </si>
  <si>
    <t>Other Costs</t>
  </si>
  <si>
    <t>Residential Appr / Valuation</t>
  </si>
  <si>
    <t>$500 - $700</t>
  </si>
  <si>
    <t>Est Const Period (mths)</t>
  </si>
  <si>
    <t>Total SBA Fees &amp; Closing Costs</t>
  </si>
  <si>
    <t>Attorney Doc Prep</t>
  </si>
  <si>
    <t>$3.5M-$6.0M</t>
  </si>
  <si>
    <t>Are there funded SBA Loans in last 90 days?</t>
  </si>
  <si>
    <t>No</t>
  </si>
  <si>
    <t>Amount?</t>
  </si>
  <si>
    <t xml:space="preserve">Guarantee %?  </t>
  </si>
  <si>
    <t>Interim Loan Fee / Origination</t>
  </si>
  <si>
    <t>1.0% -2.0% Conv/USDA Loans</t>
  </si>
  <si>
    <t>Construction Monitoring</t>
  </si>
  <si>
    <t>See Partner ESI pricing sheet</t>
  </si>
  <si>
    <t>Rounding</t>
  </si>
  <si>
    <t>Sources and Uses of Proceeds</t>
  </si>
  <si>
    <t>Other:  UCCs and Misc Closing</t>
  </si>
  <si>
    <t>Total Estimated Closing Costs</t>
  </si>
  <si>
    <t>SBA Guaranty %</t>
  </si>
  <si>
    <t>SBA Term (yrs)</t>
  </si>
  <si>
    <t>%</t>
  </si>
  <si>
    <t>Wgt</t>
  </si>
  <si>
    <t>If there has been a previous SBA 7a loan funded within the last 90 days, enter loan amount and guaranty %.</t>
  </si>
  <si>
    <t>Direct Project Costs</t>
  </si>
  <si>
    <t>Miscellaneous Closing Costs</t>
  </si>
  <si>
    <t>Previous Loan Amount</t>
  </si>
  <si>
    <t>Real Estate Acquisition</t>
  </si>
  <si>
    <t>Business Credit Report</t>
  </si>
  <si>
    <t>Previous Guaranty %</t>
  </si>
  <si>
    <t>Debt Refi - CRE</t>
  </si>
  <si>
    <t>Personal Credit Report</t>
  </si>
  <si>
    <t>SBA Guaranty Fee Calculation</t>
  </si>
  <si>
    <t>Debt Refi - Non-CRE</t>
  </si>
  <si>
    <t>IRS Transcript Service</t>
  </si>
  <si>
    <t>T Bank SBA Loan</t>
  </si>
  <si>
    <t>Previous SBA Loan Within 90 Days</t>
  </si>
  <si>
    <t>Two Loans Combined</t>
  </si>
  <si>
    <t>Machinery &amp; Equipment</t>
  </si>
  <si>
    <t>UCC Searches</t>
  </si>
  <si>
    <t>Loan Amount</t>
  </si>
  <si>
    <t>Furniture &amp; Fixtures (TIs)</t>
  </si>
  <si>
    <t>Certificate of Good Standing</t>
  </si>
  <si>
    <t>Guaranteed Portion</t>
  </si>
  <si>
    <t>Inventory</t>
  </si>
  <si>
    <t>Flood Certification</t>
  </si>
  <si>
    <t>Guaranty Fee</t>
  </si>
  <si>
    <t>Working Capital</t>
  </si>
  <si>
    <t>Filing &amp; Recording Fees</t>
  </si>
  <si>
    <t>avg $100</t>
  </si>
  <si>
    <t>Add'l Gty Fee</t>
  </si>
  <si>
    <t>Working Capital - Pre Opening</t>
  </si>
  <si>
    <t>FedEx Charges</t>
  </si>
  <si>
    <t>avg $50</t>
  </si>
  <si>
    <t>Total Gty Fee (Rounded)</t>
  </si>
  <si>
    <t>Business Acquisition</t>
  </si>
  <si>
    <t>Other: rounding</t>
  </si>
  <si>
    <t>Franchise Fees</t>
  </si>
  <si>
    <t>Total Misc. Closing Costs</t>
  </si>
  <si>
    <t>Proposed Loan Amount</t>
  </si>
  <si>
    <t>Fee %</t>
  </si>
  <si>
    <t>Prior Loan Amount Calc</t>
  </si>
  <si>
    <t>Total Combined</t>
  </si>
  <si>
    <t>Construction Hard Costs</t>
  </si>
  <si>
    <t>&lt;</t>
  </si>
  <si>
    <t>Interim Interest Reserve</t>
  </si>
  <si>
    <t>Const Contigency</t>
  </si>
  <si>
    <t>Total Project</t>
  </si>
  <si>
    <t>(difference)</t>
  </si>
  <si>
    <t>Construction Contingency</t>
  </si>
  <si>
    <t>Bank Loan %</t>
  </si>
  <si>
    <t>Other Construction Soft Costs</t>
  </si>
  <si>
    <t>CDC Loan %</t>
  </si>
  <si>
    <t>Borrower %</t>
  </si>
  <si>
    <t>SBA Gty Fee</t>
  </si>
  <si>
    <t>Weighted Term</t>
  </si>
  <si>
    <t>Bank Interim Loan Fee %</t>
  </si>
  <si>
    <t>SBA TPL Fee %</t>
  </si>
  <si>
    <t>Referral Fee %</t>
  </si>
  <si>
    <t>Participant Fee %</t>
  </si>
  <si>
    <t>Liquidity Review</t>
  </si>
  <si>
    <t>Origination Fee Total</t>
  </si>
  <si>
    <t>Amount</t>
  </si>
  <si>
    <t>As of:</t>
  </si>
  <si>
    <t>Interim Loan</t>
  </si>
  <si>
    <t>Operating Company Liquidity</t>
  </si>
  <si>
    <t>Affiliate 1</t>
  </si>
  <si>
    <t>Rounded Fee</t>
  </si>
  <si>
    <t>Owner/Guarantor 1</t>
  </si>
  <si>
    <t>Affiliate 2</t>
  </si>
  <si>
    <t>Fee % to Interim Loan</t>
  </si>
  <si>
    <t>Owner/Guarantor 2</t>
  </si>
  <si>
    <t>Affiliate 3</t>
  </si>
  <si>
    <t>Blended Rate</t>
  </si>
  <si>
    <t>Owner/Guarantor 3</t>
  </si>
  <si>
    <t>Affiliate 4</t>
  </si>
  <si>
    <t>Owner/Guarantor 4</t>
  </si>
  <si>
    <t>Affiliate 5</t>
  </si>
  <si>
    <t>From UOP</t>
  </si>
  <si>
    <t>Sum</t>
  </si>
  <si>
    <t>Guaranty Fee @ 3.0%</t>
  </si>
  <si>
    <t>Total Available Liquidity</t>
  </si>
  <si>
    <t>Expected Injection</t>
  </si>
  <si>
    <t>Remaining Available</t>
  </si>
  <si>
    <t>Guaranty Fee @ 3.5% - Construction</t>
  </si>
  <si>
    <t>Total USDA Guaranty Fee</t>
  </si>
  <si>
    <t>Click to expand/collapse liquidity</t>
  </si>
  <si>
    <t>504 &amp; USDA Worksheets</t>
  </si>
  <si>
    <t>Request 1</t>
  </si>
  <si>
    <t>504 Perm 1st</t>
  </si>
  <si>
    <t>Basis</t>
  </si>
  <si>
    <t>Interest Rate</t>
  </si>
  <si>
    <t>Term (mo)</t>
  </si>
  <si>
    <t>Amo (mo)</t>
  </si>
  <si>
    <t>Start Month</t>
  </si>
  <si>
    <t>End Month</t>
  </si>
  <si>
    <t># days</t>
  </si>
  <si>
    <t>Interest Rate Conversion</t>
  </si>
  <si>
    <t>Pmt</t>
  </si>
  <si>
    <t>Income Statement Spreads</t>
  </si>
  <si>
    <t>30/360</t>
  </si>
  <si>
    <t>{Insert business name which represents PSOR}</t>
  </si>
  <si>
    <t>Include in Global?</t>
  </si>
  <si>
    <t>Yes</t>
  </si>
  <si>
    <t>Actual/360</t>
  </si>
  <si>
    <t>Statement Date</t>
  </si>
  <si>
    <t>Projections</t>
  </si>
  <si>
    <t>Months Covered</t>
  </si>
  <si>
    <t>Customer</t>
  </si>
  <si>
    <t>Plus 1%</t>
  </si>
  <si>
    <t>Statement Type</t>
  </si>
  <si>
    <t>Tax Returns</t>
  </si>
  <si>
    <t>Internal</t>
  </si>
  <si>
    <t xml:space="preserve">Year </t>
  </si>
  <si>
    <t>Revenue Recognition</t>
  </si>
  <si>
    <t>REVENUE</t>
  </si>
  <si>
    <t>Revenue</t>
  </si>
  <si>
    <t>(Product Line #1)</t>
  </si>
  <si>
    <t>Revenue (Product Line #1)</t>
  </si>
  <si>
    <t>COGS</t>
  </si>
  <si>
    <t>COGS (Product Line #1)</t>
  </si>
  <si>
    <t>Gross Margin</t>
  </si>
  <si>
    <t>Gross Margin (Product Line #1)</t>
  </si>
  <si>
    <t>Plus 2%</t>
  </si>
  <si>
    <t>(Product Line #2)</t>
  </si>
  <si>
    <t>Revenue (Product Line #2)</t>
  </si>
  <si>
    <t>COGS (Product Line #2)</t>
  </si>
  <si>
    <t>Gross Margin (Product Line #2)</t>
  </si>
  <si>
    <t>(Product Line #3)</t>
  </si>
  <si>
    <t>Revenue (Product Line #3)</t>
  </si>
  <si>
    <t>COGS (Product Line #3)</t>
  </si>
  <si>
    <t>Gross Margin (Product Line #3)</t>
  </si>
  <si>
    <t>Plus 3%</t>
  </si>
  <si>
    <t xml:space="preserve">Click to expand/collapse     </t>
  </si>
  <si>
    <t>Total Revenue</t>
  </si>
  <si>
    <t>Total COGS</t>
  </si>
  <si>
    <t>Total Gross Margin</t>
  </si>
  <si>
    <t>OPERATING EXPENSES</t>
  </si>
  <si>
    <t>Officer's Compensation</t>
  </si>
  <si>
    <t>Plus 4%</t>
  </si>
  <si>
    <t>Salaries &amp; Wages</t>
  </si>
  <si>
    <t>Repairs &amp; Maintenance</t>
  </si>
  <si>
    <t>Bad Debts</t>
  </si>
  <si>
    <t>Rents</t>
  </si>
  <si>
    <t>Taxes &amp; Licenses</t>
  </si>
  <si>
    <t>Interest</t>
  </si>
  <si>
    <t>Depreciation &amp; Amortization</t>
  </si>
  <si>
    <t>Advertising</t>
  </si>
  <si>
    <t>Pension, Profit Sharing</t>
  </si>
  <si>
    <t>Employee Benefits</t>
  </si>
  <si>
    <t>Insurance</t>
  </si>
  <si>
    <t>Utilities, Telephone, Cable, Internet</t>
  </si>
  <si>
    <t>Legal, Professional, Accounting</t>
  </si>
  <si>
    <t>Travel, Meals &amp; Entertainment</t>
  </si>
  <si>
    <t>Office Expenses &amp; Supplies</t>
  </si>
  <si>
    <t>Auto &amp;Truck Expense</t>
  </si>
  <si>
    <t>Bank Charges, Credit Card Expenses</t>
  </si>
  <si>
    <t>Dues &amp; Subscriptions</t>
  </si>
  <si>
    <t>Other</t>
  </si>
  <si>
    <t>Total Operating Expenses</t>
  </si>
  <si>
    <t>Ordinary Income</t>
  </si>
  <si>
    <t xml:space="preserve">Other Income  </t>
  </si>
  <si>
    <t>Other Income</t>
  </si>
  <si>
    <t>Other Expense</t>
  </si>
  <si>
    <t>Total Other Income (Expenses)</t>
  </si>
  <si>
    <t>Net Income Before Taxes</t>
  </si>
  <si>
    <t>Income Taxes</t>
  </si>
  <si>
    <t>NET INCOME AFTER TAXES</t>
  </si>
  <si>
    <t>Add Backs :</t>
  </si>
  <si>
    <t xml:space="preserve">  + Compensation of Officers</t>
  </si>
  <si>
    <t xml:space="preserve">  + Depreciation/Amortization</t>
  </si>
  <si>
    <t xml:space="preserve">  + Interest Expense</t>
  </si>
  <si>
    <t xml:space="preserve">  + Rent Add Back</t>
  </si>
  <si>
    <t>+ - Other</t>
  </si>
  <si>
    <t xml:space="preserve">  - Estimated Property Tax</t>
  </si>
  <si>
    <t xml:space="preserve">  - Required Owner's Draw</t>
  </si>
  <si>
    <t>Cash Available</t>
  </si>
  <si>
    <t>Existing Debt</t>
  </si>
  <si>
    <t>Proposed Loan 1</t>
  </si>
  <si>
    <t>Proposed Loan 2</t>
  </si>
  <si>
    <t>CDC Payment</t>
  </si>
  <si>
    <t>Seller Carry Note</t>
  </si>
  <si>
    <t>3rd Party Financing</t>
  </si>
  <si>
    <t>Total Debt</t>
  </si>
  <si>
    <t>DCR</t>
  </si>
  <si>
    <t>1% Stress Test DCR</t>
  </si>
  <si>
    <t>2% Stress Test DCR</t>
  </si>
  <si>
    <t>3% Stress Test DCR</t>
  </si>
  <si>
    <t>Global Debt Coverage</t>
  </si>
  <si>
    <t>Operating Cash Available</t>
  </si>
  <si>
    <t>Operating Debt Service</t>
  </si>
  <si>
    <t>Owner(s) 1</t>
  </si>
  <si>
    <t>Owner(s) 2</t>
  </si>
  <si>
    <t>Owner(s) 3</t>
  </si>
  <si>
    <t>Owner(s) 4</t>
  </si>
  <si>
    <t>Affiliate 1 Cash Available</t>
  </si>
  <si>
    <t>Affiliate 1 Debt Service</t>
  </si>
  <si>
    <t>Affiliate 2 Cash Available</t>
  </si>
  <si>
    <t>Affiliate 2 Debt Service</t>
  </si>
  <si>
    <t>Affiliate 3 Cash Available</t>
  </si>
  <si>
    <t>Affiliate 3 Debt Service</t>
  </si>
  <si>
    <t>Affiliate 4 Cash Available</t>
  </si>
  <si>
    <t>Affiliate 4 Debt Service</t>
  </si>
  <si>
    <t>Affiliate 5 Cash Available</t>
  </si>
  <si>
    <t>Affiliate 5 Debt Service</t>
  </si>
  <si>
    <t>Total Cash Available</t>
  </si>
  <si>
    <t>Total Debt Service</t>
  </si>
  <si>
    <t xml:space="preserve">                          Click to expand/collapse Global DCR   </t>
  </si>
  <si>
    <t>Global DCR</t>
  </si>
  <si>
    <t>Business Debt Schedule</t>
  </si>
  <si>
    <t>Lender</t>
  </si>
  <si>
    <t>Current Balance</t>
  </si>
  <si>
    <t>Mthly Pmt</t>
  </si>
  <si>
    <t>Collateral</t>
  </si>
  <si>
    <t>Refinance?</t>
  </si>
  <si>
    <t>% of Loan</t>
  </si>
  <si>
    <t>Refi Pmt</t>
  </si>
  <si>
    <t>% Chg</t>
  </si>
  <si>
    <t>CF Debt Svc</t>
  </si>
  <si>
    <t>Reserved</t>
  </si>
  <si>
    <t>Curr Pmts on Debt to Be Refinanced</t>
  </si>
  <si>
    <t>Proposed Pmt:</t>
  </si>
  <si>
    <t>% Savings:</t>
  </si>
  <si>
    <t>Affiliate Analysis</t>
  </si>
  <si>
    <t>{Insert business name which represents Affiliate 1}</t>
  </si>
  <si>
    <t>Existing Monthly Debt</t>
  </si>
  <si>
    <t xml:space="preserve">Click to expand/collapse (Affiliate 1)     </t>
  </si>
  <si>
    <t>{Insert business name which represents Affiliate 2}</t>
  </si>
  <si>
    <t xml:space="preserve">Click to expand/collapse (Affiliate 2)     </t>
  </si>
  <si>
    <t>{Insert business name which represents Affiliate 3}</t>
  </si>
  <si>
    <t xml:space="preserve">Click to expand/collapse (Affiliate 3)     </t>
  </si>
  <si>
    <t>{Insert business name which represents Affiliate 4}</t>
  </si>
  <si>
    <t xml:space="preserve">Click to expand/collapse (Affiliate 4)     </t>
  </si>
  <si>
    <t>{Insert business name which represents Affiliate 5}</t>
  </si>
  <si>
    <t xml:space="preserve">Click to expand/collapse (Affiliate 5)     </t>
  </si>
  <si>
    <t>Personal Financial Analysis</t>
  </si>
  <si>
    <t>Last Name, First Initial</t>
  </si>
  <si>
    <t>Liquid Assets</t>
  </si>
  <si>
    <t>Annual Income Sources other than SBC:</t>
  </si>
  <si>
    <t>Spouses salary/pension</t>
  </si>
  <si>
    <t>Interest and Dividends</t>
  </si>
  <si>
    <t>Business Income (Sch C)</t>
  </si>
  <si>
    <t>Net Rental Income (Sch E)</t>
  </si>
  <si>
    <t>Social Security Income</t>
  </si>
  <si>
    <t>Other: (Income from Affiliate)</t>
  </si>
  <si>
    <t>Other: (alimony, ongoing capital gains)</t>
  </si>
  <si>
    <t>Total Annual Outside Income</t>
  </si>
  <si>
    <t>Fixed Monthly Expenses:</t>
  </si>
  <si>
    <t>Home/Primary Residence</t>
  </si>
  <si>
    <t>Other Mortgages</t>
  </si>
  <si>
    <t>Other Installment Loans</t>
  </si>
  <si>
    <t>Vehicle Loans</t>
  </si>
  <si>
    <t>Credit Cards</t>
  </si>
  <si>
    <t>Other:</t>
  </si>
  <si>
    <t>Total Fixed Monthly Expenses</t>
  </si>
  <si>
    <t>Annualized Monthly Fixed Expenses</t>
  </si>
  <si>
    <t>Debt Ratio prior to draw</t>
  </si>
  <si>
    <t>Calculated draw (Mo. Exp x2)</t>
  </si>
  <si>
    <r>
      <t xml:space="preserve">Monthly Expenses </t>
    </r>
    <r>
      <rPr>
        <b/>
        <i/>
        <sz val="12"/>
        <rFont val="Calibri"/>
        <family val="2"/>
      </rPr>
      <t>not</t>
    </r>
    <r>
      <rPr>
        <b/>
        <sz val="12"/>
        <rFont val="Calibri"/>
        <family val="2"/>
      </rPr>
      <t xml:space="preserve"> Doubled</t>
    </r>
  </si>
  <si>
    <t>Lifestyle Adjustment</t>
  </si>
  <si>
    <t>Alimony Payments</t>
  </si>
  <si>
    <t>Rental/Other Property Payments</t>
  </si>
  <si>
    <t>Personal Expenses per PIE</t>
  </si>
  <si>
    <t>Diff between calculated draw and PIE</t>
  </si>
  <si>
    <t>Monthly Difference, included in cell D32</t>
  </si>
  <si>
    <t>Total Annual Need</t>
  </si>
  <si>
    <t>Less Income from Outside Sources</t>
  </si>
  <si>
    <t>Total Required Draw from SBC</t>
  </si>
  <si>
    <t>Include Required Draw in CF?</t>
  </si>
  <si>
    <t>Collateral Analysis</t>
  </si>
  <si>
    <t>Collateral Summary</t>
  </si>
  <si>
    <t>Prop Type</t>
  </si>
  <si>
    <t>Valuation Method</t>
  </si>
  <si>
    <t xml:space="preserve">Address </t>
  </si>
  <si>
    <t>Gross Value</t>
  </si>
  <si>
    <t>Liquidation Value</t>
  </si>
  <si>
    <t>Discounted
 Value</t>
  </si>
  <si>
    <t>Senior Liens</t>
  </si>
  <si>
    <t>Liquidation 
Value</t>
  </si>
  <si>
    <t xml:space="preserve">Primary Real Estate </t>
  </si>
  <si>
    <t xml:space="preserve">Secondary Real Estate </t>
  </si>
  <si>
    <t>Accounts Receivable</t>
  </si>
  <si>
    <t>FF&amp;E</t>
  </si>
  <si>
    <t>Lease Hold Improvements</t>
  </si>
  <si>
    <t>Miscellaneous</t>
  </si>
  <si>
    <t>Totals</t>
  </si>
  <si>
    <t>Gross LTV</t>
  </si>
  <si>
    <t>Net LTV</t>
  </si>
  <si>
    <t>Discounted Collateral Value</t>
  </si>
  <si>
    <t>Gross Coverage</t>
  </si>
  <si>
    <t>Net Coverage</t>
  </si>
  <si>
    <t>Gross Exposure Amount</t>
  </si>
  <si>
    <t>Life Insurance Requirement</t>
  </si>
  <si>
    <t>Life Insurance Required</t>
  </si>
  <si>
    <t>SBA Guarantee Amount</t>
  </si>
  <si>
    <t>Maximum Exposure</t>
  </si>
  <si>
    <t>T Bank, N.A. SCORING GRID</t>
  </si>
  <si>
    <t>Total Score</t>
  </si>
  <si>
    <t>REPAYMENT</t>
  </si>
  <si>
    <t>MANAGEMENT</t>
  </si>
  <si>
    <t>CREDIT</t>
  </si>
  <si>
    <t>EQUITY</t>
  </si>
  <si>
    <t>COLLATERAL</t>
  </si>
  <si>
    <t>Working Capital/Liquidity</t>
  </si>
  <si>
    <t>Pro forma DSC of 1.40x  in the most recent year and 1.25x or better for the prior 2 years plus stable/positive trends in the  interim.  Stable is considered + - 0.05 change in DSC.</t>
  </si>
  <si>
    <t xml:space="preserve">3 or more years ownership in SBC or  3 years as primary responsible employee in SBC or 5 years recent experience in near identical type business as Principal Manager with P&amp;L and HR responsibility.   </t>
  </si>
  <si>
    <t>N/A</t>
  </si>
  <si>
    <t>25% cash equity from personal sources
Expansions:  pro forma tangible D/W of 4:1 or less.</t>
  </si>
  <si>
    <t>Secured 120% of the loan on a discounted basis with any collateral or 100% secured with 1st lien on RE.
504 1st lien No construction</t>
  </si>
  <si>
    <t>Pro forma DSC of 1.40x or better for most recent years plus 1.25x for the 1 prior year plus stable/positive trends in the  interim.  Stable is considered + - 0.05 change in DSC.</t>
  </si>
  <si>
    <t>2 or more years ownership in SBC or  3 years experience in near identical type business.  
For startups - this experience, must have been within the last 5 years AND one of the guarantors will devote 100% of time to SBC</t>
  </si>
  <si>
    <t>FICO Score greater than 750.</t>
  </si>
  <si>
    <t>25% cash equity from any source or 20% from personal sources
Expansions:  pro forma tangible D/W of 5:1 or less.</t>
  </si>
  <si>
    <t>Secured 100% of the loan on a discounted basis with any collateral or 75% with 1st lien on RE.
504 1st Lien Construction</t>
  </si>
  <si>
    <t>Pro forma DSC of an  1.25x or better in most recent FYE and interim plus stable/positive trends in the  interim.  Stable is considered + - 0.05 change in DSC.
Regardless of DSC declining revenue or profitability trends in the most recent year and/or interim.</t>
  </si>
  <si>
    <t>2 years ownership in any industry or 3 years of transferable management experience in any industry, or approved franchise
For startups - this experience, must have been within the last 5 years AND one of the guarantors will devote 100% of time to SBC.</t>
  </si>
  <si>
    <t>FICO Score of 700 to 749.
Regardless of any higher FICO score BK between 3 and 5 years in time.
Regardless of any higher FICO score expected continuing income of between $5500 and $6000 for every $1000 of CC debt</t>
  </si>
  <si>
    <t>20% cash equity from any source or 15% from personal sources   Expansions:  pro forma tangible D/W of 6:1 or less.</t>
  </si>
  <si>
    <t>Secured 75% of the loan on a discounted basis with any collateral or 50% with 1st lien on RE.</t>
  </si>
  <si>
    <t>No or minimal working capital requirement 
OR 
Borrower has 1.5X working capital from own liquid resources. 
Minimal is the lesser of 5% of loan amount or $50K. None is included in loan.</t>
  </si>
  <si>
    <t>Pro forma DSC of 1.15x or better in most recent FYE and interim plus positive trends in the interim.
Regardless of DSC declining revenue or profitability trends in all periods
Projection Based or Start Up with Approved Franchise.</t>
  </si>
  <si>
    <t>2 years transferable management experience not specific to this industry or non-approved franchise.
For startups - this experience must have been within the last 3 years AND one of the guarantors will 100% of time devoted to SBC</t>
  </si>
  <si>
    <t>FICO Score 650 to 699
Regardless of any higher FICO score expected continuing income of between $5000 and $5499 for every $1000 of CC debt</t>
  </si>
  <si>
    <t>10% cash equity from any source
 Expansions:  pro forma tangible D/W of 8:1 or less.</t>
  </si>
  <si>
    <t>Secured 50% of the loan on a discounted basis with any collateral or 25% with 1st lien on RE.</t>
  </si>
  <si>
    <t>Borrower has sufficient documented working Capital to inject from own resources (WC as calculated by U/W). 
In loan is OK as long as borrower has 1x or greater residual liquidity.</t>
  </si>
  <si>
    <t xml:space="preserve">Projection based or start-up. </t>
  </si>
  <si>
    <t>Less than 2 years transferable management experience OR reliant on prior owner or franchisor for training.
For startups - the experience was over 3 years ago.</t>
  </si>
  <si>
    <t>FICO Score less than 650
Regardless of any higher FICO score expected continuing income of between $4500 and $4999 for every $1000 of CC debt</t>
  </si>
  <si>
    <t>Less than 10% injection and/or
50% or more Equity is from Seller note on full standby</t>
  </si>
  <si>
    <t>&lt; 50% secured with any collateral or less than 25% 1st lien on RE.</t>
  </si>
  <si>
    <t>All, or substantially all of W/C is included in loan or companion loan and borrower has little or no residual liquidity.</t>
  </si>
  <si>
    <t>Remote management or long distance management with no prior experience of remote management.</t>
  </si>
  <si>
    <t>BK in the last 3 years.
Regardless of any higher FICO score expected continuing income of less than $4500 for every $1000 of CC debt</t>
  </si>
  <si>
    <t>Any other allowable SBA SOP structure that does not require injection.</t>
  </si>
  <si>
    <t>No CRE included in collateral or only junior liens on residential.</t>
  </si>
  <si>
    <t>Working capital included in loan proceeds exceeds 50% of borrower cash injection.</t>
  </si>
  <si>
    <t>Income</t>
  </si>
  <si>
    <t>CC Debt</t>
  </si>
  <si>
    <t>Income Needed $4,500</t>
  </si>
  <si>
    <t>Income Needed $4,999</t>
  </si>
  <si>
    <t>Income Needed $5,499</t>
  </si>
  <si>
    <t>Income Needed $6,000+</t>
  </si>
  <si>
    <t>Loan Request</t>
  </si>
  <si>
    <t>Project Total</t>
  </si>
  <si>
    <t>Percentages</t>
  </si>
  <si>
    <t>Closing &amp; 3rd Party Costs</t>
  </si>
  <si>
    <t>(Estimated)</t>
  </si>
  <si>
    <t>Structure Table</t>
  </si>
  <si>
    <t>Adjustment / Fix</t>
  </si>
  <si>
    <t>Quarterly</t>
  </si>
  <si>
    <t>Fixed</t>
  </si>
  <si>
    <t>Blended Rate Table</t>
  </si>
  <si>
    <t xml:space="preserve">Bank Loan with CDC Loan </t>
  </si>
  <si>
    <t xml:space="preserve">Loan </t>
  </si>
  <si>
    <t>Est. Payment</t>
  </si>
  <si>
    <t>Rate</t>
  </si>
  <si>
    <t>Total/Blend</t>
  </si>
  <si>
    <t>Liquidity Analysis</t>
  </si>
  <si>
    <t>Post Close Liquidity</t>
  </si>
  <si>
    <t>Stand-Alone DSCR</t>
  </si>
  <si>
    <t>Year 1</t>
  </si>
  <si>
    <t>Year 2</t>
  </si>
  <si>
    <t>Affiliate 1 DSCR</t>
  </si>
  <si>
    <t>Affiliate 2 DSCR</t>
  </si>
  <si>
    <t>Affiliate 3 DSCR</t>
  </si>
  <si>
    <t>Affiliate 4 DSCR</t>
  </si>
  <si>
    <t>Affiliate 5 DSCR</t>
  </si>
  <si>
    <t>T Bank  7(a)</t>
  </si>
  <si>
    <t>T Bank 504</t>
  </si>
  <si>
    <t>CDC 504</t>
  </si>
  <si>
    <t>Fee % to Interim</t>
  </si>
  <si>
    <t>504 Loan Project</t>
  </si>
  <si>
    <t>Residential Appr/Valuation</t>
  </si>
  <si>
    <t>Sources and Uses of Proceeds - 7(a)</t>
  </si>
  <si>
    <t>Sources and Uses of Proceeds - 504</t>
  </si>
  <si>
    <t>SBA TPL Fee</t>
  </si>
  <si>
    <t>Version</t>
  </si>
  <si>
    <t>Loan Type</t>
  </si>
  <si>
    <t>Basics</t>
  </si>
  <si>
    <t>Request</t>
  </si>
  <si>
    <t>UW</t>
  </si>
  <si>
    <t>BDO</t>
  </si>
  <si>
    <t>Original</t>
  </si>
  <si>
    <t>New</t>
  </si>
  <si>
    <t>Andrew Taylor</t>
  </si>
  <si>
    <t>Audrey Wendel</t>
  </si>
  <si>
    <t>Mod 1</t>
  </si>
  <si>
    <t>SBA 7a</t>
  </si>
  <si>
    <t>Renewal</t>
  </si>
  <si>
    <t>Antony Parker</t>
  </si>
  <si>
    <t>Ben Eakin</t>
  </si>
  <si>
    <t>Mod 2</t>
  </si>
  <si>
    <t>SBA Express</t>
  </si>
  <si>
    <t>Modification</t>
  </si>
  <si>
    <t>Brent Ruch</t>
  </si>
  <si>
    <t>Cameron Brewer</t>
  </si>
  <si>
    <t>Mod 3</t>
  </si>
  <si>
    <t>Jennifer Dennis</t>
  </si>
  <si>
    <t>Eric Wadley</t>
  </si>
  <si>
    <t>Mod 4</t>
  </si>
  <si>
    <t>USDA</t>
  </si>
  <si>
    <t>Disbursement</t>
  </si>
  <si>
    <t>Jessica Gauden</t>
  </si>
  <si>
    <t>Glenn Giro</t>
  </si>
  <si>
    <t>Mod 5</t>
  </si>
  <si>
    <t>P&amp;E</t>
  </si>
  <si>
    <t>Rodney Johnson</t>
  </si>
  <si>
    <t>Greg Swett</t>
  </si>
  <si>
    <t>Mod 6</t>
  </si>
  <si>
    <t>Conventional</t>
  </si>
  <si>
    <t>Multi</t>
  </si>
  <si>
    <t>Rose Haynes-Taylor</t>
  </si>
  <si>
    <t>Jordan Sayler</t>
  </si>
  <si>
    <t>Mod 7</t>
  </si>
  <si>
    <t>Single</t>
  </si>
  <si>
    <t>True/False</t>
  </si>
  <si>
    <t>Connor Shaw</t>
  </si>
  <si>
    <t>Kandace Moon</t>
  </si>
  <si>
    <t>Mod 8</t>
  </si>
  <si>
    <t>Sheila Simms</t>
  </si>
  <si>
    <t>Kerry Smith</t>
  </si>
  <si>
    <t>Mod 9</t>
  </si>
  <si>
    <t>True</t>
  </si>
  <si>
    <t>Kevin Coffman</t>
  </si>
  <si>
    <t>Mod 10</t>
  </si>
  <si>
    <t>False</t>
  </si>
  <si>
    <t>Mike Ramsay</t>
  </si>
  <si>
    <t>Patrick Phillips</t>
  </si>
  <si>
    <t>Entity Types</t>
  </si>
  <si>
    <t>Loan Program</t>
  </si>
  <si>
    <t>Risk Rating</t>
  </si>
  <si>
    <t>Rick McMann</t>
  </si>
  <si>
    <t>Rod Rodriguez</t>
  </si>
  <si>
    <t>TBD</t>
  </si>
  <si>
    <t>Cash</t>
  </si>
  <si>
    <t>Steve Jones</t>
  </si>
  <si>
    <t>Sole Prop</t>
  </si>
  <si>
    <t>PLP</t>
  </si>
  <si>
    <t>Audited</t>
  </si>
  <si>
    <t>Accrual</t>
  </si>
  <si>
    <t>LLC</t>
  </si>
  <si>
    <t>GP</t>
  </si>
  <si>
    <t>Reviewed</t>
  </si>
  <si>
    <t>Hybrid</t>
  </si>
  <si>
    <t>S-Corp</t>
  </si>
  <si>
    <t>Compiled</t>
  </si>
  <si>
    <t>C-Corp</t>
  </si>
  <si>
    <t>Schedule C</t>
  </si>
  <si>
    <t>Proforma BS</t>
  </si>
  <si>
    <t>Prof Corp</t>
  </si>
  <si>
    <t>Prof LLC</t>
  </si>
  <si>
    <t>Form 10K</t>
  </si>
  <si>
    <t>New BS</t>
  </si>
  <si>
    <t>Trust</t>
  </si>
  <si>
    <t>Form 10Q</t>
  </si>
  <si>
    <t>Last Year End</t>
  </si>
  <si>
    <t>LTD Partnership</t>
  </si>
  <si>
    <t>Interim</t>
  </si>
  <si>
    <t>Partnership</t>
  </si>
  <si>
    <t>Submission</t>
  </si>
  <si>
    <t>Rate Adjustment</t>
  </si>
  <si>
    <t>Lien Position</t>
  </si>
  <si>
    <t>Property Type</t>
  </si>
  <si>
    <t>UCC Lien Type</t>
  </si>
  <si>
    <t>Daily</t>
  </si>
  <si>
    <t>First</t>
  </si>
  <si>
    <t>C-Store</t>
  </si>
  <si>
    <t>Standard</t>
  </si>
  <si>
    <t>Monthly</t>
  </si>
  <si>
    <t>Second</t>
  </si>
  <si>
    <t>Purchase Money UCC</t>
  </si>
  <si>
    <t>Hotel</t>
  </si>
  <si>
    <t>Appraisal</t>
  </si>
  <si>
    <t>Calendar Qtr</t>
  </si>
  <si>
    <t>Third</t>
  </si>
  <si>
    <t>Blanket UCC</t>
  </si>
  <si>
    <t>Industrial</t>
  </si>
  <si>
    <t>Book Value</t>
  </si>
  <si>
    <t>Fourth</t>
  </si>
  <si>
    <t>Security Interest</t>
  </si>
  <si>
    <t>Medical Office</t>
  </si>
  <si>
    <t>BPO</t>
  </si>
  <si>
    <t>Best Available</t>
  </si>
  <si>
    <t>Mixed-Use</t>
  </si>
  <si>
    <t>Invoice</t>
  </si>
  <si>
    <t>Mobile Home Park</t>
  </si>
  <si>
    <t>Estimated</t>
  </si>
  <si>
    <t>Construction Type</t>
  </si>
  <si>
    <t>Multi Family</t>
  </si>
  <si>
    <t>Tax</t>
  </si>
  <si>
    <t>Entity Class</t>
  </si>
  <si>
    <t>PFS RE Type</t>
  </si>
  <si>
    <t>Office</t>
  </si>
  <si>
    <t>Wood Frame</t>
  </si>
  <si>
    <t>Office/Warehouse</t>
  </si>
  <si>
    <t>Roof Type</t>
  </si>
  <si>
    <t>Steel Frame</t>
  </si>
  <si>
    <t>Holding Company/EPC</t>
  </si>
  <si>
    <t>Single Family</t>
  </si>
  <si>
    <t>Residential</t>
  </si>
  <si>
    <t>Concrete Frame</t>
  </si>
  <si>
    <t>Operating Company</t>
  </si>
  <si>
    <t xml:space="preserve">Multi Family </t>
  </si>
  <si>
    <t>Restaurant</t>
  </si>
  <si>
    <t>Flat - Built Up</t>
  </si>
  <si>
    <t>Concrete Tilt Up</t>
  </si>
  <si>
    <t>Affiliate</t>
  </si>
  <si>
    <t>Commercial</t>
  </si>
  <si>
    <t>Retail</t>
  </si>
  <si>
    <t>Flat - Membrane</t>
  </si>
  <si>
    <t>Concrete Wall</t>
  </si>
  <si>
    <t>Self Storage</t>
  </si>
  <si>
    <t>Flat - Other</t>
  </si>
  <si>
    <t>Hollow Clay Tile / Adobe</t>
  </si>
  <si>
    <t>Vacant Land</t>
  </si>
  <si>
    <t>Pitched - Metal</t>
  </si>
  <si>
    <t>Steel Frame w/Metal Skin</t>
  </si>
  <si>
    <t>Borrower/Guarantor</t>
  </si>
  <si>
    <t>Pitched - Shingle</t>
  </si>
  <si>
    <t>Reinforced Masonry</t>
  </si>
  <si>
    <t>Pitched - Other</t>
  </si>
  <si>
    <t>Unreinforced Masonry</t>
  </si>
  <si>
    <t>CDC Term</t>
  </si>
  <si>
    <t>Trend</t>
  </si>
  <si>
    <t>None</t>
  </si>
  <si>
    <t>Not Known</t>
  </si>
  <si>
    <t>Increasing</t>
  </si>
  <si>
    <t>Decreasing</t>
  </si>
  <si>
    <t>Guarantor</t>
  </si>
  <si>
    <t>Stable</t>
  </si>
  <si>
    <t>Guarantee</t>
  </si>
  <si>
    <t>Un Stable</t>
  </si>
  <si>
    <t>Recourse</t>
  </si>
  <si>
    <t>Rate Type</t>
  </si>
  <si>
    <t>Appraisal Value</t>
  </si>
  <si>
    <t>Request #</t>
  </si>
  <si>
    <t>Consistent</t>
  </si>
  <si>
    <t>Inconsistent</t>
  </si>
  <si>
    <t>Full Unsecured</t>
  </si>
  <si>
    <t>As Is</t>
  </si>
  <si>
    <t>Full</t>
  </si>
  <si>
    <t>Full Secured</t>
  </si>
  <si>
    <t>Variable</t>
  </si>
  <si>
    <t>As Complete</t>
  </si>
  <si>
    <t>Request 2</t>
  </si>
  <si>
    <t>Non</t>
  </si>
  <si>
    <t>Lim. Unsecured</t>
  </si>
  <si>
    <t>As Stablized</t>
  </si>
  <si>
    <t>Partial</t>
  </si>
  <si>
    <t>Lim. Secured</t>
  </si>
  <si>
    <t>Spousal Int.</t>
  </si>
  <si>
    <t>Origination/Packaging</t>
  </si>
  <si>
    <t>Facility Type</t>
  </si>
  <si>
    <t>SBA Initial Rate Set</t>
  </si>
  <si>
    <t>Checks</t>
  </si>
  <si>
    <t>X/O</t>
  </si>
  <si>
    <t>Day of SBA/USDA Sub</t>
  </si>
  <si>
    <t>x</t>
  </si>
  <si>
    <t>Origination Fee</t>
  </si>
  <si>
    <t>Term Loan</t>
  </si>
  <si>
    <t>5 Days before Closing</t>
  </si>
  <si>
    <t>Clear</t>
  </si>
  <si>
    <t>RLOC</t>
  </si>
  <si>
    <t>Not Clear</t>
  </si>
  <si>
    <t>GLOC</t>
  </si>
  <si>
    <t>Const</t>
  </si>
  <si>
    <t>Non Rev Adv</t>
  </si>
  <si>
    <t>Breakeven</t>
  </si>
  <si>
    <t>Letter of Credit</t>
  </si>
  <si>
    <t>Tract Income Level</t>
  </si>
  <si>
    <t>Coll RE Type</t>
  </si>
  <si>
    <t>HLTV Max</t>
  </si>
  <si>
    <t>Branch</t>
  </si>
  <si>
    <t>BSA Rating</t>
  </si>
  <si>
    <t>Upper</t>
  </si>
  <si>
    <t>Primary CRE</t>
  </si>
  <si>
    <t>12- SMJ</t>
  </si>
  <si>
    <t xml:space="preserve">1- Low </t>
  </si>
  <si>
    <t>Moderate</t>
  </si>
  <si>
    <t>Primary Residence</t>
  </si>
  <si>
    <t>14-AMW</t>
  </si>
  <si>
    <t xml:space="preserve">2- Low Medium </t>
  </si>
  <si>
    <t>Middle</t>
  </si>
  <si>
    <t>Secondary RE</t>
  </si>
  <si>
    <t>15-HSE</t>
  </si>
  <si>
    <t>3- Medium</t>
  </si>
  <si>
    <t>Exception Clearing</t>
  </si>
  <si>
    <t>Low</t>
  </si>
  <si>
    <t>21-SBA</t>
  </si>
  <si>
    <t xml:space="preserve">4- Moderate </t>
  </si>
  <si>
    <t>22- Wendel Loans</t>
  </si>
  <si>
    <t>5-High</t>
  </si>
  <si>
    <t>Amber- Rose McCool</t>
  </si>
  <si>
    <t>76- Integra</t>
  </si>
  <si>
    <t>Rate Index</t>
  </si>
  <si>
    <t>Casey McDonald</t>
  </si>
  <si>
    <t>Gina Bedsole</t>
  </si>
  <si>
    <t>WSJ Prime</t>
  </si>
  <si>
    <t>KT Head</t>
  </si>
  <si>
    <t>SOFR</t>
  </si>
  <si>
    <t>Lorenzo Saavedra</t>
  </si>
  <si>
    <t>10 Yr Treas</t>
  </si>
  <si>
    <t>Nick Vu</t>
  </si>
  <si>
    <t>Rachel Preston</t>
  </si>
  <si>
    <t>Equity</t>
  </si>
  <si>
    <t>Financing Structure</t>
  </si>
  <si>
    <t>Source 1</t>
  </si>
  <si>
    <t>Source 2</t>
  </si>
  <si>
    <t>Source 3</t>
  </si>
  <si>
    <t>Source 4</t>
  </si>
  <si>
    <t>Source 5</t>
  </si>
  <si>
    <t>Source 6</t>
  </si>
  <si>
    <t>Financing Source</t>
  </si>
  <si>
    <t>Guarantee %</t>
  </si>
  <si>
    <t>Term Yrs</t>
  </si>
  <si>
    <t>Amortization (Months)</t>
  </si>
  <si>
    <t>Total Rate</t>
  </si>
  <si>
    <t>Percentage of Project</t>
  </si>
  <si>
    <t>Period 1</t>
  </si>
  <si>
    <t>Period 2</t>
  </si>
  <si>
    <t>Period 3</t>
  </si>
  <si>
    <t>Period 4</t>
  </si>
  <si>
    <t>Statement Type (Tax Returns / Internal)</t>
  </si>
  <si>
    <t>Revenue Recognition (Cash / Accrual)</t>
  </si>
  <si>
    <t>GROSS INCOME</t>
  </si>
  <si>
    <t xml:space="preserve">   Total Revenue</t>
  </si>
  <si>
    <t xml:space="preserve">   Total COGS</t>
  </si>
  <si>
    <t xml:space="preserve">   Total Gross Margin</t>
  </si>
  <si>
    <t>NET INCOME</t>
  </si>
  <si>
    <t xml:space="preserve">   Total Operating Expenses</t>
  </si>
  <si>
    <t xml:space="preserve">   Ordinary Income</t>
  </si>
  <si>
    <t xml:space="preserve">   Total Other Income/Expenses</t>
  </si>
  <si>
    <t xml:space="preserve">   Net Income Before Taxes</t>
  </si>
  <si>
    <t>ADD BACKS &amp; ADJUSTMENTS</t>
  </si>
  <si>
    <t xml:space="preserve">   Standard Add Backs</t>
  </si>
  <si>
    <t xml:space="preserve">   Other Add Back 1</t>
  </si>
  <si>
    <t xml:space="preserve">   Other Add Back 2</t>
  </si>
  <si>
    <t xml:space="preserve">   Other Add Back 3</t>
  </si>
  <si>
    <t xml:space="preserve">   Other Add Back 4</t>
  </si>
  <si>
    <t xml:space="preserve">   Other Add Back 5</t>
  </si>
  <si>
    <t>DEBT COVERAGE</t>
  </si>
  <si>
    <t xml:space="preserve">   Cash Available</t>
  </si>
  <si>
    <t xml:space="preserve">   Existing Debt Service</t>
  </si>
  <si>
    <t xml:space="preserve">   Proposed 7a Debt</t>
  </si>
  <si>
    <t xml:space="preserve">   Proposed 504 Debt</t>
  </si>
  <si>
    <t xml:space="preserve">   Proposed CDC Debt</t>
  </si>
  <si>
    <t xml:space="preserve">   Proposed Seller Note</t>
  </si>
  <si>
    <t xml:space="preserve">   Proposed 3rd Party Financing</t>
  </si>
  <si>
    <t xml:space="preserve">   Total Debt Service</t>
  </si>
  <si>
    <t xml:space="preserve">   Debt Coverage Ratio</t>
  </si>
  <si>
    <t>GLOBAL DEBT COVERAGE</t>
  </si>
  <si>
    <t xml:space="preserve">   Total Affiliate Cash Available</t>
  </si>
  <si>
    <t xml:space="preserve">   Total Subject Business Cash Available</t>
  </si>
  <si>
    <t xml:space="preserve">   Total Global Cash Available</t>
  </si>
  <si>
    <t xml:space="preserve">   Total Affiliate Debt Service</t>
  </si>
  <si>
    <t xml:space="preserve">   Total Subject Business Debt Service</t>
  </si>
  <si>
    <t xml:space="preserve">   Total Global Debt Service</t>
  </si>
  <si>
    <t xml:space="preserve">   Global Debt Coverage Ratio</t>
  </si>
  <si>
    <t>Loan ID</t>
  </si>
  <si>
    <t>Terms</t>
  </si>
  <si>
    <t>Financing Type</t>
  </si>
  <si>
    <t>SBA Product Type</t>
  </si>
  <si>
    <t xml:space="preserve">Income Statement Spreads - Subject Business </t>
  </si>
  <si>
    <t>Income Statement Projections</t>
  </si>
  <si>
    <t>Standard Add Backs</t>
  </si>
  <si>
    <t>Subject Business Cash Flow</t>
  </si>
  <si>
    <t>Existing Debt Service</t>
  </si>
  <si>
    <t>Proposed Debt Payments</t>
  </si>
  <si>
    <t>SBA 7a Loan</t>
  </si>
  <si>
    <t>SBA 504 Loan</t>
  </si>
  <si>
    <t>CDC Loan</t>
  </si>
  <si>
    <t>Total Affiliate Cash Available</t>
  </si>
  <si>
    <t>Total Affiliate Debt Service</t>
  </si>
  <si>
    <t>Source 7</t>
  </si>
  <si>
    <t>Source 8</t>
  </si>
  <si>
    <t>Actual/366</t>
  </si>
  <si>
    <t>7A Express</t>
  </si>
  <si>
    <t>CAPLine</t>
  </si>
  <si>
    <t>CDC Debenture</t>
  </si>
  <si>
    <t xml:space="preserve">tester lending lender loans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</si>
</sst>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42" formatCode="_(&quot;$&quot;* #,##0_);_(&quot;$&quot;* \(#,##0\);_(&quot;$&quot;* &quot;-&quot;_);_(@_)"/>
    <numFmt numFmtId="44" formatCode="_(&quot;$&quot;* #,##0.00_);_(&quot;$&quot;* \(#,##0.00\);_(&quot;$&quot;* &quot;-&quot;??_);_(@_)"/>
    <numFmt numFmtId="43" formatCode="_(* #,##0.00_);_(* \(#,##0.00\);_(* &quot;-&quot;??_);_(@_)"/>
    <numFmt numFmtId="164" formatCode="mm/dd/yyyy"/>
    <numFmt numFmtId="165" formatCode="#0.00%"/>
    <numFmt numFmtId="166" formatCode="#0.0%"/>
    <numFmt numFmtId="167" formatCode="[&gt;=0]&quot;$&quot;#,##0_);\(&quot;$&quot;#,##0\)"/>
    <numFmt numFmtId="168" formatCode="[&gt;0]_(&quot;$&quot;* #,##0_);[&lt;0]_(&quot;$&quot;* \(#,##0\);_(&quot;$&quot;* &quot;-&quot;_);_(@_)"/>
    <numFmt numFmtId="169" formatCode="#0"/>
    <numFmt numFmtId="170" formatCode="#0%"/>
    <numFmt numFmtId="171" formatCode="[&gt;0]_(&quot;$&quot;* #,##0_);[&lt;0]_(&quot;$&quot;* \(#,##0\);_(&quot;$&quot;* &quot;-&quot;#??_);_(@_)"/>
    <numFmt numFmtId="172" formatCode="[&gt;0]_(&quot;$&quot;* #,##0.00_);[&lt;0]_(&quot;$&quot;* \(#,##0.00\);_(&quot;$&quot;* &quot;-&quot;#??_);_(@_)"/>
    <numFmt numFmtId="173" formatCode="#0.00"/>
    <numFmt numFmtId="174" formatCode="[&gt;=0]&quot;$&quot;#,##0_);[Red]\(&quot;$&quot;#,##0\)"/>
    <numFmt numFmtId="175" formatCode="[&gt;=0]&quot;$&quot;#,##0.00_);[Red]\(&quot;$&quot;#,##0.00\)"/>
    <numFmt numFmtId="176" formatCode="[&gt;0]_(* #,##0.00_);[&lt;0]_(* \(#,##0.00\);_(* &quot;-&quot;#??_);_(@_)"/>
    <numFmt numFmtId="177" formatCode="[&gt;0]_(* #,##0_);[&lt;0]_(* \(#,##0\);_(* &quot;-&quot;#??_);_(@_)"/>
    <numFmt numFmtId="178" formatCode="[&gt;=0]mm/dd/yy;@"/>
    <numFmt numFmtId="179" formatCode="&quot;$&quot;#,##0"/>
    <numFmt numFmtId="180" formatCode="[&gt;=0]&quot;&quot;mmm\-yy;@"/>
    <numFmt numFmtId="181" formatCode="#0.000%"/>
    <numFmt numFmtId="182" formatCode="[&gt;=0]m/d/yy;@"/>
    <numFmt numFmtId="183" formatCode="mm/dd/yy"/>
    <numFmt numFmtId="184" formatCode="&quot;$&quot;#,##0.00"/>
    <numFmt numFmtId="185" formatCode="_(&quot;$&quot;* #,##0_);_(&quot;$&quot;* \(#,##0\);_(&quot;$&quot;* &quot;-&quot;??_);_(@_)"/>
    <numFmt numFmtId="186" formatCode="m/d/yy;@"/>
    <numFmt numFmtId="187" formatCode="0.0%"/>
    <numFmt numFmtId="188" formatCode="[&gt;0]_(&quot;$&quot;* #,##0.0_);[&lt;0]_(&quot;$&quot;* \(#,##0.0\);_(&quot;$&quot;* &quot;-&quot;_);_(@_)"/>
  </numFmts>
  <fonts count="62">
    <font>
      <sz val="11"/>
      <color rgb="FF000000"/>
      <name val="Calibri"/>
    </font>
    <font>
      <sz val="20"/>
      <name val="Calibri"/>
      <family val="2"/>
    </font>
    <font>
      <sz val="11"/>
      <name val="Calibri"/>
      <family val="2"/>
    </font>
    <font>
      <b/>
      <sz val="12"/>
      <name val="Aptos Narrow"/>
      <family val="2"/>
    </font>
    <font>
      <i/>
      <sz val="11"/>
      <name val="Aptos Narrow"/>
      <family val="2"/>
    </font>
    <font>
      <b/>
      <sz val="11"/>
      <name val="Aptos Narrow"/>
      <family val="2"/>
    </font>
    <font>
      <sz val="11"/>
      <name val="Aptos Narrow"/>
      <family val="2"/>
    </font>
    <font>
      <b/>
      <sz val="10"/>
      <name val="Aptos Narrow"/>
      <family val="2"/>
    </font>
    <font>
      <sz val="8"/>
      <name val="Aptos Narrow"/>
      <family val="2"/>
    </font>
    <font>
      <sz val="8"/>
      <name val="Calibri"/>
      <family val="2"/>
    </font>
    <font>
      <sz val="11"/>
      <color rgb="FF385723"/>
      <name val="Aptos Narrow"/>
      <family val="2"/>
    </font>
    <font>
      <b/>
      <sz val="11"/>
      <color rgb="FFFF0000"/>
      <name val="Aptos Narrow"/>
      <family val="2"/>
    </font>
    <font>
      <b/>
      <sz val="11"/>
      <name val="Calibri"/>
      <family val="2"/>
    </font>
    <font>
      <sz val="11"/>
      <name val="Arial"/>
      <family val="2"/>
    </font>
    <font>
      <b/>
      <sz val="12"/>
      <name val="Calibri"/>
      <family val="2"/>
    </font>
    <font>
      <sz val="12"/>
      <name val="Aptos Narrow"/>
      <family val="2"/>
    </font>
    <font>
      <b/>
      <sz val="11"/>
      <color rgb="FF3366FF"/>
      <name val="Aptos Narrow"/>
      <family val="2"/>
    </font>
    <font>
      <sz val="12"/>
      <name val="Calibri"/>
      <family val="2"/>
    </font>
    <font>
      <b/>
      <i/>
      <sz val="11"/>
      <name val="Aptos Narrow"/>
      <family val="2"/>
    </font>
    <font>
      <b/>
      <sz val="12"/>
      <color rgb="FFFFFFFF"/>
      <name val="Aptos Narrow"/>
      <family val="2"/>
    </font>
    <font>
      <b/>
      <i/>
      <sz val="12"/>
      <name val="Aptos Narrow"/>
      <family val="2"/>
    </font>
    <font>
      <i/>
      <sz val="12"/>
      <name val="Aptos Narrow"/>
      <family val="2"/>
    </font>
    <font>
      <sz val="10"/>
      <name val="Arial"/>
      <family val="2"/>
    </font>
    <font>
      <b/>
      <sz val="20"/>
      <color rgb="FFFFFFFF"/>
      <name val="Calibri"/>
      <family val="2"/>
    </font>
    <font>
      <b/>
      <sz val="14"/>
      <name val="Calibri"/>
      <family val="2"/>
    </font>
    <font>
      <b/>
      <sz val="24"/>
      <color rgb="FF000080"/>
      <name val="Calibri"/>
      <family val="2"/>
    </font>
    <font>
      <b/>
      <sz val="24"/>
      <name val="Calibri"/>
      <family val="2"/>
    </font>
    <font>
      <b/>
      <sz val="20"/>
      <name val="Calibri"/>
      <family val="2"/>
    </font>
    <font>
      <sz val="10"/>
      <name val="Calibri"/>
      <family val="2"/>
    </font>
    <font>
      <b/>
      <sz val="10"/>
      <name val="Arial"/>
      <family val="2"/>
    </font>
    <font>
      <sz val="10"/>
      <name val="Aptos Narrow"/>
      <family val="2"/>
    </font>
    <font>
      <b/>
      <sz val="10"/>
      <color rgb="FFFFFFFF"/>
      <name val="Calibri"/>
      <family val="2"/>
    </font>
    <font>
      <sz val="10"/>
      <color rgb="FFFFFFFF"/>
      <name val="Calibri"/>
      <family val="2"/>
    </font>
    <font>
      <b/>
      <sz val="10"/>
      <name val="Calibri"/>
      <family val="2"/>
    </font>
    <font>
      <b/>
      <i/>
      <sz val="10"/>
      <name val="Aptos Narrow"/>
      <family val="2"/>
    </font>
    <font>
      <i/>
      <sz val="10"/>
      <name val="Aptos Narrow"/>
      <family val="2"/>
    </font>
    <font>
      <b/>
      <sz val="10"/>
      <color rgb="FF3366FF"/>
      <name val="Aptos Narrow"/>
      <family val="2"/>
    </font>
    <font>
      <b/>
      <sz val="11"/>
      <color rgb="FF0563C1"/>
      <name val="Calibri"/>
      <family val="2"/>
    </font>
    <font>
      <b/>
      <sz val="11"/>
      <name val="Calibri"/>
      <family val="2"/>
    </font>
    <font>
      <sz val="11"/>
      <color rgb="FF0563C1"/>
      <name val="Calibri"/>
      <family val="2"/>
    </font>
    <font>
      <b/>
      <i/>
      <sz val="12"/>
      <name val="Calibri"/>
      <family val="2"/>
    </font>
    <font>
      <sz val="11"/>
      <color rgb="FF000000"/>
      <name val="Calibri"/>
      <family val="2"/>
    </font>
    <font>
      <sz val="11"/>
      <color theme="1"/>
      <name val="Calibri"/>
      <family val="2"/>
    </font>
    <font>
      <b/>
      <sz val="11"/>
      <color theme="0"/>
      <name val="Aptos Narrow"/>
      <family val="2"/>
    </font>
    <font>
      <b/>
      <sz val="11"/>
      <color theme="1"/>
      <name val="Calibri"/>
      <family val="2"/>
    </font>
    <font>
      <sz val="11"/>
      <name val="Aptos Narrow"/>
      <family val="2"/>
    </font>
    <font>
      <sz val="10"/>
      <name val="Arial"/>
      <family val="2"/>
    </font>
    <font>
      <sz val="11"/>
      <color theme="0"/>
      <name val="Aptos Narrow"/>
      <family val="2"/>
    </font>
    <font>
      <b/>
      <sz val="12"/>
      <color theme="0"/>
      <name val="Aptos Narrow"/>
      <family val="2"/>
    </font>
    <font>
      <sz val="11"/>
      <color theme="1"/>
      <name val="Aptos Narrow"/>
      <family val="2"/>
    </font>
    <font>
      <b/>
      <sz val="11"/>
      <color theme="1"/>
      <name val="Aptos Narrow"/>
      <family val="2"/>
    </font>
    <font>
      <b/>
      <sz val="12"/>
      <color theme="0"/>
      <name val="Aptos Narrow"/>
      <family val="2"/>
      <scheme val="minor"/>
    </font>
    <font>
      <b/>
      <sz val="12"/>
      <name val="Aptos Narrow"/>
      <family val="2"/>
      <scheme val="minor"/>
    </font>
    <font>
      <sz val="11"/>
      <color theme="4" tint="-0.499984740745262"/>
      <name val="Aptos Narrow"/>
      <family val="2"/>
    </font>
    <font>
      <b/>
      <sz val="11"/>
      <name val="Aptos Narrow"/>
      <family val="2"/>
    </font>
    <font>
      <b/>
      <sz val="11"/>
      <color indexed="48"/>
      <name val="Aptos Narrow"/>
      <family val="2"/>
    </font>
    <font>
      <b/>
      <sz val="11"/>
      <color theme="4" tint="-0.499984740745262"/>
      <name val="Aptos Narrow"/>
      <family val="2"/>
    </font>
    <font>
      <b/>
      <u/>
      <sz val="11"/>
      <color theme="1"/>
      <name val="Aptos Narrow"/>
      <family val="2"/>
    </font>
    <font>
      <sz val="11"/>
      <color rgb="FF000000"/>
      <name val="Aptos Narrow"/>
      <family val="2"/>
    </font>
    <font>
      <b/>
      <sz val="11"/>
      <color rgb="FF000000"/>
      <name val="Aptos Narrow"/>
      <family val="2"/>
    </font>
    <font>
      <sz val="8"/>
      <name val="Calibri"/>
      <family val="2"/>
    </font>
    <font>
      <sz val="8"/>
      <color rgb="FF964B00"/>
      <name val="ReplitHack"/>
      <family val="3"/>
    </font>
  </fonts>
  <fills count="45">
    <fill>
      <patternFill patternType="none"/>
    </fill>
    <fill>
      <patternFill patternType="gray125"/>
    </fill>
    <fill>
      <patternFill patternType="solid">
        <fgColor rgb="FFD9D9D9"/>
        <bgColor rgb="FF000000"/>
      </patternFill>
    </fill>
    <fill>
      <patternFill patternType="solid">
        <fgColor rgb="FF83CCEB"/>
        <bgColor rgb="FF000000"/>
      </patternFill>
    </fill>
    <fill>
      <patternFill patternType="solid">
        <fgColor rgb="FFD0CECE"/>
        <bgColor rgb="FF000000"/>
      </patternFill>
    </fill>
    <fill>
      <patternFill patternType="solid">
        <fgColor rgb="FFC0E6F5"/>
        <bgColor rgb="FF000000"/>
      </patternFill>
    </fill>
    <fill>
      <patternFill patternType="solid">
        <fgColor rgb="FFFFFFFF"/>
        <bgColor rgb="FF000000"/>
      </patternFill>
    </fill>
    <fill>
      <patternFill patternType="solid">
        <fgColor rgb="FFD1F3D8"/>
        <bgColor rgb="FF000000"/>
      </patternFill>
    </fill>
    <fill>
      <gradientFill degree="270">
        <stop position="0">
          <color rgb="FFE7F9EB"/>
        </stop>
        <stop position="1">
          <color rgb="FF8DE39F"/>
        </stop>
      </gradientFill>
    </fill>
    <fill>
      <patternFill patternType="solid">
        <fgColor rgb="FFFFFFFF"/>
        <bgColor rgb="FF000000"/>
      </patternFill>
    </fill>
    <fill>
      <patternFill patternType="solid">
        <fgColor rgb="FFDEEBF7"/>
        <bgColor rgb="FF000000"/>
      </patternFill>
    </fill>
    <fill>
      <patternFill patternType="darkTrellis">
        <bgColor rgb="FFAFABAB"/>
      </patternFill>
    </fill>
    <fill>
      <patternFill patternType="solid">
        <fgColor rgb="FFE2F0D9"/>
        <bgColor rgb="FF000000"/>
      </patternFill>
    </fill>
    <fill>
      <patternFill patternType="solid">
        <fgColor rgb="FF8DE39F"/>
        <bgColor rgb="FF000000"/>
      </patternFill>
    </fill>
    <fill>
      <patternFill patternType="solid">
        <fgColor rgb="FFFFFF00"/>
        <bgColor rgb="FF000000"/>
      </patternFill>
    </fill>
    <fill>
      <patternFill patternType="solid">
        <fgColor rgb="FFFBE5D6"/>
        <bgColor rgb="FF000000"/>
      </patternFill>
    </fill>
    <fill>
      <patternFill patternType="solid">
        <fgColor rgb="FF000000"/>
        <bgColor rgb="FF000000"/>
      </patternFill>
    </fill>
    <fill>
      <patternFill patternType="solid">
        <fgColor rgb="FF222A35"/>
        <bgColor rgb="FF000000"/>
      </patternFill>
    </fill>
    <fill>
      <patternFill patternType="solid">
        <fgColor rgb="FFF2F2F2"/>
        <bgColor rgb="FF000000"/>
      </patternFill>
    </fill>
    <fill>
      <patternFill patternType="solid">
        <fgColor rgb="FFE7E6E6"/>
        <bgColor rgb="FF000000"/>
      </patternFill>
    </fill>
    <fill>
      <patternFill patternType="darkTrellis">
        <fgColor rgb="FF808080"/>
        <bgColor rgb="FFE7E6E6"/>
      </patternFill>
    </fill>
    <fill>
      <patternFill patternType="lightUp">
        <bgColor rgb="FFD0CECE"/>
      </patternFill>
    </fill>
    <fill>
      <patternFill patternType="solid">
        <fgColor rgb="FFD6DCE5"/>
        <bgColor rgb="FF000000"/>
      </patternFill>
    </fill>
    <fill>
      <patternFill patternType="solid">
        <fgColor rgb="FF000000"/>
        <bgColor rgb="FF000000"/>
      </patternFill>
    </fill>
    <fill>
      <patternFill patternType="solid">
        <fgColor rgb="FF1B2A4A"/>
        <bgColor rgb="FF1B2A4A"/>
      </patternFill>
    </fill>
    <fill>
      <patternFill patternType="solid">
        <fgColor rgb="FF82CCEB"/>
        <bgColor rgb="FFE8EEF4"/>
      </patternFill>
    </fill>
    <fill>
      <patternFill patternType="solid">
        <fgColor rgb="FFF0F4F8"/>
        <bgColor rgb="FFF0F4F8"/>
      </patternFill>
    </fill>
    <fill>
      <patternFill patternType="solid">
        <fgColor rgb="FFFFFFFF"/>
        <bgColor rgb="FFFFFFFF"/>
      </patternFill>
    </fill>
    <fill>
      <patternFill patternType="solid">
        <fgColor rgb="FFE8EEF4"/>
        <bgColor rgb="FFE8EEF4"/>
      </patternFill>
    </fill>
    <fill>
      <patternFill patternType="solid">
        <fgColor theme="0"/>
        <bgColor indexed="64"/>
      </patternFill>
    </fill>
    <fill>
      <patternFill patternType="solid">
        <fgColor rgb="FF3B5998"/>
        <bgColor rgb="FF3B5998"/>
      </patternFill>
    </fill>
    <fill>
      <patternFill patternType="solid">
        <fgColor theme="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EFF5FB"/>
        <bgColor rgb="FF000000"/>
      </patternFill>
    </fill>
    <fill>
      <patternFill patternType="solid">
        <fgColor theme="4" tint="0.79998168889431442"/>
        <bgColor rgb="FF000000"/>
      </patternFill>
    </fill>
    <fill>
      <patternFill patternType="solid">
        <fgColor theme="2" tint="-9.9978637043366805E-2"/>
        <bgColor indexed="9"/>
      </patternFill>
    </fill>
    <fill>
      <patternFill patternType="solid">
        <fgColor theme="9" tint="0.79998168889431442"/>
        <bgColor indexed="64"/>
      </patternFill>
    </fill>
    <fill>
      <patternFill patternType="solid">
        <fgColor rgb="FFE2EFDA"/>
        <bgColor rgb="FF000000"/>
      </patternFill>
    </fill>
    <fill>
      <patternFill patternType="solid">
        <fgColor theme="1"/>
        <bgColor rgb="FF000000"/>
      </patternFill>
    </fill>
    <fill>
      <patternFill patternType="solid">
        <fgColor rgb="FFDDEBF7"/>
        <bgColor rgb="FF000000"/>
      </patternFill>
    </fill>
  </fills>
  <borders count="14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385723"/>
      </right>
      <top/>
      <bottom/>
      <diagonal/>
    </border>
    <border>
      <left style="medium">
        <color rgb="FF385723"/>
      </left>
      <right/>
      <top style="medium">
        <color rgb="FF385723"/>
      </top>
      <bottom/>
      <diagonal/>
    </border>
    <border>
      <left style="thin">
        <color rgb="FF000000"/>
      </left>
      <right style="medium">
        <color rgb="FF000000"/>
      </right>
      <top style="thin">
        <color rgb="FF000000"/>
      </top>
      <bottom style="thin">
        <color rgb="FF000000"/>
      </bottom>
      <diagonal/>
    </border>
    <border>
      <left style="medium">
        <color rgb="FF385723"/>
      </left>
      <right/>
      <top/>
      <bottom/>
      <diagonal/>
    </border>
    <border>
      <left style="medium">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right/>
      <top style="thin">
        <color rgb="FF000000"/>
      </top>
      <bottom/>
      <diagonal/>
    </border>
    <border>
      <left/>
      <right style="medium">
        <color rgb="FF000000"/>
      </right>
      <top/>
      <bottom style="thin">
        <color rgb="FF000000"/>
      </bottom>
      <diagonal/>
    </border>
    <border>
      <left style="medium">
        <color rgb="FF000000"/>
      </left>
      <right/>
      <top style="double">
        <color rgb="FFE4E4E4"/>
      </top>
      <bottom style="medium">
        <color rgb="FF000000"/>
      </bottom>
      <diagonal/>
    </border>
    <border>
      <left/>
      <right style="medium">
        <color rgb="FF000000"/>
      </right>
      <top style="double">
        <color rgb="FFF2F2F2"/>
      </top>
      <bottom style="medium">
        <color rgb="FF000000"/>
      </bottom>
      <diagonal/>
    </border>
    <border>
      <left/>
      <right style="medium">
        <color rgb="FF385723"/>
      </right>
      <top style="medium">
        <color rgb="FF000000"/>
      </top>
      <bottom/>
      <diagonal/>
    </border>
    <border>
      <left style="thin">
        <color rgb="FF000000"/>
      </left>
      <right/>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385723"/>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A9D18E"/>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top style="medium">
        <color rgb="FF657D9D"/>
      </top>
      <bottom/>
      <diagonal/>
    </border>
    <border>
      <left/>
      <right style="medium">
        <color rgb="FF657D9D"/>
      </right>
      <top style="medium">
        <color rgb="FF657D9D"/>
      </top>
      <bottom/>
      <diagonal/>
    </border>
    <border>
      <left/>
      <right style="medium">
        <color rgb="FF657D9D"/>
      </right>
      <top/>
      <bottom/>
      <diagonal/>
    </border>
    <border>
      <left style="thin">
        <color rgb="FF000000"/>
      </left>
      <right style="thin">
        <color rgb="FF000000"/>
      </right>
      <top style="thin">
        <color rgb="FF000000"/>
      </top>
      <bottom style="thin">
        <color rgb="FFF2F2F2"/>
      </bottom>
      <diagonal/>
    </border>
    <border>
      <left style="thin">
        <color rgb="FF000000"/>
      </left>
      <right style="medium">
        <color rgb="FF000000"/>
      </right>
      <top/>
      <bottom/>
      <diagonal/>
    </border>
    <border>
      <left style="thin">
        <color rgb="FF000000"/>
      </left>
      <right style="thin">
        <color rgb="FF000000"/>
      </right>
      <top style="thin">
        <color rgb="FFF2F2F2"/>
      </top>
      <bottom style="thin">
        <color rgb="FF000000"/>
      </bottom>
      <diagonal/>
    </border>
    <border>
      <left style="thin">
        <color rgb="FF000000"/>
      </left>
      <right style="thin">
        <color rgb="FF000000"/>
      </right>
      <top style="thin">
        <color rgb="FFF2F2F2"/>
      </top>
      <bottom style="thin">
        <color rgb="FFF2F2F2"/>
      </bottom>
      <diagonal/>
    </border>
    <border>
      <left/>
      <right/>
      <top/>
      <bottom style="medium">
        <color rgb="FF657D9D"/>
      </bottom>
      <diagonal/>
    </border>
    <border>
      <left/>
      <right style="medium">
        <color rgb="FF657D9D"/>
      </right>
      <top/>
      <bottom style="medium">
        <color rgb="FF657D9D"/>
      </bottom>
      <diagonal/>
    </border>
    <border>
      <left style="thin">
        <color rgb="FF000000"/>
      </left>
      <right/>
      <top style="thin">
        <color rgb="FF000000"/>
      </top>
      <bottom/>
      <diagonal/>
    </border>
    <border>
      <left style="medium">
        <color rgb="FF000000"/>
      </left>
      <right style="medium">
        <color rgb="FF000000"/>
      </right>
      <top/>
      <bottom style="medium">
        <color rgb="FF000000"/>
      </bottom>
      <diagonal/>
    </border>
    <border>
      <left style="thin">
        <color rgb="FF000000"/>
      </left>
      <right style="thin">
        <color rgb="FF000000"/>
      </right>
      <top style="thin">
        <color rgb="FFF2F2F2"/>
      </top>
      <bottom style="double">
        <color rgb="FF000000"/>
      </bottom>
      <diagonal/>
    </border>
    <border>
      <left style="thin">
        <color rgb="FF000000"/>
      </left>
      <right style="thin">
        <color rgb="FF000000"/>
      </right>
      <top style="double">
        <color rgb="FF000000"/>
      </top>
      <bottom style="thin">
        <color rgb="FF000000"/>
      </bottom>
      <diagonal/>
    </border>
    <border>
      <left style="thin">
        <color rgb="FF000000"/>
      </left>
      <right style="thin">
        <color rgb="FF000000"/>
      </right>
      <top/>
      <bottom style="thin">
        <color rgb="FFF2F2F2"/>
      </bottom>
      <diagonal/>
    </border>
    <border>
      <left style="medium">
        <color rgb="FF000000"/>
      </left>
      <right style="medium">
        <color rgb="FF000000"/>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thin">
        <color rgb="FF000000"/>
      </top>
      <bottom style="thin">
        <color rgb="FFD9D9D9"/>
      </bottom>
      <diagonal/>
    </border>
    <border>
      <left style="thin">
        <color rgb="FF000000"/>
      </left>
      <right style="medium">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D9D9D9"/>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style="thin">
        <color rgb="FFF2F2F2"/>
      </bottom>
      <diagonal/>
    </border>
    <border>
      <left style="thin">
        <color rgb="FF000000"/>
      </left>
      <right style="medium">
        <color rgb="FF000000"/>
      </right>
      <top style="thin">
        <color rgb="FFF2F2F2"/>
      </top>
      <bottom style="thin">
        <color rgb="FFF2F2F2"/>
      </bottom>
      <diagonal/>
    </border>
    <border>
      <left style="thin">
        <color rgb="FF000000"/>
      </left>
      <right style="medium">
        <color rgb="FF000000"/>
      </right>
      <top style="thin">
        <color rgb="FFF2F2F2"/>
      </top>
      <bottom style="thin">
        <color rgb="FF000000"/>
      </bottom>
      <diagonal/>
    </border>
    <border>
      <left style="thin">
        <color rgb="FF000000"/>
      </left>
      <right style="medium">
        <color rgb="FF000000"/>
      </right>
      <top style="thin">
        <color rgb="FF000000"/>
      </top>
      <bottom style="thin">
        <color rgb="FFF2F2F2"/>
      </bottom>
      <diagonal/>
    </border>
    <border>
      <left style="medium">
        <color rgb="FF000000"/>
      </left>
      <right style="thin">
        <color rgb="FF000000"/>
      </right>
      <top style="thin">
        <color rgb="FF000000"/>
      </top>
      <bottom style="thin">
        <color rgb="FFF2F2F2"/>
      </bottom>
      <diagonal/>
    </border>
    <border>
      <left style="medium">
        <color rgb="FF000000"/>
      </left>
      <right style="thin">
        <color rgb="FF000000"/>
      </right>
      <top style="thin">
        <color rgb="FFF2F2F2"/>
      </top>
      <bottom style="thin">
        <color rgb="FF000000"/>
      </bottom>
      <diagonal/>
    </border>
    <border>
      <left style="medium">
        <color rgb="FF000000"/>
      </left>
      <right style="thin">
        <color rgb="FF000000"/>
      </right>
      <top style="thin">
        <color rgb="FFF2F2F2"/>
      </top>
      <bottom style="thin">
        <color rgb="FFF2F2F2"/>
      </bottom>
      <diagonal/>
    </border>
    <border>
      <left style="medium">
        <color indexed="64"/>
      </left>
      <right/>
      <top style="medium">
        <color indexed="64"/>
      </top>
      <bottom style="thin">
        <color rgb="FFB0BEC5"/>
      </bottom>
      <diagonal/>
    </border>
    <border>
      <left/>
      <right/>
      <top style="medium">
        <color indexed="64"/>
      </top>
      <bottom style="thin">
        <color rgb="FFB0BEC5"/>
      </bottom>
      <diagonal/>
    </border>
    <border>
      <left/>
      <right style="medium">
        <color indexed="64"/>
      </right>
      <top style="medium">
        <color indexed="64"/>
      </top>
      <bottom style="thin">
        <color rgb="FFB0BEC5"/>
      </bottom>
      <diagonal/>
    </border>
    <border>
      <left style="medium">
        <color indexed="64"/>
      </left>
      <right style="thin">
        <color rgb="FFB0BEC5"/>
      </right>
      <top style="thin">
        <color rgb="FFB0BEC5"/>
      </top>
      <bottom style="thin">
        <color rgb="FFB0BEC5"/>
      </bottom>
      <diagonal/>
    </border>
    <border>
      <left style="thin">
        <color rgb="FFB0BEC5"/>
      </left>
      <right style="thin">
        <color rgb="FFB0BEC5"/>
      </right>
      <top style="thin">
        <color rgb="FFB0BEC5"/>
      </top>
      <bottom style="thin">
        <color rgb="FFB0BEC5"/>
      </bottom>
      <diagonal/>
    </border>
    <border>
      <left style="thin">
        <color rgb="FFB0BEC5"/>
      </left>
      <right/>
      <top style="thin">
        <color rgb="FFB0BEC5"/>
      </top>
      <bottom style="thin">
        <color rgb="FFB0BEC5"/>
      </bottom>
      <diagonal/>
    </border>
    <border>
      <left style="thin">
        <color rgb="FFB0BEC5"/>
      </left>
      <right style="medium">
        <color indexed="64"/>
      </right>
      <top style="thin">
        <color rgb="FFB0BEC5"/>
      </top>
      <bottom style="thin">
        <color rgb="FFB0BEC5"/>
      </bottom>
      <diagonal/>
    </border>
    <border>
      <left style="medium">
        <color indexed="64"/>
      </left>
      <right style="thin">
        <color rgb="FFB0BEC5"/>
      </right>
      <top style="thin">
        <color rgb="FFB0BEC5"/>
      </top>
      <bottom style="medium">
        <color indexed="64"/>
      </bottom>
      <diagonal/>
    </border>
    <border>
      <left style="thin">
        <color rgb="FFB0BEC5"/>
      </left>
      <right style="thin">
        <color rgb="FFB0BEC5"/>
      </right>
      <top style="thin">
        <color rgb="FFB0BEC5"/>
      </top>
      <bottom style="medium">
        <color indexed="64"/>
      </bottom>
      <diagonal/>
    </border>
    <border>
      <left style="thin">
        <color rgb="FFB0BEC5"/>
      </left>
      <right style="medium">
        <color indexed="64"/>
      </right>
      <top style="thin">
        <color rgb="FFB0BEC5"/>
      </top>
      <bottom style="medium">
        <color indexed="64"/>
      </bottom>
      <diagonal/>
    </border>
    <border>
      <left style="medium">
        <color indexed="64"/>
      </left>
      <right/>
      <top style="thin">
        <color rgb="FFB0BEC5"/>
      </top>
      <bottom style="thin">
        <color rgb="FFB0BEC5"/>
      </bottom>
      <diagonal/>
    </border>
    <border>
      <left style="medium">
        <color indexed="64"/>
      </left>
      <right/>
      <top style="thin">
        <color rgb="FFB0BEC5"/>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thin">
        <color theme="4" tint="-0.499984740745262"/>
      </right>
      <top/>
      <bottom/>
      <diagonal/>
    </border>
    <border>
      <left style="thin">
        <color indexed="64"/>
      </left>
      <right/>
      <top style="thin">
        <color indexed="64"/>
      </top>
      <bottom style="thin">
        <color indexed="64"/>
      </bottom>
      <diagonal/>
    </border>
    <border>
      <left/>
      <right style="medium">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1"/>
      </left>
      <right style="medium">
        <color indexed="64"/>
      </right>
      <top style="thin">
        <color theme="1"/>
      </top>
      <bottom style="thin">
        <color theme="1"/>
      </bottom>
      <diagonal/>
    </border>
  </borders>
  <cellStyleXfs count="9">
    <xf numFmtId="0" fontId="0" fillId="0" borderId="0"/>
    <xf numFmtId="43" fontId="41" fillId="0" borderId="0" applyFont="0" applyFill="0" applyBorder="0" applyAlignment="0" applyProtection="0"/>
    <xf numFmtId="44" fontId="41" fillId="0" borderId="0" applyFont="0" applyFill="0" applyBorder="0" applyAlignment="0" applyProtection="0"/>
    <xf numFmtId="9" fontId="41" fillId="0" borderId="0" applyFont="0" applyFill="0" applyBorder="0" applyAlignment="0" applyProtection="0"/>
    <xf numFmtId="0" fontId="46" fillId="0" borderId="0"/>
    <xf numFmtId="0" fontId="46" fillId="0" borderId="0"/>
    <xf numFmtId="0" fontId="46" fillId="0" borderId="0"/>
    <xf numFmtId="9" fontId="46" fillId="0" borderId="0" applyFont="0" applyFill="0" applyBorder="0" applyAlignment="0" applyProtection="0"/>
    <xf numFmtId="0" fontId="46" fillId="0" borderId="0"/>
  </cellStyleXfs>
  <cellXfs count="992">
    <xf numFmtId="0" fontId="0" fillId="0" borderId="0" xfId="0"/>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0" xfId="0" applyFont="1" applyFill="1" applyAlignment="1">
      <alignment vertical="center" wrapText="1"/>
    </xf>
    <xf numFmtId="0" fontId="1" fillId="2" borderId="5" xfId="0" applyFont="1" applyFill="1" applyBorder="1" applyAlignment="1">
      <alignment vertical="center" wrapText="1"/>
    </xf>
    <xf numFmtId="0" fontId="2" fillId="2" borderId="6" xfId="0" applyFont="1" applyFill="1" applyBorder="1" applyAlignment="1">
      <alignment horizontal="center" vertical="center" wrapText="1"/>
    </xf>
    <xf numFmtId="0" fontId="1" fillId="2" borderId="7" xfId="0" applyFont="1" applyFill="1" applyBorder="1" applyAlignment="1">
      <alignment vertical="center" wrapText="1"/>
    </xf>
    <xf numFmtId="0" fontId="1" fillId="2" borderId="8" xfId="0" applyFont="1" applyFill="1" applyBorder="1" applyAlignment="1">
      <alignment vertical="center" wrapText="1"/>
    </xf>
    <xf numFmtId="0" fontId="2" fillId="0" borderId="6" xfId="0" applyFont="1" applyBorder="1" applyAlignment="1">
      <alignment horizontal="left"/>
    </xf>
    <xf numFmtId="0" fontId="2" fillId="0" borderId="7" xfId="0" applyFont="1" applyBorder="1" applyAlignment="1">
      <alignment horizontal="left"/>
    </xf>
    <xf numFmtId="0" fontId="2" fillId="0" borderId="8" xfId="0" applyFont="1" applyBorder="1" applyAlignment="1">
      <alignment horizontal="right"/>
    </xf>
    <xf numFmtId="164" fontId="5" fillId="0" borderId="12" xfId="0" applyNumberFormat="1" applyFont="1" applyBorder="1" applyAlignment="1">
      <alignment horizontal="center" vertical="top"/>
    </xf>
    <xf numFmtId="0" fontId="3" fillId="4" borderId="0" xfId="0" applyFont="1" applyFill="1" applyAlignment="1">
      <alignment horizontal="center" vertical="top"/>
    </xf>
    <xf numFmtId="0" fontId="6" fillId="4" borderId="0" xfId="0" applyFont="1" applyFill="1"/>
    <xf numFmtId="0" fontId="3" fillId="4" borderId="5" xfId="0" applyFont="1" applyFill="1" applyBorder="1" applyAlignment="1">
      <alignment horizontal="center" vertical="top"/>
    </xf>
    <xf numFmtId="0" fontId="3" fillId="4" borderId="4" xfId="0" applyFont="1" applyFill="1" applyBorder="1" applyAlignment="1">
      <alignment horizontal="center" vertical="top"/>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6" fillId="4" borderId="5" xfId="0" applyFont="1" applyFill="1" applyBorder="1"/>
    <xf numFmtId="0" fontId="5" fillId="4" borderId="4" xfId="0" applyFont="1" applyFill="1" applyBorder="1"/>
    <xf numFmtId="0" fontId="5" fillId="4" borderId="0" xfId="0" applyFont="1" applyFill="1"/>
    <xf numFmtId="0" fontId="5" fillId="4" borderId="0" xfId="0" applyFont="1" applyFill="1" applyAlignment="1">
      <alignment horizontal="center"/>
    </xf>
    <xf numFmtId="0" fontId="6" fillId="0" borderId="13" xfId="0" applyFont="1" applyBorder="1"/>
    <xf numFmtId="0" fontId="6" fillId="0" borderId="14" xfId="0" applyFont="1" applyBorder="1"/>
    <xf numFmtId="0" fontId="6" fillId="0" borderId="14" xfId="0" applyFont="1" applyBorder="1" applyAlignment="1">
      <alignment horizontal="center"/>
    </xf>
    <xf numFmtId="0" fontId="6" fillId="5" borderId="14" xfId="0" applyFont="1" applyFill="1" applyBorder="1" applyAlignment="1">
      <alignment horizontal="center" vertical="center"/>
    </xf>
    <xf numFmtId="0" fontId="5" fillId="4" borderId="0" xfId="0" applyFont="1" applyFill="1" applyAlignment="1">
      <alignment horizontal="right"/>
    </xf>
    <xf numFmtId="165" fontId="6" fillId="0" borderId="14" xfId="0" applyNumberFormat="1" applyFont="1" applyBorder="1" applyAlignment="1">
      <alignment horizontal="center"/>
    </xf>
    <xf numFmtId="0" fontId="8" fillId="4" borderId="4" xfId="0" applyFont="1" applyFill="1" applyBorder="1" applyAlignment="1">
      <alignment vertical="top"/>
    </xf>
    <xf numFmtId="0" fontId="6" fillId="4" borderId="0" xfId="0" applyFont="1" applyFill="1" applyAlignment="1">
      <alignment horizontal="center"/>
    </xf>
    <xf numFmtId="0" fontId="5" fillId="4" borderId="0" xfId="0" applyFont="1" applyFill="1" applyAlignment="1">
      <alignment horizontal="center" wrapText="1"/>
    </xf>
    <xf numFmtId="166" fontId="5" fillId="4" borderId="0" xfId="0" applyNumberFormat="1" applyFont="1" applyFill="1" applyAlignment="1">
      <alignment horizontal="center" wrapText="1"/>
    </xf>
    <xf numFmtId="0" fontId="6" fillId="4" borderId="4" xfId="0" applyFont="1" applyFill="1" applyBorder="1"/>
    <xf numFmtId="0" fontId="5" fillId="4" borderId="6" xfId="0" applyFont="1" applyFill="1" applyBorder="1"/>
    <xf numFmtId="0" fontId="6" fillId="4" borderId="7" xfId="0" applyFont="1" applyFill="1" applyBorder="1" applyAlignment="1">
      <alignment horizontal="center"/>
    </xf>
    <xf numFmtId="0" fontId="6" fillId="4" borderId="8" xfId="0" applyFont="1" applyFill="1" applyBorder="1"/>
    <xf numFmtId="0" fontId="9" fillId="6" borderId="0" xfId="0" applyFont="1" applyFill="1" applyAlignment="1">
      <alignment horizontal="center" vertical="top"/>
    </xf>
    <xf numFmtId="0" fontId="5" fillId="7" borderId="1" xfId="0" applyFont="1" applyFill="1" applyBorder="1"/>
    <xf numFmtId="167" fontId="5" fillId="7" borderId="2" xfId="0" applyNumberFormat="1" applyFont="1" applyFill="1" applyBorder="1" applyAlignment="1">
      <alignment horizontal="center"/>
    </xf>
    <xf numFmtId="167" fontId="5" fillId="7" borderId="3" xfId="0" applyNumberFormat="1" applyFont="1" applyFill="1" applyBorder="1" applyAlignment="1">
      <alignment horizontal="center"/>
    </xf>
    <xf numFmtId="0" fontId="6" fillId="6" borderId="0" xfId="0" applyFont="1" applyFill="1"/>
    <xf numFmtId="0" fontId="6" fillId="0" borderId="0" xfId="0" applyFont="1"/>
    <xf numFmtId="0" fontId="6" fillId="7" borderId="4" xfId="0" applyFont="1" applyFill="1" applyBorder="1"/>
    <xf numFmtId="168" fontId="10" fillId="9" borderId="14" xfId="0" applyNumberFormat="1" applyFont="1" applyFill="1" applyBorder="1"/>
    <xf numFmtId="169" fontId="10" fillId="0" borderId="14" xfId="0" applyNumberFormat="1" applyFont="1" applyBorder="1" applyAlignment="1">
      <alignment horizontal="center"/>
    </xf>
    <xf numFmtId="168" fontId="10" fillId="0" borderId="22" xfId="0" applyNumberFormat="1" applyFont="1" applyBorder="1"/>
    <xf numFmtId="0" fontId="7" fillId="4" borderId="24" xfId="0" applyFont="1" applyFill="1" applyBorder="1" applyAlignment="1">
      <alignment horizontal="center" vertical="top"/>
    </xf>
    <xf numFmtId="0" fontId="5" fillId="4" borderId="14" xfId="0" applyFont="1" applyFill="1" applyBorder="1" applyAlignment="1">
      <alignment horizontal="center" vertical="top" wrapText="1"/>
    </xf>
    <xf numFmtId="0" fontId="5" fillId="4" borderId="14" xfId="0" applyFont="1" applyFill="1" applyBorder="1" applyAlignment="1">
      <alignment horizontal="center" vertical="top"/>
    </xf>
    <xf numFmtId="0" fontId="6" fillId="4" borderId="4" xfId="0" applyFont="1" applyFill="1" applyBorder="1" applyAlignment="1">
      <alignment horizontal="right"/>
    </xf>
    <xf numFmtId="0" fontId="6" fillId="10" borderId="14" xfId="0" applyFont="1" applyFill="1" applyBorder="1" applyAlignment="1">
      <alignment horizontal="center" vertical="top"/>
    </xf>
    <xf numFmtId="0" fontId="6" fillId="11" borderId="14" xfId="0" applyFont="1" applyFill="1" applyBorder="1"/>
    <xf numFmtId="0" fontId="5" fillId="11" borderId="14" xfId="0" applyFont="1" applyFill="1" applyBorder="1"/>
    <xf numFmtId="171" fontId="6" fillId="12" borderId="14" xfId="0" applyNumberFormat="1" applyFont="1" applyFill="1" applyBorder="1" applyAlignment="1">
      <alignment horizontal="center"/>
    </xf>
    <xf numFmtId="170" fontId="6" fillId="11" borderId="25" xfId="0" applyNumberFormat="1" applyFont="1" applyFill="1" applyBorder="1" applyAlignment="1">
      <alignment horizontal="center"/>
    </xf>
    <xf numFmtId="165" fontId="6" fillId="4" borderId="0" xfId="0" applyNumberFormat="1" applyFont="1" applyFill="1" applyAlignment="1">
      <alignment horizontal="center"/>
    </xf>
    <xf numFmtId="170" fontId="6" fillId="11" borderId="26" xfId="0" applyNumberFormat="1" applyFont="1" applyFill="1" applyBorder="1" applyAlignment="1">
      <alignment horizontal="center"/>
    </xf>
    <xf numFmtId="165" fontId="6" fillId="4" borderId="14" xfId="0" applyNumberFormat="1" applyFont="1" applyFill="1" applyBorder="1" applyAlignment="1">
      <alignment horizontal="center"/>
    </xf>
    <xf numFmtId="173" fontId="6" fillId="10" borderId="14" xfId="0" applyNumberFormat="1" applyFont="1" applyFill="1" applyBorder="1" applyAlignment="1">
      <alignment horizontal="center" vertical="center"/>
    </xf>
    <xf numFmtId="170" fontId="6" fillId="11" borderId="14" xfId="0" applyNumberFormat="1" applyFont="1" applyFill="1" applyBorder="1" applyAlignment="1">
      <alignment horizontal="center"/>
    </xf>
    <xf numFmtId="169" fontId="6" fillId="0" borderId="14" xfId="0" applyNumberFormat="1" applyFont="1" applyBorder="1" applyAlignment="1">
      <alignment horizontal="center"/>
    </xf>
    <xf numFmtId="0" fontId="6" fillId="11" borderId="26" xfId="0" applyFont="1" applyFill="1" applyBorder="1" applyAlignment="1">
      <alignment horizontal="center"/>
    </xf>
    <xf numFmtId="0" fontId="6" fillId="4" borderId="24" xfId="0" applyFont="1" applyFill="1" applyBorder="1" applyAlignment="1">
      <alignment horizontal="right"/>
    </xf>
    <xf numFmtId="175" fontId="6" fillId="4" borderId="14" xfId="0" applyNumberFormat="1" applyFont="1" applyFill="1" applyBorder="1" applyAlignment="1">
      <alignment horizontal="center"/>
    </xf>
    <xf numFmtId="0" fontId="6" fillId="11" borderId="27" xfId="0" applyFont="1" applyFill="1" applyBorder="1"/>
    <xf numFmtId="169" fontId="11" fillId="0" borderId="14" xfId="0" applyNumberFormat="1" applyFont="1" applyBorder="1" applyAlignment="1">
      <alignment horizontal="center"/>
    </xf>
    <xf numFmtId="0" fontId="6" fillId="4" borderId="0" xfId="0" applyFont="1" applyFill="1" applyAlignment="1">
      <alignment horizontal="right"/>
    </xf>
    <xf numFmtId="175" fontId="6" fillId="4" borderId="0" xfId="0" applyNumberFormat="1" applyFont="1" applyFill="1" applyAlignment="1">
      <alignment horizontal="center"/>
    </xf>
    <xf numFmtId="175" fontId="6" fillId="4" borderId="0" xfId="0" applyNumberFormat="1" applyFont="1" applyFill="1"/>
    <xf numFmtId="0" fontId="6" fillId="10" borderId="14" xfId="0" applyFont="1" applyFill="1" applyBorder="1" applyAlignment="1">
      <alignment horizontal="center" vertical="center"/>
    </xf>
    <xf numFmtId="176" fontId="6" fillId="0" borderId="14" xfId="0" applyNumberFormat="1" applyFont="1" applyBorder="1" applyAlignment="1">
      <alignment horizontal="center"/>
    </xf>
    <xf numFmtId="175" fontId="6" fillId="4" borderId="0" xfId="0" applyNumberFormat="1" applyFont="1" applyFill="1" applyAlignment="1">
      <alignment horizontal="right"/>
    </xf>
    <xf numFmtId="172" fontId="6" fillId="4" borderId="0" xfId="0" applyNumberFormat="1" applyFont="1" applyFill="1" applyAlignment="1">
      <alignment horizontal="center"/>
    </xf>
    <xf numFmtId="172" fontId="6" fillId="4" borderId="5" xfId="0" applyNumberFormat="1" applyFont="1" applyFill="1" applyBorder="1" applyAlignment="1">
      <alignment horizontal="center"/>
    </xf>
    <xf numFmtId="0" fontId="6" fillId="4" borderId="6" xfId="0" applyFont="1" applyFill="1" applyBorder="1"/>
    <xf numFmtId="0" fontId="6" fillId="4" borderId="7" xfId="0" applyFont="1" applyFill="1" applyBorder="1"/>
    <xf numFmtId="0" fontId="6" fillId="4" borderId="7" xfId="0" applyFont="1" applyFill="1" applyBorder="1" applyAlignment="1">
      <alignment horizontal="right"/>
    </xf>
    <xf numFmtId="0" fontId="2" fillId="0" borderId="0" xfId="0" applyFont="1" applyAlignment="1">
      <alignment horizontal="right"/>
    </xf>
    <xf numFmtId="0" fontId="6" fillId="7" borderId="28" xfId="0" applyFont="1" applyFill="1" applyBorder="1"/>
    <xf numFmtId="168" fontId="6" fillId="7" borderId="29" xfId="0" applyNumberFormat="1" applyFont="1" applyFill="1" applyBorder="1"/>
    <xf numFmtId="168" fontId="6" fillId="7" borderId="0" xfId="0" applyNumberFormat="1" applyFont="1" applyFill="1"/>
    <xf numFmtId="168" fontId="6" fillId="7" borderId="30" xfId="0" applyNumberFormat="1" applyFont="1" applyFill="1" applyBorder="1"/>
    <xf numFmtId="0" fontId="4" fillId="6" borderId="0" xfId="0" applyFont="1" applyFill="1"/>
    <xf numFmtId="0" fontId="6" fillId="4" borderId="0" xfId="0" applyFont="1" applyFill="1" applyAlignment="1">
      <alignment vertical="top"/>
    </xf>
    <xf numFmtId="0" fontId="5" fillId="13" borderId="31" xfId="0" applyFont="1" applyFill="1" applyBorder="1"/>
    <xf numFmtId="168" fontId="5" fillId="13" borderId="7" xfId="0" applyNumberFormat="1" applyFont="1" applyFill="1" applyBorder="1"/>
    <xf numFmtId="168" fontId="5" fillId="13" borderId="32" xfId="0" applyNumberFormat="1" applyFont="1" applyFill="1" applyBorder="1"/>
    <xf numFmtId="0" fontId="6" fillId="0" borderId="20" xfId="0" applyFont="1" applyBorder="1"/>
    <xf numFmtId="0" fontId="2" fillId="4" borderId="4" xfId="0" applyFont="1" applyFill="1" applyBorder="1"/>
    <xf numFmtId="0" fontId="2" fillId="4" borderId="0" xfId="0" applyFont="1" applyFill="1"/>
    <xf numFmtId="170" fontId="2" fillId="12" borderId="14" xfId="0" applyNumberFormat="1" applyFont="1" applyFill="1" applyBorder="1" applyAlignment="1">
      <alignment horizontal="center"/>
    </xf>
    <xf numFmtId="0" fontId="12" fillId="4" borderId="0" xfId="0" applyFont="1" applyFill="1" applyAlignment="1">
      <alignment horizontal="center"/>
    </xf>
    <xf numFmtId="0" fontId="12" fillId="4" borderId="5" xfId="0" applyFont="1" applyFill="1" applyBorder="1" applyAlignment="1">
      <alignment horizontal="center"/>
    </xf>
    <xf numFmtId="0" fontId="6" fillId="4" borderId="24" xfId="0" applyFont="1" applyFill="1" applyBorder="1" applyAlignment="1">
      <alignment vertical="top"/>
    </xf>
    <xf numFmtId="0" fontId="5" fillId="4" borderId="22" xfId="0" applyFont="1" applyFill="1" applyBorder="1" applyAlignment="1">
      <alignment horizontal="center" vertical="top"/>
    </xf>
    <xf numFmtId="0" fontId="5" fillId="4" borderId="28" xfId="0" applyFont="1" applyFill="1" applyBorder="1" applyAlignment="1">
      <alignment vertical="top"/>
    </xf>
    <xf numFmtId="0" fontId="5" fillId="4" borderId="29" xfId="0" applyFont="1" applyFill="1" applyBorder="1" applyAlignment="1">
      <alignment vertical="top"/>
    </xf>
    <xf numFmtId="0" fontId="5" fillId="4" borderId="19" xfId="0" applyFont="1" applyFill="1" applyBorder="1" applyAlignment="1">
      <alignment vertical="top"/>
    </xf>
    <xf numFmtId="0" fontId="5" fillId="4" borderId="17" xfId="0" applyFont="1" applyFill="1" applyBorder="1" applyAlignment="1">
      <alignment vertical="top"/>
    </xf>
    <xf numFmtId="167" fontId="5" fillId="7" borderId="33" xfId="0" applyNumberFormat="1" applyFont="1" applyFill="1" applyBorder="1" applyAlignment="1">
      <alignment horizontal="center"/>
    </xf>
    <xf numFmtId="172" fontId="2" fillId="4" borderId="15" xfId="0" applyNumberFormat="1" applyFont="1" applyFill="1" applyBorder="1"/>
    <xf numFmtId="172" fontId="2" fillId="4" borderId="16" xfId="0" applyNumberFormat="1" applyFont="1" applyFill="1" applyBorder="1"/>
    <xf numFmtId="0" fontId="2" fillId="4" borderId="34" xfId="0" applyFont="1" applyFill="1" applyBorder="1" applyAlignment="1">
      <alignment wrapText="1"/>
    </xf>
    <xf numFmtId="0" fontId="13" fillId="4" borderId="0" xfId="0" applyFont="1" applyFill="1"/>
    <xf numFmtId="0" fontId="2" fillId="4" borderId="5" xfId="0" applyFont="1" applyFill="1" applyBorder="1"/>
    <xf numFmtId="0" fontId="6" fillId="4" borderId="13" xfId="0" applyFont="1" applyFill="1" applyBorder="1" applyAlignment="1">
      <alignment horizontal="right" vertical="top"/>
    </xf>
    <xf numFmtId="168" fontId="6" fillId="4" borderId="14" xfId="0" applyNumberFormat="1" applyFont="1" applyFill="1" applyBorder="1" applyAlignment="1">
      <alignment vertical="top"/>
    </xf>
    <xf numFmtId="168" fontId="6" fillId="0" borderId="14" xfId="0" applyNumberFormat="1" applyFont="1" applyBorder="1" applyAlignment="1">
      <alignment vertical="top"/>
    </xf>
    <xf numFmtId="0" fontId="6" fillId="0" borderId="14" xfId="0" applyFont="1" applyBorder="1" applyAlignment="1">
      <alignment vertical="top"/>
    </xf>
    <xf numFmtId="170" fontId="6" fillId="4" borderId="14" xfId="0" applyNumberFormat="1" applyFont="1" applyFill="1" applyBorder="1" applyAlignment="1">
      <alignment vertical="top"/>
    </xf>
    <xf numFmtId="173" fontId="6" fillId="4" borderId="22" xfId="0" applyNumberFormat="1" applyFont="1" applyFill="1" applyBorder="1" applyAlignment="1">
      <alignment vertical="top"/>
    </xf>
    <xf numFmtId="0" fontId="6" fillId="6" borderId="0" xfId="0" applyFont="1" applyFill="1" applyAlignment="1">
      <alignment horizontal="center"/>
    </xf>
    <xf numFmtId="165" fontId="2" fillId="4" borderId="15" xfId="0" applyNumberFormat="1" applyFont="1" applyFill="1" applyBorder="1"/>
    <xf numFmtId="165" fontId="2" fillId="4" borderId="16" xfId="0" applyNumberFormat="1" applyFont="1" applyFill="1" applyBorder="1"/>
    <xf numFmtId="0" fontId="2" fillId="4" borderId="0" xfId="0" applyFont="1" applyFill="1" applyAlignment="1">
      <alignment wrapText="1"/>
    </xf>
    <xf numFmtId="171" fontId="2" fillId="4" borderId="29" xfId="0" applyNumberFormat="1" applyFont="1" applyFill="1" applyBorder="1"/>
    <xf numFmtId="172" fontId="2" fillId="4" borderId="36" xfId="0" applyNumberFormat="1" applyFont="1" applyFill="1" applyBorder="1"/>
    <xf numFmtId="0" fontId="2" fillId="4" borderId="34" xfId="0" applyFont="1" applyFill="1" applyBorder="1"/>
    <xf numFmtId="172" fontId="2" fillId="4" borderId="42" xfId="0" applyNumberFormat="1" applyFont="1" applyFill="1" applyBorder="1"/>
    <xf numFmtId="172" fontId="2" fillId="4" borderId="5" xfId="0" applyNumberFormat="1" applyFont="1" applyFill="1" applyBorder="1"/>
    <xf numFmtId="171" fontId="2" fillId="4" borderId="0" xfId="0" applyNumberFormat="1" applyFont="1" applyFill="1"/>
    <xf numFmtId="0" fontId="2" fillId="4" borderId="28" xfId="0" applyFont="1" applyFill="1" applyBorder="1"/>
    <xf numFmtId="0" fontId="2" fillId="4" borderId="43" xfId="0" applyFont="1" applyFill="1" applyBorder="1"/>
    <xf numFmtId="171" fontId="2" fillId="4" borderId="43" xfId="0" applyNumberFormat="1" applyFont="1" applyFill="1" applyBorder="1"/>
    <xf numFmtId="172" fontId="2" fillId="4" borderId="39" xfId="0" applyNumberFormat="1" applyFont="1" applyFill="1" applyBorder="1"/>
    <xf numFmtId="0" fontId="2" fillId="4" borderId="40" xfId="0" applyFont="1" applyFill="1" applyBorder="1"/>
    <xf numFmtId="172" fontId="2" fillId="4" borderId="39" xfId="0" applyNumberFormat="1" applyFont="1" applyFill="1" applyBorder="1" applyAlignment="1">
      <alignment horizontal="right"/>
    </xf>
    <xf numFmtId="172" fontId="2" fillId="4" borderId="30" xfId="0" applyNumberFormat="1" applyFont="1" applyFill="1" applyBorder="1" applyAlignment="1">
      <alignment horizontal="right"/>
    </xf>
    <xf numFmtId="0" fontId="2" fillId="4" borderId="44" xfId="0" applyFont="1" applyFill="1" applyBorder="1"/>
    <xf numFmtId="0" fontId="2" fillId="4" borderId="45" xfId="0" applyFont="1" applyFill="1" applyBorder="1"/>
    <xf numFmtId="0" fontId="2" fillId="4" borderId="47" xfId="0" applyFont="1" applyFill="1" applyBorder="1"/>
    <xf numFmtId="172" fontId="2" fillId="4" borderId="46" xfId="0" applyNumberFormat="1" applyFont="1" applyFill="1" applyBorder="1"/>
    <xf numFmtId="172" fontId="2" fillId="4" borderId="48" xfId="0" applyNumberFormat="1" applyFont="1" applyFill="1" applyBorder="1"/>
    <xf numFmtId="168" fontId="5" fillId="13" borderId="49" xfId="0" applyNumberFormat="1" applyFont="1" applyFill="1" applyBorder="1"/>
    <xf numFmtId="168" fontId="5" fillId="13" borderId="8" xfId="0" applyNumberFormat="1" applyFont="1" applyFill="1" applyBorder="1"/>
    <xf numFmtId="0" fontId="2" fillId="4" borderId="1" xfId="0" applyFont="1" applyFill="1" applyBorder="1" applyAlignment="1">
      <alignment horizontal="right"/>
    </xf>
    <xf numFmtId="0" fontId="2" fillId="4" borderId="2" xfId="0" applyFont="1" applyFill="1" applyBorder="1"/>
    <xf numFmtId="0" fontId="2" fillId="4" borderId="3" xfId="0" applyFont="1" applyFill="1" applyBorder="1"/>
    <xf numFmtId="0" fontId="5" fillId="4" borderId="13" xfId="0" applyFont="1" applyFill="1" applyBorder="1" applyAlignment="1">
      <alignment horizontal="right" vertical="top"/>
    </xf>
    <xf numFmtId="177" fontId="2" fillId="4" borderId="18" xfId="0" applyNumberFormat="1" applyFont="1" applyFill="1" applyBorder="1" applyAlignment="1">
      <alignment horizontal="right"/>
    </xf>
    <xf numFmtId="177" fontId="2" fillId="4" borderId="19" xfId="0" applyNumberFormat="1" applyFont="1" applyFill="1" applyBorder="1"/>
    <xf numFmtId="165" fontId="2" fillId="15" borderId="25" xfId="0" applyNumberFormat="1" applyFont="1" applyFill="1" applyBorder="1"/>
    <xf numFmtId="176" fontId="2" fillId="4" borderId="0" xfId="0" applyNumberFormat="1" applyFont="1" applyFill="1" applyAlignment="1">
      <alignment horizontal="center"/>
    </xf>
    <xf numFmtId="176" fontId="2" fillId="4" borderId="0" xfId="0" applyNumberFormat="1" applyFont="1" applyFill="1"/>
    <xf numFmtId="176" fontId="2" fillId="4" borderId="5" xfId="0" applyNumberFormat="1" applyFont="1" applyFill="1" applyBorder="1" applyAlignment="1">
      <alignment horizontal="center"/>
    </xf>
    <xf numFmtId="0" fontId="5" fillId="4" borderId="5" xfId="0" applyFont="1" applyFill="1" applyBorder="1"/>
    <xf numFmtId="170" fontId="10" fillId="9" borderId="50" xfId="0" applyNumberFormat="1" applyFont="1" applyFill="1" applyBorder="1" applyAlignment="1">
      <alignment horizontal="center"/>
    </xf>
    <xf numFmtId="168" fontId="10" fillId="9" borderId="50" xfId="0" applyNumberFormat="1" applyFont="1" applyFill="1" applyBorder="1" applyAlignment="1">
      <alignment horizontal="center"/>
    </xf>
    <xf numFmtId="0" fontId="6" fillId="7" borderId="51" xfId="0" applyFont="1" applyFill="1" applyBorder="1" applyAlignment="1">
      <alignment horizontal="center"/>
    </xf>
    <xf numFmtId="0" fontId="6" fillId="6" borderId="4" xfId="0" applyFont="1" applyFill="1" applyBorder="1"/>
    <xf numFmtId="3" fontId="2" fillId="4" borderId="52" xfId="0" applyNumberFormat="1" applyFont="1" applyFill="1" applyBorder="1" applyAlignment="1">
      <alignment vertical="center"/>
    </xf>
    <xf numFmtId="3" fontId="2" fillId="4" borderId="36" xfId="0" applyNumberFormat="1" applyFont="1" applyFill="1" applyBorder="1" applyAlignment="1">
      <alignment vertical="center"/>
    </xf>
    <xf numFmtId="170" fontId="11" fillId="0" borderId="22" xfId="0" applyNumberFormat="1" applyFont="1" applyBorder="1" applyAlignment="1">
      <alignment horizontal="center" vertical="top"/>
    </xf>
    <xf numFmtId="170" fontId="10" fillId="9" borderId="14" xfId="0" applyNumberFormat="1" applyFont="1" applyFill="1" applyBorder="1" applyAlignment="1">
      <alignment horizontal="center"/>
    </xf>
    <xf numFmtId="168" fontId="10" fillId="9" borderId="14" xfId="0" applyNumberFormat="1" applyFont="1" applyFill="1" applyBorder="1" applyAlignment="1">
      <alignment horizontal="center"/>
    </xf>
    <xf numFmtId="168" fontId="10" fillId="9" borderId="15" xfId="0" applyNumberFormat="1" applyFont="1" applyFill="1" applyBorder="1" applyAlignment="1">
      <alignment horizontal="center"/>
    </xf>
    <xf numFmtId="3" fontId="2" fillId="16" borderId="4" xfId="0" applyNumberFormat="1" applyFont="1" applyFill="1" applyBorder="1" applyAlignment="1">
      <alignment vertical="center"/>
    </xf>
    <xf numFmtId="3" fontId="2" fillId="16" borderId="42" xfId="0" applyNumberFormat="1" applyFont="1" applyFill="1" applyBorder="1" applyAlignment="1">
      <alignment vertical="center"/>
    </xf>
    <xf numFmtId="165" fontId="2" fillId="16" borderId="26" xfId="0" applyNumberFormat="1" applyFont="1" applyFill="1" applyBorder="1"/>
    <xf numFmtId="176" fontId="2" fillId="16" borderId="0" xfId="0" applyNumberFormat="1" applyFont="1" applyFill="1" applyAlignment="1">
      <alignment horizontal="center"/>
    </xf>
    <xf numFmtId="0" fontId="2" fillId="16" borderId="0" xfId="0" applyFont="1" applyFill="1"/>
    <xf numFmtId="176" fontId="2" fillId="16" borderId="0" xfId="0" applyNumberFormat="1" applyFont="1" applyFill="1"/>
    <xf numFmtId="176" fontId="2" fillId="16" borderId="5" xfId="0" applyNumberFormat="1" applyFont="1" applyFill="1" applyBorder="1" applyAlignment="1">
      <alignment horizontal="center"/>
    </xf>
    <xf numFmtId="0" fontId="5" fillId="4" borderId="13" xfId="0" applyFont="1" applyFill="1" applyBorder="1" applyAlignment="1">
      <alignment horizontal="right"/>
    </xf>
    <xf numFmtId="3" fontId="2" fillId="4" borderId="6" xfId="0" applyNumberFormat="1" applyFont="1" applyFill="1" applyBorder="1" applyAlignment="1">
      <alignment vertical="center"/>
    </xf>
    <xf numFmtId="3" fontId="2" fillId="4" borderId="53" xfId="0" applyNumberFormat="1" applyFont="1" applyFill="1" applyBorder="1" applyAlignment="1">
      <alignment vertical="center"/>
    </xf>
    <xf numFmtId="165" fontId="2" fillId="15" borderId="54" xfId="0" applyNumberFormat="1" applyFont="1" applyFill="1" applyBorder="1"/>
    <xf numFmtId="176" fontId="2" fillId="4" borderId="7" xfId="0" applyNumberFormat="1" applyFont="1" applyFill="1" applyBorder="1" applyAlignment="1">
      <alignment horizontal="center"/>
    </xf>
    <xf numFmtId="0" fontId="2" fillId="4" borderId="7" xfId="0" applyFont="1" applyFill="1" applyBorder="1"/>
    <xf numFmtId="176" fontId="2" fillId="4" borderId="7" xfId="0" applyNumberFormat="1" applyFont="1" applyFill="1" applyBorder="1"/>
    <xf numFmtId="176" fontId="2" fillId="4" borderId="8" xfId="0" applyNumberFormat="1" applyFont="1" applyFill="1" applyBorder="1" applyAlignment="1">
      <alignment horizontal="center"/>
    </xf>
    <xf numFmtId="173" fontId="6" fillId="4" borderId="55" xfId="0" applyNumberFormat="1" applyFont="1" applyFill="1" applyBorder="1" applyAlignment="1">
      <alignment vertical="top"/>
    </xf>
    <xf numFmtId="0" fontId="6" fillId="7" borderId="0" xfId="0" applyFont="1" applyFill="1"/>
    <xf numFmtId="0" fontId="6" fillId="7" borderId="19" xfId="0" applyFont="1" applyFill="1" applyBorder="1"/>
    <xf numFmtId="0" fontId="6" fillId="7" borderId="29" xfId="0" applyFont="1" applyFill="1" applyBorder="1"/>
    <xf numFmtId="0" fontId="6" fillId="4" borderId="35" xfId="0" applyFont="1" applyFill="1" applyBorder="1"/>
    <xf numFmtId="168" fontId="6" fillId="4" borderId="14" xfId="0" applyNumberFormat="1" applyFont="1" applyFill="1" applyBorder="1"/>
    <xf numFmtId="0" fontId="6" fillId="4" borderId="14" xfId="0" applyFont="1" applyFill="1" applyBorder="1"/>
    <xf numFmtId="170" fontId="6" fillId="4" borderId="15" xfId="0" applyNumberFormat="1" applyFont="1" applyFill="1" applyBorder="1" applyAlignment="1">
      <alignment horizontal="right"/>
    </xf>
    <xf numFmtId="173" fontId="5" fillId="0" borderId="12" xfId="0" applyNumberFormat="1" applyFont="1" applyBorder="1"/>
    <xf numFmtId="165" fontId="10" fillId="9" borderId="14" xfId="0" applyNumberFormat="1" applyFont="1" applyFill="1" applyBorder="1" applyAlignment="1">
      <alignment horizontal="center"/>
    </xf>
    <xf numFmtId="0" fontId="2" fillId="6" borderId="4" xfId="0" applyFont="1" applyFill="1" applyBorder="1"/>
    <xf numFmtId="0" fontId="2" fillId="6" borderId="0" xfId="0" applyFont="1" applyFill="1"/>
    <xf numFmtId="0" fontId="6" fillId="7" borderId="24" xfId="0" applyFont="1" applyFill="1" applyBorder="1"/>
    <xf numFmtId="0" fontId="2" fillId="0" borderId="2" xfId="0" applyFont="1" applyBorder="1"/>
    <xf numFmtId="0" fontId="6" fillId="7" borderId="56" xfId="0" applyFont="1" applyFill="1" applyBorder="1"/>
    <xf numFmtId="165" fontId="10" fillId="9" borderId="57" xfId="0" applyNumberFormat="1" applyFont="1" applyFill="1" applyBorder="1" applyAlignment="1">
      <alignment horizontal="center"/>
    </xf>
    <xf numFmtId="168" fontId="10" fillId="9" borderId="57" xfId="0" applyNumberFormat="1" applyFont="1" applyFill="1" applyBorder="1" applyAlignment="1">
      <alignment horizontal="center"/>
    </xf>
    <xf numFmtId="165" fontId="10" fillId="9" borderId="27" xfId="0" applyNumberFormat="1" applyFont="1" applyFill="1" applyBorder="1" applyAlignment="1">
      <alignment horizontal="center"/>
    </xf>
    <xf numFmtId="168" fontId="10" fillId="9" borderId="27" xfId="0" applyNumberFormat="1" applyFont="1" applyFill="1" applyBorder="1" applyAlignment="1">
      <alignment horizontal="center"/>
    </xf>
    <xf numFmtId="0" fontId="6" fillId="4" borderId="1" xfId="0" applyFont="1" applyFill="1" applyBorder="1"/>
    <xf numFmtId="0" fontId="6" fillId="4" borderId="2" xfId="0" applyFont="1" applyFill="1" applyBorder="1"/>
    <xf numFmtId="0" fontId="6" fillId="4" borderId="3" xfId="0" applyFont="1" applyFill="1" applyBorder="1"/>
    <xf numFmtId="0" fontId="6" fillId="7" borderId="5" xfId="0" applyFont="1" applyFill="1" applyBorder="1"/>
    <xf numFmtId="0" fontId="6" fillId="7" borderId="34" xfId="0" applyFont="1" applyFill="1" applyBorder="1"/>
    <xf numFmtId="172" fontId="6" fillId="0" borderId="14" xfId="0" applyNumberFormat="1" applyFont="1" applyBorder="1"/>
    <xf numFmtId="178" fontId="6" fillId="0" borderId="14" xfId="0" applyNumberFormat="1" applyFont="1" applyBorder="1"/>
    <xf numFmtId="172" fontId="6" fillId="12" borderId="14" xfId="0" applyNumberFormat="1" applyFont="1" applyFill="1" applyBorder="1"/>
    <xf numFmtId="165" fontId="10" fillId="9" borderId="14" xfId="0" applyNumberFormat="1" applyFont="1" applyFill="1" applyBorder="1"/>
    <xf numFmtId="0" fontId="6" fillId="2" borderId="14" xfId="0" applyFont="1" applyFill="1" applyBorder="1" applyAlignment="1">
      <alignment horizontal="center"/>
    </xf>
    <xf numFmtId="170" fontId="6" fillId="2" borderId="22" xfId="0" applyNumberFormat="1" applyFont="1" applyFill="1" applyBorder="1" applyAlignment="1">
      <alignment horizontal="center"/>
    </xf>
    <xf numFmtId="0" fontId="6" fillId="2" borderId="58" xfId="0" applyFont="1" applyFill="1" applyBorder="1" applyAlignment="1">
      <alignment horizontal="center"/>
    </xf>
    <xf numFmtId="168" fontId="6" fillId="0" borderId="27" xfId="0" applyNumberFormat="1" applyFont="1" applyBorder="1"/>
    <xf numFmtId="168" fontId="6" fillId="0" borderId="41" xfId="0" applyNumberFormat="1" applyFont="1" applyBorder="1"/>
    <xf numFmtId="168" fontId="6" fillId="0" borderId="30" xfId="0" applyNumberFormat="1" applyFont="1" applyBorder="1"/>
    <xf numFmtId="168" fontId="6" fillId="0" borderId="57" xfId="0" applyNumberFormat="1" applyFont="1" applyBorder="1"/>
    <xf numFmtId="168" fontId="6" fillId="0" borderId="55" xfId="0" applyNumberFormat="1" applyFont="1" applyBorder="1"/>
    <xf numFmtId="168" fontId="6" fillId="0" borderId="59" xfId="0" applyNumberFormat="1" applyFont="1" applyBorder="1"/>
    <xf numFmtId="172" fontId="6" fillId="4" borderId="0" xfId="0" applyNumberFormat="1" applyFont="1" applyFill="1"/>
    <xf numFmtId="168" fontId="6" fillId="7" borderId="2" xfId="0" applyNumberFormat="1" applyFont="1" applyFill="1" applyBorder="1"/>
    <xf numFmtId="168" fontId="6" fillId="7" borderId="3" xfId="0" applyNumberFormat="1" applyFont="1" applyFill="1" applyBorder="1"/>
    <xf numFmtId="168" fontId="6" fillId="0" borderId="60" xfId="0" applyNumberFormat="1" applyFont="1" applyBorder="1"/>
    <xf numFmtId="168" fontId="5" fillId="13" borderId="48" xfId="0" applyNumberFormat="1" applyFont="1" applyFill="1" applyBorder="1"/>
    <xf numFmtId="168" fontId="5" fillId="6" borderId="0" xfId="0" applyNumberFormat="1" applyFont="1" applyFill="1"/>
    <xf numFmtId="0" fontId="12" fillId="4" borderId="1" xfId="0" applyFont="1" applyFill="1" applyBorder="1"/>
    <xf numFmtId="0" fontId="2" fillId="4" borderId="2" xfId="0" applyFont="1" applyFill="1" applyBorder="1" applyAlignment="1">
      <alignment horizontal="right"/>
    </xf>
    <xf numFmtId="177" fontId="2" fillId="17" borderId="2" xfId="0" applyNumberFormat="1" applyFont="1" applyFill="1" applyBorder="1"/>
    <xf numFmtId="0" fontId="2" fillId="0" borderId="7" xfId="0" applyFont="1" applyBorder="1"/>
    <xf numFmtId="179" fontId="2" fillId="4" borderId="0" xfId="0" applyNumberFormat="1" applyFont="1" applyFill="1" applyAlignment="1">
      <alignment horizontal="center"/>
    </xf>
    <xf numFmtId="165" fontId="2" fillId="4" borderId="0" xfId="0" applyNumberFormat="1" applyFont="1" applyFill="1" applyAlignment="1">
      <alignment horizontal="center"/>
    </xf>
    <xf numFmtId="0" fontId="2" fillId="4" borderId="0" xfId="0" applyFont="1" applyFill="1" applyAlignment="1">
      <alignment horizontal="center"/>
    </xf>
    <xf numFmtId="169" fontId="2" fillId="4" borderId="0" xfId="0" applyNumberFormat="1" applyFont="1" applyFill="1" applyAlignment="1">
      <alignment horizontal="center"/>
    </xf>
    <xf numFmtId="180" fontId="2" fillId="4" borderId="0" xfId="0" applyNumberFormat="1" applyFont="1" applyFill="1" applyAlignment="1">
      <alignment horizontal="center"/>
    </xf>
    <xf numFmtId="181" fontId="2" fillId="4" borderId="0" xfId="0" applyNumberFormat="1" applyFont="1" applyFill="1" applyAlignment="1">
      <alignment horizontal="center"/>
    </xf>
    <xf numFmtId="175" fontId="2" fillId="4" borderId="0" xfId="0" applyNumberFormat="1" applyFont="1" applyFill="1" applyAlignment="1">
      <alignment horizontal="left"/>
    </xf>
    <xf numFmtId="0" fontId="6" fillId="18" borderId="0" xfId="0" applyFont="1" applyFill="1"/>
    <xf numFmtId="0" fontId="6" fillId="18" borderId="63" xfId="0" applyFont="1" applyFill="1" applyBorder="1"/>
    <xf numFmtId="0" fontId="5" fillId="4" borderId="4" xfId="0" applyFont="1" applyFill="1" applyBorder="1" applyAlignment="1">
      <alignment horizontal="right"/>
    </xf>
    <xf numFmtId="0" fontId="6" fillId="5" borderId="12" xfId="0" applyFont="1" applyFill="1" applyBorder="1" applyAlignment="1">
      <alignment horizontal="center" vertical="center"/>
    </xf>
    <xf numFmtId="0" fontId="5" fillId="4" borderId="5" xfId="0" applyFont="1" applyFill="1" applyBorder="1" applyAlignment="1">
      <alignment horizontal="center"/>
    </xf>
    <xf numFmtId="0" fontId="6" fillId="4" borderId="4" xfId="0" applyFont="1" applyFill="1" applyBorder="1" applyAlignment="1">
      <alignment horizontal="left"/>
    </xf>
    <xf numFmtId="182" fontId="6" fillId="0" borderId="14" xfId="0" applyNumberFormat="1" applyFont="1" applyBorder="1" applyAlignment="1">
      <alignment horizontal="center"/>
    </xf>
    <xf numFmtId="182" fontId="6" fillId="0" borderId="25" xfId="0" applyNumberFormat="1" applyFont="1" applyBorder="1" applyAlignment="1">
      <alignment horizontal="center"/>
    </xf>
    <xf numFmtId="49" fontId="2" fillId="4" borderId="4" xfId="0" applyNumberFormat="1" applyFont="1" applyFill="1" applyBorder="1"/>
    <xf numFmtId="169" fontId="6" fillId="0" borderId="27" xfId="0" applyNumberFormat="1" applyFont="1" applyBorder="1" applyAlignment="1">
      <alignment horizontal="center"/>
    </xf>
    <xf numFmtId="183" fontId="6" fillId="4" borderId="0" xfId="0" applyNumberFormat="1" applyFont="1" applyFill="1" applyAlignment="1">
      <alignment horizontal="center"/>
    </xf>
    <xf numFmtId="183" fontId="6" fillId="4" borderId="5" xfId="0" applyNumberFormat="1" applyFont="1" applyFill="1" applyBorder="1"/>
    <xf numFmtId="183" fontId="6" fillId="5" borderId="14" xfId="0" applyNumberFormat="1" applyFont="1" applyFill="1" applyBorder="1" applyAlignment="1">
      <alignment horizontal="center"/>
    </xf>
    <xf numFmtId="183" fontId="5" fillId="4" borderId="0" xfId="0" applyNumberFormat="1" applyFont="1" applyFill="1"/>
    <xf numFmtId="183" fontId="6" fillId="5" borderId="25" xfId="0" applyNumberFormat="1" applyFont="1" applyFill="1" applyBorder="1" applyAlignment="1">
      <alignment horizontal="center"/>
    </xf>
    <xf numFmtId="0" fontId="6" fillId="5" borderId="27" xfId="0" applyFont="1" applyFill="1" applyBorder="1" applyAlignment="1">
      <alignment horizontal="center"/>
    </xf>
    <xf numFmtId="0" fontId="16" fillId="4" borderId="0" xfId="0" applyFont="1" applyFill="1"/>
    <xf numFmtId="168" fontId="16" fillId="4" borderId="0" xfId="0" applyNumberFormat="1" applyFont="1" applyFill="1"/>
    <xf numFmtId="170" fontId="16" fillId="4" borderId="5" xfId="0" applyNumberFormat="1" applyFont="1" applyFill="1" applyBorder="1"/>
    <xf numFmtId="0" fontId="6" fillId="0" borderId="25" xfId="0" applyFont="1" applyBorder="1"/>
    <xf numFmtId="168" fontId="6" fillId="0" borderId="64" xfId="0" applyNumberFormat="1" applyFont="1" applyBorder="1"/>
    <xf numFmtId="170" fontId="6" fillId="4" borderId="26" xfId="0" applyNumberFormat="1" applyFont="1" applyFill="1" applyBorder="1"/>
    <xf numFmtId="170" fontId="6" fillId="4" borderId="65" xfId="0" applyNumberFormat="1" applyFont="1" applyFill="1" applyBorder="1"/>
    <xf numFmtId="0" fontId="6" fillId="18" borderId="0" xfId="0" applyFont="1" applyFill="1" applyAlignment="1">
      <alignment horizontal="right"/>
    </xf>
    <xf numFmtId="170" fontId="6" fillId="18" borderId="0" xfId="0" applyNumberFormat="1" applyFont="1" applyFill="1"/>
    <xf numFmtId="0" fontId="6" fillId="0" borderId="27" xfId="0" applyFont="1" applyBorder="1"/>
    <xf numFmtId="168" fontId="6" fillId="0" borderId="66" xfId="0" applyNumberFormat="1" applyFont="1" applyBorder="1"/>
    <xf numFmtId="168" fontId="6" fillId="19" borderId="14" xfId="0" applyNumberFormat="1" applyFont="1" applyFill="1" applyBorder="1"/>
    <xf numFmtId="0" fontId="6" fillId="0" borderId="26" xfId="0" applyFont="1" applyBorder="1"/>
    <xf numFmtId="168" fontId="5" fillId="19" borderId="25" xfId="0" applyNumberFormat="1" applyFont="1" applyFill="1" applyBorder="1"/>
    <xf numFmtId="0" fontId="5" fillId="18" borderId="0" xfId="0" applyFont="1" applyFill="1" applyAlignment="1">
      <alignment horizontal="right"/>
    </xf>
    <xf numFmtId="168" fontId="5" fillId="19" borderId="26" xfId="0" applyNumberFormat="1" applyFont="1" applyFill="1" applyBorder="1"/>
    <xf numFmtId="168" fontId="5" fillId="19" borderId="27" xfId="0" applyNumberFormat="1" applyFont="1" applyFill="1" applyBorder="1"/>
    <xf numFmtId="179" fontId="5" fillId="4" borderId="25" xfId="0" applyNumberFormat="1" applyFont="1" applyFill="1" applyBorder="1"/>
    <xf numFmtId="170" fontId="5" fillId="4" borderId="26" xfId="0" applyNumberFormat="1" applyFont="1" applyFill="1" applyBorder="1"/>
    <xf numFmtId="170" fontId="5" fillId="4" borderId="65" xfId="0" applyNumberFormat="1" applyFont="1" applyFill="1" applyBorder="1"/>
    <xf numFmtId="179" fontId="5" fillId="18" borderId="29" xfId="0" applyNumberFormat="1" applyFont="1" applyFill="1" applyBorder="1"/>
    <xf numFmtId="179" fontId="6" fillId="4" borderId="27" xfId="0" applyNumberFormat="1" applyFont="1" applyFill="1" applyBorder="1"/>
    <xf numFmtId="179" fontId="6" fillId="18" borderId="43" xfId="0" applyNumberFormat="1" applyFont="1" applyFill="1" applyBorder="1"/>
    <xf numFmtId="168" fontId="6" fillId="0" borderId="67" xfId="0" applyNumberFormat="1" applyFont="1" applyBorder="1"/>
    <xf numFmtId="0" fontId="2" fillId="4" borderId="6" xfId="0" applyFont="1" applyFill="1" applyBorder="1"/>
    <xf numFmtId="179" fontId="2" fillId="4" borderId="7" xfId="0" applyNumberFormat="1" applyFont="1" applyFill="1" applyBorder="1" applyAlignment="1">
      <alignment horizontal="center"/>
    </xf>
    <xf numFmtId="165" fontId="2" fillId="4" borderId="7" xfId="0" applyNumberFormat="1" applyFont="1" applyFill="1" applyBorder="1" applyAlignment="1">
      <alignment horizontal="center"/>
    </xf>
    <xf numFmtId="0" fontId="2" fillId="4" borderId="7" xfId="0" applyFont="1" applyFill="1" applyBorder="1" applyAlignment="1">
      <alignment horizontal="center"/>
    </xf>
    <xf numFmtId="169" fontId="2" fillId="4" borderId="7" xfId="0" applyNumberFormat="1" applyFont="1" applyFill="1" applyBorder="1" applyAlignment="1">
      <alignment horizontal="center"/>
    </xf>
    <xf numFmtId="180" fontId="2" fillId="4" borderId="7" xfId="0" applyNumberFormat="1" applyFont="1" applyFill="1" applyBorder="1" applyAlignment="1">
      <alignment horizontal="center"/>
    </xf>
    <xf numFmtId="181" fontId="2" fillId="4" borderId="7" xfId="0" applyNumberFormat="1" applyFont="1" applyFill="1" applyBorder="1" applyAlignment="1">
      <alignment horizontal="center"/>
    </xf>
    <xf numFmtId="175" fontId="2" fillId="4" borderId="7" xfId="0" applyNumberFormat="1" applyFont="1" applyFill="1" applyBorder="1" applyAlignment="1">
      <alignment horizontal="left"/>
    </xf>
    <xf numFmtId="0" fontId="2" fillId="4" borderId="8" xfId="0" applyFont="1" applyFill="1" applyBorder="1"/>
    <xf numFmtId="0" fontId="6" fillId="0" borderId="25" xfId="0" applyFont="1" applyBorder="1" applyAlignment="1">
      <alignment horizontal="right"/>
    </xf>
    <xf numFmtId="0" fontId="6" fillId="0" borderId="26" xfId="0" applyFont="1" applyBorder="1" applyAlignment="1">
      <alignment horizontal="right"/>
    </xf>
    <xf numFmtId="0" fontId="6" fillId="0" borderId="27" xfId="0" applyFont="1" applyBorder="1" applyAlignment="1">
      <alignment horizontal="right"/>
    </xf>
    <xf numFmtId="168" fontId="5" fillId="19" borderId="14" xfId="0" applyNumberFormat="1" applyFont="1" applyFill="1" applyBorder="1"/>
    <xf numFmtId="179" fontId="5" fillId="4" borderId="26" xfId="0" applyNumberFormat="1" applyFont="1" applyFill="1" applyBorder="1"/>
    <xf numFmtId="179" fontId="5" fillId="18" borderId="0" xfId="0" applyNumberFormat="1" applyFont="1" applyFill="1"/>
    <xf numFmtId="179" fontId="5" fillId="4" borderId="14" xfId="0" applyNumberFormat="1" applyFont="1" applyFill="1" applyBorder="1"/>
    <xf numFmtId="179" fontId="5" fillId="18" borderId="19" xfId="0" applyNumberFormat="1" applyFont="1" applyFill="1" applyBorder="1"/>
    <xf numFmtId="170" fontId="6" fillId="4" borderId="0" xfId="0" applyNumberFormat="1" applyFont="1" applyFill="1" applyAlignment="1">
      <alignment horizontal="right"/>
    </xf>
    <xf numFmtId="179" fontId="6" fillId="4" borderId="26" xfId="0" applyNumberFormat="1" applyFont="1" applyFill="1" applyBorder="1"/>
    <xf numFmtId="170" fontId="6" fillId="18" borderId="0" xfId="0" applyNumberFormat="1" applyFont="1" applyFill="1" applyAlignment="1">
      <alignment horizontal="right"/>
    </xf>
    <xf numFmtId="179" fontId="6" fillId="18" borderId="0" xfId="0" applyNumberFormat="1" applyFont="1" applyFill="1"/>
    <xf numFmtId="179" fontId="6" fillId="4" borderId="0" xfId="0" applyNumberFormat="1" applyFont="1" applyFill="1"/>
    <xf numFmtId="170" fontId="6" fillId="4" borderId="0" xfId="0" applyNumberFormat="1" applyFont="1" applyFill="1"/>
    <xf numFmtId="170" fontId="6" fillId="4" borderId="5" xfId="0" applyNumberFormat="1" applyFont="1" applyFill="1" applyBorder="1"/>
    <xf numFmtId="0" fontId="5" fillId="4" borderId="0" xfId="0" applyFont="1" applyFill="1" applyAlignment="1">
      <alignment horizontal="right" vertical="center"/>
    </xf>
    <xf numFmtId="0" fontId="5" fillId="18" borderId="0" xfId="0" applyFont="1" applyFill="1" applyAlignment="1">
      <alignment horizontal="right" vertical="center"/>
    </xf>
    <xf numFmtId="0" fontId="6" fillId="4" borderId="0" xfId="0" applyFont="1" applyFill="1" applyAlignment="1">
      <alignment horizontal="right" vertical="center"/>
    </xf>
    <xf numFmtId="168" fontId="6" fillId="0" borderId="14" xfId="0" applyNumberFormat="1" applyFont="1" applyBorder="1"/>
    <xf numFmtId="0" fontId="6" fillId="18" borderId="0" xfId="0" applyFont="1" applyFill="1" applyAlignment="1">
      <alignment horizontal="right" vertical="center"/>
    </xf>
    <xf numFmtId="3" fontId="6" fillId="4" borderId="0" xfId="0" applyNumberFormat="1" applyFont="1" applyFill="1" applyAlignment="1">
      <alignment horizontal="right" vertical="center"/>
    </xf>
    <xf numFmtId="3" fontId="6" fillId="18" borderId="0" xfId="0" applyNumberFormat="1" applyFont="1" applyFill="1" applyAlignment="1">
      <alignment horizontal="right" vertical="center"/>
    </xf>
    <xf numFmtId="49" fontId="6" fillId="4" borderId="0" xfId="0" applyNumberFormat="1" applyFont="1" applyFill="1" applyAlignment="1">
      <alignment horizontal="right"/>
    </xf>
    <xf numFmtId="49" fontId="6" fillId="18" borderId="0" xfId="0" applyNumberFormat="1" applyFont="1" applyFill="1" applyAlignment="1">
      <alignment horizontal="right"/>
    </xf>
    <xf numFmtId="168" fontId="6" fillId="12" borderId="14" xfId="0" applyNumberFormat="1" applyFont="1" applyFill="1" applyBorder="1"/>
    <xf numFmtId="168" fontId="6" fillId="19" borderId="14" xfId="0" applyNumberFormat="1" applyFont="1" applyFill="1" applyBorder="1" applyAlignment="1">
      <alignment horizontal="right" vertical="center"/>
    </xf>
    <xf numFmtId="168" fontId="6" fillId="20" borderId="14" xfId="0" applyNumberFormat="1" applyFont="1" applyFill="1" applyBorder="1"/>
    <xf numFmtId="173" fontId="6" fillId="19" borderId="14" xfId="0" applyNumberFormat="1" applyFont="1" applyFill="1" applyBorder="1"/>
    <xf numFmtId="176" fontId="6" fillId="18" borderId="29" xfId="0" applyNumberFormat="1" applyFont="1" applyFill="1" applyBorder="1" applyAlignment="1">
      <alignment horizontal="center"/>
    </xf>
    <xf numFmtId="176" fontId="6" fillId="18" borderId="0" xfId="0" applyNumberFormat="1" applyFont="1" applyFill="1" applyAlignment="1">
      <alignment horizontal="center"/>
    </xf>
    <xf numFmtId="173" fontId="6" fillId="4" borderId="7" xfId="0" applyNumberFormat="1" applyFont="1" applyFill="1" applyBorder="1"/>
    <xf numFmtId="0" fontId="6" fillId="18" borderId="68" xfId="0" applyFont="1" applyFill="1" applyBorder="1"/>
    <xf numFmtId="0" fontId="6" fillId="18" borderId="69" xfId="0" applyFont="1" applyFill="1" applyBorder="1"/>
    <xf numFmtId="0" fontId="17" fillId="0" borderId="2" xfId="0" applyFont="1" applyBorder="1" applyAlignment="1">
      <alignment horizontal="right"/>
    </xf>
    <xf numFmtId="173" fontId="2" fillId="0" borderId="2" xfId="0" applyNumberFormat="1" applyFont="1" applyBorder="1"/>
    <xf numFmtId="0" fontId="6" fillId="4" borderId="2" xfId="0" applyFont="1" applyFill="1" applyBorder="1" applyAlignment="1">
      <alignment horizontal="right"/>
    </xf>
    <xf numFmtId="173" fontId="6" fillId="4" borderId="2" xfId="0" applyNumberFormat="1" applyFont="1" applyFill="1" applyBorder="1"/>
    <xf numFmtId="176" fontId="6" fillId="4" borderId="0" xfId="0" applyNumberFormat="1" applyFont="1" applyFill="1"/>
    <xf numFmtId="173" fontId="6" fillId="4" borderId="0" xfId="0" applyNumberFormat="1" applyFont="1" applyFill="1"/>
    <xf numFmtId="0" fontId="6" fillId="4" borderId="26" xfId="0" applyFont="1" applyFill="1" applyBorder="1"/>
    <xf numFmtId="0" fontId="5" fillId="4" borderId="38" xfId="0" applyFont="1" applyFill="1" applyBorder="1" applyAlignment="1">
      <alignment horizontal="center"/>
    </xf>
    <xf numFmtId="0" fontId="5" fillId="4" borderId="27" xfId="0" applyFont="1" applyFill="1" applyBorder="1"/>
    <xf numFmtId="0" fontId="5" fillId="4" borderId="40" xfId="0" applyFont="1" applyFill="1" applyBorder="1" applyAlignment="1">
      <alignment horizontal="center"/>
    </xf>
    <xf numFmtId="0" fontId="5" fillId="4" borderId="41" xfId="0" applyFont="1" applyFill="1" applyBorder="1"/>
    <xf numFmtId="0" fontId="6" fillId="10" borderId="13" xfId="0" applyFont="1" applyFill="1" applyBorder="1"/>
    <xf numFmtId="168" fontId="6" fillId="10" borderId="14" xfId="0" applyNumberFormat="1" applyFont="1" applyFill="1" applyBorder="1"/>
    <xf numFmtId="171" fontId="6" fillId="10" borderId="40" xfId="0" applyNumberFormat="1" applyFont="1" applyFill="1" applyBorder="1"/>
    <xf numFmtId="0" fontId="6" fillId="10" borderId="15" xfId="0" applyFont="1" applyFill="1" applyBorder="1"/>
    <xf numFmtId="170" fontId="6" fillId="10" borderId="14" xfId="0" applyNumberFormat="1" applyFont="1" applyFill="1" applyBorder="1"/>
    <xf numFmtId="166" fontId="6" fillId="10" borderId="27" xfId="0" applyNumberFormat="1" applyFont="1" applyFill="1" applyBorder="1"/>
    <xf numFmtId="0" fontId="6" fillId="10" borderId="40" xfId="0" applyFont="1" applyFill="1" applyBorder="1"/>
    <xf numFmtId="0" fontId="6" fillId="16" borderId="41" xfId="0" applyFont="1" applyFill="1" applyBorder="1"/>
    <xf numFmtId="171" fontId="6" fillId="0" borderId="15" xfId="0" applyNumberFormat="1" applyFont="1" applyBorder="1"/>
    <xf numFmtId="0" fontId="6" fillId="6" borderId="15" xfId="0" applyFont="1" applyFill="1" applyBorder="1"/>
    <xf numFmtId="170" fontId="6" fillId="0" borderId="14" xfId="0" applyNumberFormat="1" applyFont="1" applyBorder="1"/>
    <xf numFmtId="166" fontId="6" fillId="0" borderId="14" xfId="0" applyNumberFormat="1" applyFont="1" applyBorder="1"/>
    <xf numFmtId="0" fontId="6" fillId="0" borderId="15" xfId="0" applyFont="1" applyBorder="1"/>
    <xf numFmtId="0" fontId="6" fillId="16" borderId="22" xfId="0" applyFont="1" applyFill="1" applyBorder="1"/>
    <xf numFmtId="171" fontId="6" fillId="10" borderId="15" xfId="0" applyNumberFormat="1" applyFont="1" applyFill="1" applyBorder="1"/>
    <xf numFmtId="166" fontId="6" fillId="10" borderId="14" xfId="0" applyNumberFormat="1" applyFont="1" applyFill="1" applyBorder="1"/>
    <xf numFmtId="0" fontId="6" fillId="0" borderId="35" xfId="0" applyFont="1" applyBorder="1"/>
    <xf numFmtId="168" fontId="6" fillId="0" borderId="25" xfId="0" applyNumberFormat="1" applyFont="1" applyBorder="1"/>
    <xf numFmtId="171" fontId="6" fillId="0" borderId="70" xfId="0" applyNumberFormat="1" applyFont="1" applyBorder="1"/>
    <xf numFmtId="0" fontId="6" fillId="6" borderId="70" xfId="0" applyFont="1" applyFill="1" applyBorder="1"/>
    <xf numFmtId="170" fontId="6" fillId="0" borderId="25" xfId="0" applyNumberFormat="1" applyFont="1" applyBorder="1"/>
    <xf numFmtId="166" fontId="6" fillId="0" borderId="25" xfId="0" applyNumberFormat="1" applyFont="1" applyBorder="1"/>
    <xf numFmtId="0" fontId="6" fillId="0" borderId="70" xfId="0" applyFont="1" applyBorder="1"/>
    <xf numFmtId="0" fontId="6" fillId="16" borderId="37" xfId="0" applyFont="1" applyFill="1" applyBorder="1"/>
    <xf numFmtId="0" fontId="6" fillId="4" borderId="13" xfId="0" applyFont="1" applyFill="1" applyBorder="1"/>
    <xf numFmtId="171" fontId="6" fillId="4" borderId="14" xfId="0" applyNumberFormat="1" applyFont="1" applyFill="1" applyBorder="1"/>
    <xf numFmtId="0" fontId="6" fillId="6" borderId="5" xfId="0" applyFont="1" applyFill="1" applyBorder="1"/>
    <xf numFmtId="0" fontId="5" fillId="4" borderId="14" xfId="0" applyFont="1" applyFill="1" applyBorder="1" applyAlignment="1">
      <alignment horizontal="right"/>
    </xf>
    <xf numFmtId="165" fontId="6" fillId="4" borderId="14" xfId="0" applyNumberFormat="1" applyFont="1" applyFill="1" applyBorder="1"/>
    <xf numFmtId="179" fontId="6" fillId="4" borderId="14" xfId="0" applyNumberFormat="1" applyFont="1" applyFill="1" applyBorder="1"/>
    <xf numFmtId="0" fontId="5" fillId="4" borderId="14" xfId="0" applyFont="1" applyFill="1" applyBorder="1" applyAlignment="1">
      <alignment horizontal="left"/>
    </xf>
    <xf numFmtId="166" fontId="6" fillId="4" borderId="14" xfId="0" applyNumberFormat="1" applyFont="1" applyFill="1" applyBorder="1"/>
    <xf numFmtId="0" fontId="6" fillId="4" borderId="22" xfId="0" applyFont="1" applyFill="1" applyBorder="1"/>
    <xf numFmtId="0" fontId="5" fillId="4" borderId="44" xfId="0" applyFont="1" applyFill="1" applyBorder="1"/>
    <xf numFmtId="0" fontId="5" fillId="4" borderId="45" xfId="0" applyFont="1" applyFill="1" applyBorder="1"/>
    <xf numFmtId="0" fontId="5" fillId="4" borderId="48" xfId="0" applyFont="1" applyFill="1" applyBorder="1"/>
    <xf numFmtId="0" fontId="12" fillId="0" borderId="0" xfId="0" applyFont="1"/>
    <xf numFmtId="179" fontId="2" fillId="0" borderId="0" xfId="0" applyNumberFormat="1" applyFont="1"/>
    <xf numFmtId="0" fontId="6" fillId="5" borderId="71" xfId="0" applyFont="1" applyFill="1" applyBorder="1" applyAlignment="1">
      <alignment horizontal="center" vertical="center"/>
    </xf>
    <xf numFmtId="164" fontId="16" fillId="4" borderId="0" xfId="0" applyNumberFormat="1" applyFont="1" applyFill="1"/>
    <xf numFmtId="170" fontId="16" fillId="4" borderId="0" xfId="0" applyNumberFormat="1" applyFont="1" applyFill="1"/>
    <xf numFmtId="170" fontId="6" fillId="4" borderId="26" xfId="0" applyNumberFormat="1" applyFont="1" applyFill="1" applyBorder="1" applyAlignment="1">
      <alignment horizontal="left"/>
    </xf>
    <xf numFmtId="170" fontId="6" fillId="4" borderId="65" xfId="0" applyNumberFormat="1" applyFont="1" applyFill="1" applyBorder="1" applyAlignment="1">
      <alignment horizontal="left"/>
    </xf>
    <xf numFmtId="170" fontId="5" fillId="4" borderId="26" xfId="0" applyNumberFormat="1" applyFont="1" applyFill="1" applyBorder="1" applyAlignment="1">
      <alignment horizontal="left"/>
    </xf>
    <xf numFmtId="170" fontId="5" fillId="4" borderId="65" xfId="0" applyNumberFormat="1" applyFont="1" applyFill="1" applyBorder="1" applyAlignment="1">
      <alignment horizontal="left"/>
    </xf>
    <xf numFmtId="170" fontId="5" fillId="4" borderId="5" xfId="0" applyNumberFormat="1" applyFont="1" applyFill="1" applyBorder="1" applyAlignment="1">
      <alignment horizontal="left"/>
    </xf>
    <xf numFmtId="170" fontId="6" fillId="4" borderId="5" xfId="0" applyNumberFormat="1" applyFont="1" applyFill="1" applyBorder="1" applyAlignment="1">
      <alignment horizontal="left"/>
    </xf>
    <xf numFmtId="179" fontId="6" fillId="4" borderId="7" xfId="0" applyNumberFormat="1" applyFont="1" applyFill="1" applyBorder="1"/>
    <xf numFmtId="170" fontId="6" fillId="4" borderId="7" xfId="0" applyNumberFormat="1" applyFont="1" applyFill="1" applyBorder="1"/>
    <xf numFmtId="170" fontId="6" fillId="4" borderId="8" xfId="0" applyNumberFormat="1" applyFont="1" applyFill="1" applyBorder="1"/>
    <xf numFmtId="0" fontId="2" fillId="0" borderId="10" xfId="0" applyFont="1" applyBorder="1" applyAlignment="1">
      <alignment horizontal="center"/>
    </xf>
    <xf numFmtId="0" fontId="2" fillId="0" borderId="10" xfId="0" applyFont="1" applyBorder="1"/>
    <xf numFmtId="0" fontId="6" fillId="4" borderId="4" xfId="0" applyFont="1" applyFill="1" applyBorder="1" applyAlignment="1">
      <alignment horizontal="right" indent="1"/>
    </xf>
    <xf numFmtId="168" fontId="6" fillId="0" borderId="72" xfId="0" applyNumberFormat="1" applyFont="1" applyBorder="1"/>
    <xf numFmtId="168" fontId="6" fillId="19" borderId="27" xfId="0" applyNumberFormat="1" applyFont="1" applyFill="1" applyBorder="1"/>
    <xf numFmtId="168" fontId="6" fillId="19" borderId="73" xfId="0" applyNumberFormat="1" applyFont="1" applyFill="1" applyBorder="1"/>
    <xf numFmtId="170" fontId="6" fillId="19" borderId="14" xfId="0" applyNumberFormat="1" applyFont="1" applyFill="1" applyBorder="1"/>
    <xf numFmtId="168" fontId="6" fillId="4" borderId="25" xfId="0" applyNumberFormat="1" applyFont="1" applyFill="1" applyBorder="1"/>
    <xf numFmtId="168" fontId="6" fillId="0" borderId="74" xfId="0" applyNumberFormat="1" applyFont="1" applyBorder="1"/>
    <xf numFmtId="0" fontId="6" fillId="4" borderId="0" xfId="0" applyFont="1" applyFill="1" applyAlignment="1">
      <alignment horizontal="center" wrapText="1"/>
    </xf>
    <xf numFmtId="0" fontId="5" fillId="4" borderId="4" xfId="0" applyFont="1" applyFill="1" applyBorder="1" applyAlignment="1">
      <alignment horizontal="right" wrapText="1"/>
    </xf>
    <xf numFmtId="171" fontId="6" fillId="4" borderId="0" xfId="0" applyNumberFormat="1" applyFont="1" applyFill="1"/>
    <xf numFmtId="0" fontId="6" fillId="4" borderId="4" xfId="0" applyFont="1" applyFill="1" applyBorder="1" applyAlignment="1">
      <alignment horizontal="right" wrapText="1"/>
    </xf>
    <xf numFmtId="0" fontId="6" fillId="4" borderId="0" xfId="0" applyFont="1" applyFill="1" applyAlignment="1">
      <alignment vertical="top" wrapText="1"/>
    </xf>
    <xf numFmtId="168" fontId="6" fillId="19" borderId="14" xfId="0" applyNumberFormat="1" applyFont="1" applyFill="1" applyBorder="1" applyAlignment="1">
      <alignment horizontal="center" wrapText="1"/>
    </xf>
    <xf numFmtId="0" fontId="18" fillId="4" borderId="4" xfId="0" applyFont="1" applyFill="1" applyBorder="1" applyAlignment="1">
      <alignment horizontal="right"/>
    </xf>
    <xf numFmtId="171" fontId="6" fillId="12" borderId="75" xfId="0" applyNumberFormat="1" applyFont="1" applyFill="1" applyBorder="1"/>
    <xf numFmtId="0" fontId="5" fillId="4" borderId="4" xfId="0" applyFont="1" applyFill="1" applyBorder="1" applyAlignment="1">
      <alignment horizontal="right" vertical="top"/>
    </xf>
    <xf numFmtId="0" fontId="5" fillId="5" borderId="12" xfId="0" applyFont="1" applyFill="1" applyBorder="1" applyAlignment="1">
      <alignment horizontal="center"/>
    </xf>
    <xf numFmtId="0" fontId="20" fillId="4" borderId="38" xfId="0" applyFont="1" applyFill="1" applyBorder="1" applyAlignment="1">
      <alignment horizontal="center" wrapText="1"/>
    </xf>
    <xf numFmtId="0" fontId="20" fillId="4" borderId="43" xfId="0" applyFont="1" applyFill="1" applyBorder="1" applyAlignment="1">
      <alignment horizontal="center" wrapText="1"/>
    </xf>
    <xf numFmtId="0" fontId="20" fillId="4" borderId="40" xfId="0" applyFont="1" applyFill="1" applyBorder="1" applyAlignment="1">
      <alignment horizontal="center" wrapText="1"/>
    </xf>
    <xf numFmtId="0" fontId="20" fillId="4" borderId="27" xfId="0" applyFont="1" applyFill="1" applyBorder="1" applyAlignment="1">
      <alignment horizontal="center" wrapText="1"/>
    </xf>
    <xf numFmtId="0" fontId="20" fillId="4" borderId="41" xfId="0" applyFont="1" applyFill="1" applyBorder="1" applyAlignment="1">
      <alignment horizontal="center" wrapText="1"/>
    </xf>
    <xf numFmtId="0" fontId="15" fillId="4" borderId="38" xfId="0" applyFont="1" applyFill="1" applyBorder="1" applyAlignment="1">
      <alignment horizontal="left"/>
    </xf>
    <xf numFmtId="0" fontId="15" fillId="21" borderId="14" xfId="0" applyFont="1" applyFill="1" applyBorder="1"/>
    <xf numFmtId="168" fontId="15" fillId="0" borderId="14" xfId="0" applyNumberFormat="1" applyFont="1" applyBorder="1"/>
    <xf numFmtId="170" fontId="15" fillId="0" borderId="14" xfId="0" applyNumberFormat="1" applyFont="1" applyBorder="1" applyAlignment="1">
      <alignment horizontal="center"/>
    </xf>
    <xf numFmtId="168" fontId="15" fillId="4" borderId="14" xfId="0" applyNumberFormat="1" applyFont="1" applyFill="1" applyBorder="1"/>
    <xf numFmtId="168" fontId="15" fillId="4" borderId="22" xfId="0" applyNumberFormat="1" applyFont="1" applyFill="1" applyBorder="1"/>
    <xf numFmtId="0" fontId="15" fillId="10" borderId="27" xfId="0" applyFont="1" applyFill="1" applyBorder="1"/>
    <xf numFmtId="0" fontId="15" fillId="4" borderId="13" xfId="0" applyFont="1" applyFill="1" applyBorder="1" applyAlignment="1">
      <alignment horizontal="left"/>
    </xf>
    <xf numFmtId="0" fontId="20" fillId="4" borderId="52" xfId="0" applyFont="1" applyFill="1" applyBorder="1" applyAlignment="1">
      <alignment horizontal="center"/>
    </xf>
    <xf numFmtId="0" fontId="15" fillId="4" borderId="29" xfId="0" applyFont="1" applyFill="1" applyBorder="1"/>
    <xf numFmtId="168" fontId="3" fillId="4" borderId="14" xfId="0" applyNumberFormat="1" applyFont="1" applyFill="1" applyBorder="1" applyAlignment="1">
      <alignment horizontal="right" wrapText="1"/>
    </xf>
    <xf numFmtId="0" fontId="21" fillId="4" borderId="25" xfId="0" applyFont="1" applyFill="1" applyBorder="1" applyAlignment="1">
      <alignment horizontal="right" wrapText="1"/>
    </xf>
    <xf numFmtId="168" fontId="3" fillId="0" borderId="14" xfId="0" applyNumberFormat="1" applyFont="1" applyBorder="1" applyAlignment="1">
      <alignment horizontal="right" wrapText="1"/>
    </xf>
    <xf numFmtId="168" fontId="3" fillId="4" borderId="22" xfId="0" applyNumberFormat="1" applyFont="1" applyFill="1" applyBorder="1" applyAlignment="1">
      <alignment horizontal="right" wrapText="1"/>
    </xf>
    <xf numFmtId="0" fontId="15" fillId="4" borderId="4" xfId="0" applyFont="1" applyFill="1" applyBorder="1"/>
    <xf numFmtId="0" fontId="15" fillId="4" borderId="0" xfId="0" applyFont="1" applyFill="1"/>
    <xf numFmtId="0" fontId="15" fillId="4" borderId="0" xfId="0" applyFont="1" applyFill="1" applyAlignment="1">
      <alignment horizontal="left" wrapText="1"/>
    </xf>
    <xf numFmtId="0" fontId="21" fillId="4" borderId="5" xfId="0" applyFont="1" applyFill="1" applyBorder="1" applyAlignment="1">
      <alignment wrapText="1"/>
    </xf>
    <xf numFmtId="0" fontId="15" fillId="4" borderId="4" xfId="0" applyFont="1" applyFill="1" applyBorder="1" applyAlignment="1">
      <alignment horizontal="right"/>
    </xf>
    <xf numFmtId="168" fontId="15" fillId="0" borderId="14" xfId="0" applyNumberFormat="1" applyFont="1" applyBorder="1" applyAlignment="1">
      <alignment horizontal="left" vertical="center" wrapText="1"/>
    </xf>
    <xf numFmtId="170" fontId="15" fillId="0" borderId="14" xfId="0" applyNumberFormat="1" applyFont="1" applyBorder="1" applyAlignment="1">
      <alignment horizontal="center" wrapText="1"/>
    </xf>
    <xf numFmtId="170" fontId="15" fillId="0" borderId="22" xfId="0" applyNumberFormat="1" applyFont="1" applyBorder="1" applyAlignment="1">
      <alignment horizontal="center" wrapText="1"/>
    </xf>
    <xf numFmtId="168" fontId="15" fillId="0" borderId="14" xfId="0" applyNumberFormat="1" applyFont="1" applyBorder="1" applyAlignment="1">
      <alignment horizontal="left" vertical="center"/>
    </xf>
    <xf numFmtId="170" fontId="6" fillId="0" borderId="14" xfId="0" applyNumberFormat="1" applyFont="1" applyBorder="1" applyAlignment="1">
      <alignment horizontal="center" vertical="center"/>
    </xf>
    <xf numFmtId="168" fontId="15" fillId="0" borderId="14" xfId="0" applyNumberFormat="1" applyFont="1" applyBorder="1" applyAlignment="1">
      <alignment horizontal="left" wrapText="1"/>
    </xf>
    <xf numFmtId="168" fontId="15" fillId="4" borderId="0" xfId="0" applyNumberFormat="1" applyFont="1" applyFill="1" applyAlignment="1">
      <alignment horizontal="right" wrapText="1"/>
    </xf>
    <xf numFmtId="0" fontId="21" fillId="4" borderId="0" xfId="0" applyFont="1" applyFill="1" applyAlignment="1">
      <alignment wrapText="1"/>
    </xf>
    <xf numFmtId="170" fontId="15" fillId="4" borderId="0" xfId="0" applyNumberFormat="1" applyFont="1" applyFill="1" applyAlignment="1">
      <alignment horizontal="right" wrapText="1"/>
    </xf>
    <xf numFmtId="0" fontId="15" fillId="4" borderId="6" xfId="0" applyFont="1" applyFill="1" applyBorder="1"/>
    <xf numFmtId="0" fontId="15" fillId="4" borderId="7" xfId="0" applyFont="1" applyFill="1" applyBorder="1"/>
    <xf numFmtId="0" fontId="15" fillId="4" borderId="7" xfId="0" applyFont="1" applyFill="1" applyBorder="1" applyAlignment="1">
      <alignment horizontal="left" wrapText="1"/>
    </xf>
    <xf numFmtId="0" fontId="21" fillId="4" borderId="7" xfId="0" applyFont="1" applyFill="1" applyBorder="1" applyAlignment="1">
      <alignment wrapText="1"/>
    </xf>
    <xf numFmtId="0" fontId="21" fillId="4" borderId="8" xfId="0" applyFont="1" applyFill="1" applyBorder="1" applyAlignment="1">
      <alignment wrapText="1"/>
    </xf>
    <xf numFmtId="0" fontId="22" fillId="0" borderId="0" xfId="0" applyFont="1"/>
    <xf numFmtId="0" fontId="24" fillId="4" borderId="75" xfId="0" applyFont="1" applyFill="1" applyBorder="1" applyAlignment="1">
      <alignment horizontal="center" vertical="top" wrapText="1"/>
    </xf>
    <xf numFmtId="0" fontId="14" fillId="4" borderId="36" xfId="0" applyFont="1" applyFill="1" applyBorder="1" applyAlignment="1">
      <alignment horizontal="center" vertical="top" wrapText="1"/>
    </xf>
    <xf numFmtId="0" fontId="14" fillId="4" borderId="78" xfId="0" applyFont="1" applyFill="1" applyBorder="1" applyAlignment="1">
      <alignment horizontal="center" vertical="top" wrapText="1"/>
    </xf>
    <xf numFmtId="0" fontId="25" fillId="22" borderId="12" xfId="0" applyFont="1" applyFill="1" applyBorder="1" applyAlignment="1">
      <alignment horizontal="center" vertical="center"/>
    </xf>
    <xf numFmtId="0" fontId="26" fillId="0" borderId="11" xfId="0" applyFont="1" applyBorder="1" applyAlignment="1">
      <alignment horizontal="center" vertical="center" wrapText="1"/>
    </xf>
    <xf numFmtId="0" fontId="26" fillId="0" borderId="12" xfId="0" applyFont="1" applyBorder="1" applyAlignment="1">
      <alignment horizontal="center" vertical="center" wrapText="1"/>
    </xf>
    <xf numFmtId="0" fontId="27" fillId="19" borderId="79" xfId="0" applyFont="1" applyFill="1" applyBorder="1" applyAlignment="1">
      <alignment horizontal="center" vertical="center" wrapText="1"/>
    </xf>
    <xf numFmtId="0" fontId="28" fillId="19" borderId="39" xfId="0" applyFont="1" applyFill="1" applyBorder="1" applyAlignment="1">
      <alignment vertical="top" wrapText="1"/>
    </xf>
    <xf numFmtId="0" fontId="28" fillId="19" borderId="27" xfId="0" applyFont="1" applyFill="1" applyBorder="1" applyAlignment="1">
      <alignment vertical="top" wrapText="1"/>
    </xf>
    <xf numFmtId="0" fontId="28" fillId="19" borderId="41" xfId="0" applyFont="1" applyFill="1" applyBorder="1" applyAlignment="1">
      <alignment vertical="top" wrapText="1"/>
    </xf>
    <xf numFmtId="0" fontId="22" fillId="6" borderId="0" xfId="0" applyFont="1" applyFill="1" applyAlignment="1">
      <alignment horizontal="right"/>
    </xf>
    <xf numFmtId="0" fontId="27" fillId="19" borderId="58" xfId="0" applyFont="1" applyFill="1" applyBorder="1" applyAlignment="1">
      <alignment horizontal="center" vertical="center" wrapText="1"/>
    </xf>
    <xf numFmtId="0" fontId="28" fillId="19" borderId="16" xfId="0" applyFont="1" applyFill="1" applyBorder="1" applyAlignment="1">
      <alignment vertical="top" wrapText="1"/>
    </xf>
    <xf numFmtId="0" fontId="28" fillId="19" borderId="14" xfId="0" applyFont="1" applyFill="1" applyBorder="1" applyAlignment="1">
      <alignment vertical="top" wrapText="1"/>
    </xf>
    <xf numFmtId="0" fontId="28" fillId="19" borderId="22" xfId="0" applyFont="1" applyFill="1" applyBorder="1" applyAlignment="1">
      <alignment vertical="top" wrapText="1"/>
    </xf>
    <xf numFmtId="184" fontId="22" fillId="6" borderId="0" xfId="0" applyNumberFormat="1" applyFont="1" applyFill="1" applyAlignment="1">
      <alignment vertical="top"/>
    </xf>
    <xf numFmtId="179" fontId="22" fillId="6" borderId="0" xfId="0" applyNumberFormat="1" applyFont="1" applyFill="1" applyAlignment="1">
      <alignment vertical="top"/>
    </xf>
    <xf numFmtId="0" fontId="28" fillId="0" borderId="0" xfId="0" applyFont="1" applyAlignment="1">
      <alignment vertical="top" wrapText="1"/>
    </xf>
    <xf numFmtId="0" fontId="27" fillId="19" borderId="59" xfId="0" applyFont="1" applyFill="1" applyBorder="1" applyAlignment="1">
      <alignment horizontal="center" vertical="center" wrapText="1"/>
    </xf>
    <xf numFmtId="0" fontId="28" fillId="19" borderId="46" xfId="0" applyFont="1" applyFill="1" applyBorder="1" applyAlignment="1">
      <alignment vertical="top" wrapText="1"/>
    </xf>
    <xf numFmtId="0" fontId="28" fillId="19" borderId="57" xfId="0" applyFont="1" applyFill="1" applyBorder="1" applyAlignment="1">
      <alignment vertical="top" wrapText="1"/>
    </xf>
    <xf numFmtId="0" fontId="28" fillId="19" borderId="55" xfId="0" applyFont="1" applyFill="1" applyBorder="1" applyAlignment="1">
      <alignment vertical="top" wrapText="1"/>
    </xf>
    <xf numFmtId="0" fontId="30" fillId="6" borderId="24" xfId="0" applyFont="1" applyFill="1" applyBorder="1"/>
    <xf numFmtId="172" fontId="30" fillId="6" borderId="81" xfId="0" applyNumberFormat="1" applyFont="1" applyFill="1" applyBorder="1"/>
    <xf numFmtId="172" fontId="30" fillId="6" borderId="82" xfId="0" applyNumberFormat="1" applyFont="1" applyFill="1" applyBorder="1"/>
    <xf numFmtId="172" fontId="30" fillId="18" borderId="82" xfId="0" applyNumberFormat="1" applyFont="1" applyFill="1" applyBorder="1"/>
    <xf numFmtId="0" fontId="30" fillId="6" borderId="83" xfId="0" applyFont="1" applyFill="1" applyBorder="1"/>
    <xf numFmtId="172" fontId="30" fillId="18" borderId="84" xfId="0" applyNumberFormat="1" applyFont="1" applyFill="1" applyBorder="1"/>
    <xf numFmtId="0" fontId="28" fillId="4" borderId="80" xfId="0" applyFont="1" applyFill="1" applyBorder="1" applyAlignment="1">
      <alignment vertical="top"/>
    </xf>
    <xf numFmtId="0" fontId="33" fillId="4" borderId="50" xfId="0" applyFont="1" applyFill="1" applyBorder="1" applyAlignment="1">
      <alignment horizontal="center" vertical="top" wrapText="1"/>
    </xf>
    <xf numFmtId="0" fontId="33" fillId="4" borderId="50" xfId="0" applyFont="1" applyFill="1" applyBorder="1" applyAlignment="1">
      <alignment horizontal="center" vertical="top"/>
    </xf>
    <xf numFmtId="0" fontId="33" fillId="4" borderId="85" xfId="0" applyFont="1" applyFill="1" applyBorder="1" applyAlignment="1">
      <alignment horizontal="center" vertical="top"/>
    </xf>
    <xf numFmtId="0" fontId="28" fillId="0" borderId="18" xfId="0" applyFont="1" applyBorder="1" applyAlignment="1">
      <alignment vertical="top"/>
    </xf>
    <xf numFmtId="168" fontId="28" fillId="0" borderId="14" xfId="0" applyNumberFormat="1" applyFont="1" applyBorder="1" applyAlignment="1">
      <alignment vertical="top"/>
    </xf>
    <xf numFmtId="168" fontId="28" fillId="0" borderId="22" xfId="0" applyNumberFormat="1" applyFont="1" applyBorder="1" applyAlignment="1">
      <alignment vertical="top"/>
    </xf>
    <xf numFmtId="0" fontId="33" fillId="4" borderId="18" xfId="0" applyFont="1" applyFill="1" applyBorder="1" applyAlignment="1">
      <alignment horizontal="right" vertical="top"/>
    </xf>
    <xf numFmtId="171" fontId="33" fillId="4" borderId="14" xfId="0" applyNumberFormat="1" applyFont="1" applyFill="1" applyBorder="1" applyAlignment="1">
      <alignment vertical="top"/>
    </xf>
    <xf numFmtId="171" fontId="33" fillId="4" borderId="22" xfId="0" applyNumberFormat="1" applyFont="1" applyFill="1" applyBorder="1"/>
    <xf numFmtId="0" fontId="33" fillId="4" borderId="44" xfId="0" applyFont="1" applyFill="1" applyBorder="1" applyAlignment="1">
      <alignment vertical="top"/>
    </xf>
    <xf numFmtId="166" fontId="33" fillId="4" borderId="57" xfId="0" applyNumberFormat="1" applyFont="1" applyFill="1" applyBorder="1" applyAlignment="1">
      <alignment vertical="top"/>
    </xf>
    <xf numFmtId="166" fontId="33" fillId="4" borderId="55" xfId="0" applyNumberFormat="1" applyFont="1" applyFill="1" applyBorder="1" applyAlignment="1">
      <alignment vertical="top"/>
    </xf>
    <xf numFmtId="0" fontId="28" fillId="0" borderId="80" xfId="0" applyFont="1" applyBorder="1" applyAlignment="1">
      <alignment vertical="top"/>
    </xf>
    <xf numFmtId="168" fontId="28" fillId="0" borderId="50" xfId="0" applyNumberFormat="1" applyFont="1" applyBorder="1" applyAlignment="1">
      <alignment vertical="top"/>
    </xf>
    <xf numFmtId="169" fontId="28" fillId="0" borderId="50" xfId="0" applyNumberFormat="1" applyFont="1" applyBorder="1" applyAlignment="1">
      <alignment horizontal="center" vertical="top"/>
    </xf>
    <xf numFmtId="168" fontId="28" fillId="0" borderId="85" xfId="0" applyNumberFormat="1" applyFont="1" applyBorder="1" applyAlignment="1">
      <alignment vertical="top"/>
    </xf>
    <xf numFmtId="0" fontId="28" fillId="0" borderId="14" xfId="0" applyFont="1" applyBorder="1" applyAlignment="1">
      <alignment horizontal="center" vertical="top"/>
    </xf>
    <xf numFmtId="168" fontId="33" fillId="4" borderId="48" xfId="0" applyNumberFormat="1" applyFont="1" applyFill="1" applyBorder="1" applyAlignment="1">
      <alignment vertical="top"/>
    </xf>
    <xf numFmtId="0" fontId="30" fillId="4" borderId="86" xfId="0" applyFont="1" applyFill="1" applyBorder="1"/>
    <xf numFmtId="0" fontId="30" fillId="4" borderId="50" xfId="0" applyFont="1" applyFill="1" applyBorder="1" applyAlignment="1">
      <alignment horizontal="center"/>
    </xf>
    <xf numFmtId="0" fontId="30" fillId="4" borderId="51" xfId="0" applyFont="1" applyFill="1" applyBorder="1" applyAlignment="1">
      <alignment horizontal="center"/>
    </xf>
    <xf numFmtId="0" fontId="30" fillId="4" borderId="85" xfId="0" applyFont="1" applyFill="1" applyBorder="1" applyAlignment="1">
      <alignment horizontal="center"/>
    </xf>
    <xf numFmtId="168" fontId="28" fillId="0" borderId="14" xfId="0" applyNumberFormat="1" applyFont="1" applyBorder="1" applyAlignment="1">
      <alignment horizontal="right" vertical="top"/>
    </xf>
    <xf numFmtId="168" fontId="28" fillId="0" borderId="22" xfId="0" applyNumberFormat="1" applyFont="1" applyBorder="1" applyAlignment="1">
      <alignment horizontal="right" vertical="top"/>
    </xf>
    <xf numFmtId="165" fontId="28" fillId="0" borderId="14" xfId="0" applyNumberFormat="1" applyFont="1" applyBorder="1" applyAlignment="1">
      <alignment horizontal="right" vertical="top"/>
    </xf>
    <xf numFmtId="165" fontId="28" fillId="0" borderId="22" xfId="0" applyNumberFormat="1" applyFont="1" applyBorder="1" applyAlignment="1">
      <alignment horizontal="right" vertical="top"/>
    </xf>
    <xf numFmtId="0" fontId="28" fillId="0" borderId="14" xfId="0" applyFont="1" applyBorder="1" applyAlignment="1">
      <alignment horizontal="right" vertical="top"/>
    </xf>
    <xf numFmtId="0" fontId="28" fillId="0" borderId="22" xfId="0" applyFont="1" applyBorder="1" applyAlignment="1">
      <alignment horizontal="right" vertical="top"/>
    </xf>
    <xf numFmtId="0" fontId="28" fillId="0" borderId="44" xfId="0" applyFont="1" applyBorder="1" applyAlignment="1">
      <alignment vertical="top"/>
    </xf>
    <xf numFmtId="172" fontId="28" fillId="0" borderId="57" xfId="0" applyNumberFormat="1" applyFont="1" applyBorder="1" applyAlignment="1">
      <alignment horizontal="right" vertical="top"/>
    </xf>
    <xf numFmtId="172" fontId="28" fillId="0" borderId="55" xfId="0" applyNumberFormat="1" applyFont="1" applyBorder="1" applyAlignment="1">
      <alignment horizontal="right" vertical="top"/>
    </xf>
    <xf numFmtId="169" fontId="2" fillId="6" borderId="0" xfId="0" applyNumberFormat="1" applyFont="1" applyFill="1"/>
    <xf numFmtId="0" fontId="31" fillId="23" borderId="1" xfId="0" applyFont="1" applyFill="1" applyBorder="1" applyAlignment="1">
      <alignment vertical="top"/>
    </xf>
    <xf numFmtId="0" fontId="31" fillId="23" borderId="2" xfId="0" applyFont="1" applyFill="1" applyBorder="1" applyAlignment="1">
      <alignment vertical="top"/>
    </xf>
    <xf numFmtId="0" fontId="31" fillId="23" borderId="3" xfId="0" applyFont="1" applyFill="1" applyBorder="1" applyAlignment="1">
      <alignment vertical="top"/>
    </xf>
    <xf numFmtId="0" fontId="32" fillId="23" borderId="4" xfId="0" applyFont="1" applyFill="1" applyBorder="1" applyAlignment="1">
      <alignment vertical="top"/>
    </xf>
    <xf numFmtId="0" fontId="32" fillId="23" borderId="0" xfId="0" applyFont="1" applyFill="1" applyAlignment="1">
      <alignment vertical="top"/>
    </xf>
    <xf numFmtId="0" fontId="32" fillId="23" borderId="5" xfId="0" applyFont="1" applyFill="1" applyBorder="1" applyAlignment="1">
      <alignment vertical="top"/>
    </xf>
    <xf numFmtId="0" fontId="30" fillId="6" borderId="38" xfId="0" applyFont="1" applyFill="1" applyBorder="1"/>
    <xf numFmtId="175" fontId="28" fillId="0" borderId="22" xfId="0" applyNumberFormat="1" applyFont="1" applyBorder="1" applyAlignment="1">
      <alignment vertical="top"/>
    </xf>
    <xf numFmtId="165" fontId="28" fillId="0" borderId="22" xfId="0" applyNumberFormat="1" applyFont="1" applyBorder="1" applyAlignment="1">
      <alignment vertical="top"/>
    </xf>
    <xf numFmtId="0" fontId="30" fillId="6" borderId="13" xfId="0" applyFont="1" applyFill="1" applyBorder="1"/>
    <xf numFmtId="0" fontId="30" fillId="4" borderId="87" xfId="0" applyFont="1" applyFill="1" applyBorder="1"/>
    <xf numFmtId="168" fontId="28" fillId="4" borderId="57" xfId="0" applyNumberFormat="1" applyFont="1" applyFill="1" applyBorder="1"/>
    <xf numFmtId="175" fontId="28" fillId="4" borderId="55" xfId="0" applyNumberFormat="1" applyFont="1" applyFill="1" applyBorder="1" applyAlignment="1">
      <alignment vertical="top"/>
    </xf>
    <xf numFmtId="165" fontId="28" fillId="4" borderId="55" xfId="0" applyNumberFormat="1" applyFont="1" applyFill="1" applyBorder="1" applyAlignment="1">
      <alignment vertical="top"/>
    </xf>
    <xf numFmtId="0" fontId="34" fillId="4" borderId="50" xfId="0" applyFont="1" applyFill="1" applyBorder="1" applyAlignment="1">
      <alignment horizontal="center" wrapText="1"/>
    </xf>
    <xf numFmtId="0" fontId="34" fillId="4" borderId="85" xfId="0" applyFont="1" applyFill="1" applyBorder="1" applyAlignment="1">
      <alignment horizontal="center" wrapText="1"/>
    </xf>
    <xf numFmtId="168" fontId="30" fillId="0" borderId="14" xfId="0" applyNumberFormat="1" applyFont="1" applyBorder="1"/>
    <xf numFmtId="170" fontId="30" fillId="0" borderId="14" xfId="0" applyNumberFormat="1" applyFont="1" applyBorder="1" applyAlignment="1">
      <alignment horizontal="center"/>
    </xf>
    <xf numFmtId="168" fontId="30" fillId="4" borderId="14" xfId="0" applyNumberFormat="1" applyFont="1" applyFill="1" applyBorder="1"/>
    <xf numFmtId="168" fontId="30" fillId="4" borderId="22" xfId="0" applyNumberFormat="1" applyFont="1" applyFill="1" applyBorder="1"/>
    <xf numFmtId="168" fontId="7" fillId="4" borderId="14" xfId="0" applyNumberFormat="1" applyFont="1" applyFill="1" applyBorder="1" applyAlignment="1">
      <alignment horizontal="right" wrapText="1"/>
    </xf>
    <xf numFmtId="0" fontId="35" fillId="4" borderId="25" xfId="0" applyFont="1" applyFill="1" applyBorder="1" applyAlignment="1">
      <alignment horizontal="right" wrapText="1"/>
    </xf>
    <xf numFmtId="168" fontId="7" fillId="0" borderId="14" xfId="0" applyNumberFormat="1" applyFont="1" applyBorder="1" applyAlignment="1">
      <alignment horizontal="right" wrapText="1"/>
    </xf>
    <xf numFmtId="168" fontId="7" fillId="4" borderId="22" xfId="0" applyNumberFormat="1" applyFont="1" applyFill="1" applyBorder="1" applyAlignment="1">
      <alignment horizontal="right" wrapText="1"/>
    </xf>
    <xf numFmtId="0" fontId="30" fillId="4" borderId="0" xfId="0" applyFont="1" applyFill="1" applyAlignment="1">
      <alignment horizontal="left" wrapText="1"/>
    </xf>
    <xf numFmtId="0" fontId="35" fillId="4" borderId="5" xfId="0" applyFont="1" applyFill="1" applyBorder="1" applyAlignment="1">
      <alignment wrapText="1"/>
    </xf>
    <xf numFmtId="0" fontId="30" fillId="4" borderId="4" xfId="0" applyFont="1" applyFill="1" applyBorder="1" applyAlignment="1">
      <alignment horizontal="right"/>
    </xf>
    <xf numFmtId="170" fontId="30" fillId="0" borderId="14" xfId="0" applyNumberFormat="1" applyFont="1" applyBorder="1" applyAlignment="1">
      <alignment horizontal="center" wrapText="1"/>
    </xf>
    <xf numFmtId="170" fontId="30" fillId="0" borderId="22" xfId="0" applyNumberFormat="1" applyFont="1" applyBorder="1" applyAlignment="1">
      <alignment horizontal="center" wrapText="1"/>
    </xf>
    <xf numFmtId="170" fontId="30" fillId="0" borderId="57" xfId="0" applyNumberFormat="1" applyFont="1" applyBorder="1" applyAlignment="1">
      <alignment horizontal="center" wrapText="1"/>
    </xf>
    <xf numFmtId="170" fontId="30" fillId="0" borderId="55" xfId="0" applyNumberFormat="1" applyFont="1" applyBorder="1" applyAlignment="1">
      <alignment horizontal="center" wrapText="1"/>
    </xf>
    <xf numFmtId="0" fontId="30" fillId="6" borderId="90" xfId="0" applyFont="1" applyFill="1" applyBorder="1"/>
    <xf numFmtId="172" fontId="30" fillId="6" borderId="91" xfId="0" applyNumberFormat="1" applyFont="1" applyFill="1" applyBorder="1"/>
    <xf numFmtId="172" fontId="30" fillId="6" borderId="92" xfId="0" applyNumberFormat="1" applyFont="1" applyFill="1" applyBorder="1"/>
    <xf numFmtId="172" fontId="30" fillId="6" borderId="93" xfId="0" applyNumberFormat="1" applyFont="1" applyFill="1" applyBorder="1"/>
    <xf numFmtId="0" fontId="30" fillId="2" borderId="24" xfId="0" applyFont="1" applyFill="1" applyBorder="1"/>
    <xf numFmtId="172" fontId="30" fillId="2" borderId="5" xfId="0" applyNumberFormat="1" applyFont="1" applyFill="1" applyBorder="1"/>
    <xf numFmtId="0" fontId="30" fillId="6" borderId="87" xfId="0" applyFont="1" applyFill="1" applyBorder="1"/>
    <xf numFmtId="172" fontId="30" fillId="6" borderId="48" xfId="0" applyNumberFormat="1" applyFont="1" applyFill="1" applyBorder="1"/>
    <xf numFmtId="0" fontId="30" fillId="4" borderId="4" xfId="0" applyFont="1" applyFill="1" applyBorder="1"/>
    <xf numFmtId="0" fontId="30" fillId="4" borderId="0" xfId="0" applyFont="1" applyFill="1"/>
    <xf numFmtId="0" fontId="30" fillId="4" borderId="5" xfId="0" applyFont="1" applyFill="1" applyBorder="1"/>
    <xf numFmtId="0" fontId="30" fillId="22" borderId="52" xfId="0" applyFont="1" applyFill="1" applyBorder="1"/>
    <xf numFmtId="0" fontId="30" fillId="22" borderId="78" xfId="0" applyFont="1" applyFill="1" applyBorder="1"/>
    <xf numFmtId="182" fontId="30" fillId="0" borderId="14" xfId="0" applyNumberFormat="1" applyFont="1" applyBorder="1" applyAlignment="1">
      <alignment horizontal="center"/>
    </xf>
    <xf numFmtId="182" fontId="30" fillId="0" borderId="22" xfId="0" applyNumberFormat="1" applyFont="1" applyBorder="1" applyAlignment="1">
      <alignment horizontal="center"/>
    </xf>
    <xf numFmtId="182" fontId="30" fillId="0" borderId="13" xfId="0" applyNumberFormat="1" applyFont="1" applyBorder="1" applyAlignment="1">
      <alignment horizontal="center"/>
    </xf>
    <xf numFmtId="0" fontId="7" fillId="4" borderId="4" xfId="0" applyFont="1" applyFill="1" applyBorder="1"/>
    <xf numFmtId="0" fontId="36" fillId="4" borderId="0" xfId="0" applyFont="1" applyFill="1"/>
    <xf numFmtId="168" fontId="36" fillId="4" borderId="5" xfId="0" applyNumberFormat="1" applyFont="1" applyFill="1" applyBorder="1"/>
    <xf numFmtId="168" fontId="36" fillId="22" borderId="52" xfId="0" applyNumberFormat="1" applyFont="1" applyFill="1" applyBorder="1"/>
    <xf numFmtId="168" fontId="36" fillId="22" borderId="78" xfId="0" applyNumberFormat="1" applyFont="1" applyFill="1" applyBorder="1"/>
    <xf numFmtId="168" fontId="30" fillId="0" borderId="64" xfId="0" applyNumberFormat="1" applyFont="1" applyBorder="1"/>
    <xf numFmtId="168" fontId="30" fillId="0" borderId="94" xfId="0" applyNumberFormat="1" applyFont="1" applyBorder="1"/>
    <xf numFmtId="168" fontId="30" fillId="0" borderId="95" xfId="0" applyNumberFormat="1" applyFont="1" applyBorder="1"/>
    <xf numFmtId="168" fontId="30" fillId="0" borderId="66" xfId="0" applyNumberFormat="1" applyFont="1" applyBorder="1"/>
    <xf numFmtId="168" fontId="30" fillId="0" borderId="93" xfId="0" applyNumberFormat="1" applyFont="1" applyBorder="1"/>
    <xf numFmtId="168" fontId="30" fillId="0" borderId="96" xfId="0" applyNumberFormat="1" applyFont="1" applyBorder="1"/>
    <xf numFmtId="168" fontId="30" fillId="19" borderId="14" xfId="0" applyNumberFormat="1" applyFont="1" applyFill="1" applyBorder="1"/>
    <xf numFmtId="168" fontId="30" fillId="19" borderId="22" xfId="0" applyNumberFormat="1" applyFont="1" applyFill="1" applyBorder="1"/>
    <xf numFmtId="168" fontId="30" fillId="19" borderId="13" xfId="0" applyNumberFormat="1" applyFont="1" applyFill="1" applyBorder="1"/>
    <xf numFmtId="168" fontId="30" fillId="6" borderId="14" xfId="0" applyNumberFormat="1" applyFont="1" applyFill="1" applyBorder="1"/>
    <xf numFmtId="168" fontId="30" fillId="6" borderId="22" xfId="0" applyNumberFormat="1" applyFont="1" applyFill="1" applyBorder="1"/>
    <xf numFmtId="168" fontId="30" fillId="6" borderId="13" xfId="0" applyNumberFormat="1" applyFont="1" applyFill="1" applyBorder="1"/>
    <xf numFmtId="0" fontId="7" fillId="4" borderId="4" xfId="0" applyFont="1" applyFill="1" applyBorder="1" applyAlignment="1">
      <alignment horizontal="right"/>
    </xf>
    <xf numFmtId="168" fontId="7" fillId="19" borderId="14" xfId="0" applyNumberFormat="1" applyFont="1" applyFill="1" applyBorder="1"/>
    <xf numFmtId="168" fontId="7" fillId="19" borderId="22" xfId="0" applyNumberFormat="1" applyFont="1" applyFill="1" applyBorder="1"/>
    <xf numFmtId="168" fontId="7" fillId="19" borderId="13" xfId="0" applyNumberFormat="1" applyFont="1" applyFill="1" applyBorder="1"/>
    <xf numFmtId="179" fontId="30" fillId="4" borderId="0" xfId="0" applyNumberFormat="1" applyFont="1" applyFill="1"/>
    <xf numFmtId="179" fontId="30" fillId="4" borderId="5" xfId="0" applyNumberFormat="1" applyFont="1" applyFill="1" applyBorder="1"/>
    <xf numFmtId="179" fontId="30" fillId="22" borderId="52" xfId="0" applyNumberFormat="1" applyFont="1" applyFill="1" applyBorder="1"/>
    <xf numFmtId="179" fontId="30" fillId="22" borderId="78" xfId="0" applyNumberFormat="1" applyFont="1" applyFill="1" applyBorder="1"/>
    <xf numFmtId="0" fontId="7" fillId="4" borderId="4" xfId="0" applyFont="1" applyFill="1" applyBorder="1" applyAlignment="1">
      <alignment horizontal="right" vertical="center"/>
    </xf>
    <xf numFmtId="0" fontId="30" fillId="22" borderId="4" xfId="0" applyFont="1" applyFill="1" applyBorder="1"/>
    <xf numFmtId="0" fontId="30" fillId="22" borderId="5" xfId="0" applyFont="1" applyFill="1" applyBorder="1"/>
    <xf numFmtId="0" fontId="30" fillId="4" borderId="4" xfId="0" applyFont="1" applyFill="1" applyBorder="1" applyAlignment="1">
      <alignment horizontal="right" vertical="center"/>
    </xf>
    <xf numFmtId="3" fontId="30" fillId="4" borderId="4" xfId="0" applyNumberFormat="1" applyFont="1" applyFill="1" applyBorder="1" applyAlignment="1">
      <alignment horizontal="right" vertical="center"/>
    </xf>
    <xf numFmtId="168" fontId="30" fillId="0" borderId="67" xfId="0" applyNumberFormat="1" applyFont="1" applyBorder="1"/>
    <xf numFmtId="168" fontId="30" fillId="0" borderId="92" xfId="0" applyNumberFormat="1" applyFont="1" applyBorder="1"/>
    <xf numFmtId="168" fontId="30" fillId="0" borderId="97" xfId="0" applyNumberFormat="1" applyFont="1" applyBorder="1"/>
    <xf numFmtId="49" fontId="30" fillId="4" borderId="4" xfId="0" applyNumberFormat="1" applyFont="1" applyFill="1" applyBorder="1" applyAlignment="1">
      <alignment horizontal="right" vertical="center"/>
    </xf>
    <xf numFmtId="168" fontId="30" fillId="12" borderId="14" xfId="0" applyNumberFormat="1" applyFont="1" applyFill="1" applyBorder="1"/>
    <xf numFmtId="168" fontId="30" fillId="12" borderId="22" xfId="0" applyNumberFormat="1" applyFont="1" applyFill="1" applyBorder="1"/>
    <xf numFmtId="168" fontId="30" fillId="12" borderId="13" xfId="0" applyNumberFormat="1" applyFont="1" applyFill="1" applyBorder="1"/>
    <xf numFmtId="3" fontId="30" fillId="4" borderId="0" xfId="0" applyNumberFormat="1" applyFont="1" applyFill="1" applyAlignment="1">
      <alignment horizontal="right" vertical="center"/>
    </xf>
    <xf numFmtId="3" fontId="30" fillId="4" borderId="5" xfId="0" applyNumberFormat="1" applyFont="1" applyFill="1" applyBorder="1" applyAlignment="1">
      <alignment horizontal="right" vertical="center"/>
    </xf>
    <xf numFmtId="3" fontId="30" fillId="22" borderId="52" xfId="0" applyNumberFormat="1" applyFont="1" applyFill="1" applyBorder="1" applyAlignment="1">
      <alignment horizontal="right" vertical="center"/>
    </xf>
    <xf numFmtId="3" fontId="30" fillId="22" borderId="78" xfId="0" applyNumberFormat="1" applyFont="1" applyFill="1" applyBorder="1" applyAlignment="1">
      <alignment horizontal="right" vertical="center"/>
    </xf>
    <xf numFmtId="168" fontId="30" fillId="19" borderId="14" xfId="0" applyNumberFormat="1" applyFont="1" applyFill="1" applyBorder="1" applyAlignment="1">
      <alignment horizontal="right" vertical="center"/>
    </xf>
    <xf numFmtId="168" fontId="30" fillId="19" borderId="22" xfId="0" applyNumberFormat="1" applyFont="1" applyFill="1" applyBorder="1" applyAlignment="1">
      <alignment horizontal="right" vertical="center"/>
    </xf>
    <xf numFmtId="168" fontId="30" fillId="19" borderId="13" xfId="0" applyNumberFormat="1" applyFont="1" applyFill="1" applyBorder="1" applyAlignment="1">
      <alignment horizontal="right" vertical="center"/>
    </xf>
    <xf numFmtId="173" fontId="30" fillId="19" borderId="14" xfId="0" applyNumberFormat="1" applyFont="1" applyFill="1" applyBorder="1"/>
    <xf numFmtId="173" fontId="30" fillId="19" borderId="22" xfId="0" applyNumberFormat="1" applyFont="1" applyFill="1" applyBorder="1"/>
    <xf numFmtId="173" fontId="30" fillId="19" borderId="13" xfId="0" applyNumberFormat="1" applyFont="1" applyFill="1" applyBorder="1"/>
    <xf numFmtId="0" fontId="28" fillId="4" borderId="6" xfId="0" applyFont="1" applyFill="1" applyBorder="1"/>
    <xf numFmtId="0" fontId="28" fillId="4" borderId="7" xfId="0" applyFont="1" applyFill="1" applyBorder="1"/>
    <xf numFmtId="0" fontId="28" fillId="4" borderId="8" xfId="0" applyFont="1" applyFill="1" applyBorder="1"/>
    <xf numFmtId="0" fontId="28" fillId="22" borderId="44" xfId="0" applyFont="1" applyFill="1" applyBorder="1"/>
    <xf numFmtId="0" fontId="28" fillId="22" borderId="48" xfId="0" applyFont="1" applyFill="1" applyBorder="1"/>
    <xf numFmtId="168" fontId="30" fillId="0" borderId="22" xfId="0" applyNumberFormat="1" applyFont="1" applyBorder="1"/>
    <xf numFmtId="0" fontId="28" fillId="6" borderId="0" xfId="0" applyFont="1" applyFill="1"/>
    <xf numFmtId="0" fontId="6" fillId="7" borderId="51" xfId="0" applyFont="1" applyFill="1" applyBorder="1" applyAlignment="1">
      <alignment horizontal="right"/>
    </xf>
    <xf numFmtId="0" fontId="6" fillId="7" borderId="2" xfId="0" applyFont="1" applyFill="1" applyBorder="1"/>
    <xf numFmtId="0" fontId="6" fillId="7" borderId="3" xfId="0" applyFont="1" applyFill="1" applyBorder="1"/>
    <xf numFmtId="0" fontId="7" fillId="4" borderId="5" xfId="0" applyFont="1" applyFill="1" applyBorder="1" applyAlignment="1">
      <alignment horizontal="center" vertical="top"/>
    </xf>
    <xf numFmtId="0" fontId="6" fillId="7" borderId="0" xfId="0" applyFont="1" applyFill="1" applyAlignment="1">
      <alignment horizontal="right"/>
    </xf>
    <xf numFmtId="0" fontId="6" fillId="7" borderId="34" xfId="0" applyFont="1" applyFill="1" applyBorder="1" applyAlignment="1">
      <alignment horizontal="right"/>
    </xf>
    <xf numFmtId="0" fontId="2" fillId="6" borderId="0" xfId="0" applyFont="1" applyFill="1" applyAlignment="1">
      <alignment horizontal="right"/>
    </xf>
    <xf numFmtId="0" fontId="3" fillId="3" borderId="9" xfId="0" applyFont="1" applyFill="1" applyBorder="1" applyAlignment="1">
      <alignment vertical="top"/>
    </xf>
    <xf numFmtId="0" fontId="3" fillId="3" borderId="10" xfId="0" applyFont="1" applyFill="1" applyBorder="1" applyAlignment="1">
      <alignment vertical="top"/>
    </xf>
    <xf numFmtId="0" fontId="3" fillId="3" borderId="11" xfId="0" applyFont="1" applyFill="1" applyBorder="1" applyAlignment="1">
      <alignment vertical="top"/>
    </xf>
    <xf numFmtId="168" fontId="6" fillId="6" borderId="14" xfId="0" applyNumberFormat="1" applyFont="1" applyFill="1" applyBorder="1" applyAlignment="1">
      <alignment vertical="top"/>
    </xf>
    <xf numFmtId="0" fontId="37" fillId="0" borderId="0" xfId="0" applyFont="1"/>
    <xf numFmtId="0" fontId="38" fillId="0" borderId="0" xfId="0" applyFont="1"/>
    <xf numFmtId="0" fontId="2" fillId="0" borderId="0" xfId="0" applyFont="1"/>
    <xf numFmtId="0" fontId="2" fillId="0" borderId="0" xfId="0" applyFont="1" applyAlignment="1">
      <alignment horizontal="left"/>
    </xf>
    <xf numFmtId="49" fontId="2" fillId="0" borderId="0" xfId="0" applyNumberFormat="1" applyFont="1" applyAlignment="1">
      <alignment horizontal="left"/>
    </xf>
    <xf numFmtId="0" fontId="13" fillId="0" borderId="0" xfId="0" applyFont="1"/>
    <xf numFmtId="0" fontId="39" fillId="0" borderId="0" xfId="0" applyFont="1"/>
    <xf numFmtId="0" fontId="2" fillId="0" borderId="0" xfId="0" applyFont="1" applyAlignment="1">
      <alignment horizontal="center"/>
    </xf>
    <xf numFmtId="49" fontId="2" fillId="0" borderId="0" xfId="0" applyNumberFormat="1" applyFont="1"/>
    <xf numFmtId="164" fontId="2" fillId="0" borderId="0" xfId="0" applyNumberFormat="1" applyFont="1" applyAlignment="1">
      <alignment horizontal="center"/>
    </xf>
    <xf numFmtId="170" fontId="2" fillId="0" borderId="0" xfId="0" applyNumberFormat="1" applyFont="1"/>
    <xf numFmtId="0" fontId="2" fillId="0" borderId="0" xfId="0" applyFont="1" applyAlignment="1">
      <alignment horizontal="left" vertical="center" indent="2"/>
    </xf>
    <xf numFmtId="0" fontId="42" fillId="25" borderId="101" xfId="0" applyFont="1" applyFill="1" applyBorder="1" applyAlignment="1">
      <alignment horizontal="left" vertical="center"/>
    </xf>
    <xf numFmtId="0" fontId="44" fillId="25" borderId="102" xfId="0" applyFont="1" applyFill="1" applyBorder="1" applyAlignment="1">
      <alignment horizontal="center" vertical="center"/>
    </xf>
    <xf numFmtId="0" fontId="44" fillId="25" borderId="104" xfId="0" applyFont="1" applyFill="1" applyBorder="1" applyAlignment="1">
      <alignment horizontal="center" vertical="center"/>
    </xf>
    <xf numFmtId="0" fontId="42" fillId="26" borderId="101" xfId="0" applyFont="1" applyFill="1" applyBorder="1" applyAlignment="1">
      <alignment horizontal="left" vertical="center"/>
    </xf>
    <xf numFmtId="0" fontId="42" fillId="27" borderId="102" xfId="0" applyFont="1" applyFill="1" applyBorder="1" applyAlignment="1">
      <alignment horizontal="center" vertical="center"/>
    </xf>
    <xf numFmtId="0" fontId="42" fillId="27" borderId="104" xfId="0" applyFont="1" applyFill="1" applyBorder="1" applyAlignment="1">
      <alignment horizontal="center" vertical="center"/>
    </xf>
    <xf numFmtId="185" fontId="42" fillId="27" borderId="102" xfId="2" applyNumberFormat="1" applyFont="1" applyFill="1" applyBorder="1" applyAlignment="1">
      <alignment horizontal="center" vertical="center"/>
    </xf>
    <xf numFmtId="185" fontId="42" fillId="27" borderId="104" xfId="2" applyNumberFormat="1" applyFont="1" applyFill="1" applyBorder="1" applyAlignment="1">
      <alignment horizontal="center" vertical="center"/>
    </xf>
    <xf numFmtId="10" fontId="42" fillId="27" borderId="102" xfId="3" applyNumberFormat="1" applyFont="1" applyFill="1" applyBorder="1" applyAlignment="1">
      <alignment horizontal="center" vertical="center"/>
    </xf>
    <xf numFmtId="10" fontId="42" fillId="27" borderId="104" xfId="3" applyNumberFormat="1" applyFont="1" applyFill="1" applyBorder="1" applyAlignment="1">
      <alignment horizontal="center" vertical="center"/>
    </xf>
    <xf numFmtId="0" fontId="42" fillId="26" borderId="105" xfId="0" applyFont="1" applyFill="1" applyBorder="1" applyAlignment="1">
      <alignment horizontal="left" vertical="center"/>
    </xf>
    <xf numFmtId="10" fontId="42" fillId="27" borderId="106" xfId="3" applyNumberFormat="1" applyFont="1" applyFill="1" applyBorder="1" applyAlignment="1">
      <alignment horizontal="center" vertical="center"/>
    </xf>
    <xf numFmtId="10" fontId="42" fillId="27" borderId="107" xfId="3" applyNumberFormat="1" applyFont="1" applyFill="1" applyBorder="1" applyAlignment="1">
      <alignment horizontal="center" vertical="center"/>
    </xf>
    <xf numFmtId="0" fontId="42" fillId="0" borderId="0" xfId="0" applyFont="1" applyAlignment="1">
      <alignment horizontal="left" vertical="center"/>
    </xf>
    <xf numFmtId="0" fontId="42" fillId="28" borderId="101" xfId="0" applyFont="1" applyFill="1" applyBorder="1" applyAlignment="1">
      <alignment horizontal="left" vertical="center"/>
    </xf>
    <xf numFmtId="0" fontId="42" fillId="28" borderId="108" xfId="0" applyFont="1" applyFill="1" applyBorder="1" applyAlignment="1">
      <alignment horizontal="left" vertical="center"/>
    </xf>
    <xf numFmtId="0" fontId="42" fillId="28" borderId="109" xfId="0" applyFont="1" applyFill="1" applyBorder="1" applyAlignment="1">
      <alignment horizontal="left" vertical="center"/>
    </xf>
    <xf numFmtId="10" fontId="42" fillId="27" borderId="106" xfId="2" applyNumberFormat="1" applyFont="1" applyFill="1" applyBorder="1" applyAlignment="1">
      <alignment horizontal="center" vertical="center"/>
    </xf>
    <xf numFmtId="10" fontId="42" fillId="27" borderId="107" xfId="2" applyNumberFormat="1" applyFont="1" applyFill="1" applyBorder="1" applyAlignment="1">
      <alignment horizontal="center" vertical="center"/>
    </xf>
    <xf numFmtId="0" fontId="42" fillId="29" borderId="0" xfId="4" applyFont="1" applyFill="1" applyAlignment="1">
      <alignment horizontal="right" vertical="top"/>
    </xf>
    <xf numFmtId="10" fontId="42" fillId="0" borderId="0" xfId="3" applyNumberFormat="1" applyFont="1" applyFill="1" applyBorder="1" applyAlignment="1" applyProtection="1">
      <alignment horizontal="center" vertical="top"/>
    </xf>
    <xf numFmtId="0" fontId="42" fillId="0" borderId="0" xfId="2" applyNumberFormat="1" applyFont="1" applyFill="1" applyBorder="1" applyAlignment="1" applyProtection="1">
      <alignment horizontal="center" vertical="top"/>
      <protection locked="0"/>
    </xf>
    <xf numFmtId="0" fontId="42" fillId="0" borderId="0" xfId="0" applyFont="1"/>
    <xf numFmtId="0" fontId="42" fillId="28" borderId="101" xfId="0" applyFont="1" applyFill="1" applyBorder="1"/>
    <xf numFmtId="164" fontId="42" fillId="27" borderId="102" xfId="0" applyNumberFormat="1" applyFont="1" applyFill="1" applyBorder="1" applyAlignment="1">
      <alignment horizontal="center" vertical="center"/>
    </xf>
    <xf numFmtId="164" fontId="42" fillId="27" borderId="104" xfId="0" applyNumberFormat="1" applyFont="1" applyFill="1" applyBorder="1" applyAlignment="1">
      <alignment horizontal="center" vertical="center"/>
    </xf>
    <xf numFmtId="2" fontId="42" fillId="0" borderId="102" xfId="2" applyNumberFormat="1" applyFont="1" applyFill="1" applyBorder="1" applyAlignment="1">
      <alignment horizontal="right" vertical="center"/>
    </xf>
    <xf numFmtId="2" fontId="42" fillId="0" borderId="104" xfId="2" applyNumberFormat="1" applyFont="1" applyFill="1" applyBorder="1" applyAlignment="1">
      <alignment horizontal="right" vertical="center"/>
    </xf>
    <xf numFmtId="2" fontId="42" fillId="0" borderId="106" xfId="0" applyNumberFormat="1" applyFont="1" applyBorder="1" applyAlignment="1">
      <alignment horizontal="right" vertical="center"/>
    </xf>
    <xf numFmtId="2" fontId="42" fillId="0" borderId="107" xfId="0" applyNumberFormat="1" applyFont="1" applyBorder="1" applyAlignment="1">
      <alignment horizontal="right" vertical="center"/>
    </xf>
    <xf numFmtId="0" fontId="43" fillId="32" borderId="113" xfId="4" applyFont="1" applyFill="1" applyBorder="1" applyAlignment="1">
      <alignment horizontal="left" vertical="top" indent="1"/>
    </xf>
    <xf numFmtId="0" fontId="43" fillId="32" borderId="114" xfId="4" applyFont="1" applyFill="1" applyBorder="1" applyAlignment="1">
      <alignment horizontal="center" vertical="top" wrapText="1"/>
    </xf>
    <xf numFmtId="0" fontId="43" fillId="32" borderId="114" xfId="4" applyFont="1" applyFill="1" applyBorder="1" applyAlignment="1">
      <alignment horizontal="center" vertical="top"/>
    </xf>
    <xf numFmtId="0" fontId="43" fillId="32" borderId="115" xfId="4" applyFont="1" applyFill="1" applyBorder="1" applyAlignment="1">
      <alignment horizontal="center" vertical="top"/>
    </xf>
    <xf numFmtId="0" fontId="49" fillId="33" borderId="113" xfId="4" applyFont="1" applyFill="1" applyBorder="1" applyAlignment="1">
      <alignment horizontal="right" vertical="top"/>
    </xf>
    <xf numFmtId="0" fontId="45" fillId="0" borderId="114" xfId="2" applyNumberFormat="1" applyFont="1" applyBorder="1" applyAlignment="1" applyProtection="1">
      <alignment horizontal="center" vertical="top"/>
      <protection locked="0"/>
    </xf>
    <xf numFmtId="9" fontId="45" fillId="0" borderId="114" xfId="3" applyFont="1" applyBorder="1" applyAlignment="1" applyProtection="1">
      <alignment horizontal="center" vertical="top"/>
      <protection locked="0"/>
    </xf>
    <xf numFmtId="179" fontId="45" fillId="0" borderId="114" xfId="2" applyNumberFormat="1" applyFont="1" applyBorder="1" applyAlignment="1" applyProtection="1">
      <alignment horizontal="center" vertical="top"/>
      <protection locked="0"/>
    </xf>
    <xf numFmtId="42" fontId="45" fillId="0" borderId="114" xfId="2" applyNumberFormat="1" applyFont="1" applyBorder="1" applyAlignment="1" applyProtection="1">
      <alignment horizontal="center" vertical="top"/>
      <protection locked="0"/>
    </xf>
    <xf numFmtId="1" fontId="45" fillId="0" borderId="114" xfId="1" applyNumberFormat="1" applyFont="1" applyBorder="1" applyAlignment="1" applyProtection="1">
      <alignment horizontal="center" vertical="top"/>
      <protection locked="0"/>
    </xf>
    <xf numFmtId="10" fontId="45" fillId="0" borderId="114" xfId="3" applyNumberFormat="1" applyFont="1" applyBorder="1" applyAlignment="1" applyProtection="1">
      <alignment horizontal="center" vertical="top"/>
      <protection locked="0"/>
    </xf>
    <xf numFmtId="0" fontId="49" fillId="33" borderId="116" xfId="4" applyFont="1" applyFill="1" applyBorder="1" applyAlignment="1">
      <alignment horizontal="right" vertical="top"/>
    </xf>
    <xf numFmtId="10" fontId="45" fillId="0" borderId="117" xfId="3" applyNumberFormat="1" applyFont="1" applyFill="1" applyBorder="1" applyAlignment="1" applyProtection="1">
      <alignment horizontal="center" vertical="top"/>
    </xf>
    <xf numFmtId="0" fontId="49" fillId="33" borderId="113" xfId="4" applyFont="1" applyFill="1" applyBorder="1" applyAlignment="1" applyProtection="1">
      <alignment horizontal="right" vertical="top"/>
      <protection locked="0"/>
    </xf>
    <xf numFmtId="0" fontId="49" fillId="33" borderId="113" xfId="5" applyFont="1" applyFill="1" applyBorder="1" applyAlignment="1">
      <alignment horizontal="right"/>
    </xf>
    <xf numFmtId="0" fontId="50" fillId="33" borderId="113" xfId="5" applyFont="1" applyFill="1" applyBorder="1" applyAlignment="1">
      <alignment horizontal="right"/>
    </xf>
    <xf numFmtId="0" fontId="50" fillId="33" borderId="116" xfId="0" applyFont="1" applyFill="1" applyBorder="1" applyAlignment="1">
      <alignment horizontal="right"/>
    </xf>
    <xf numFmtId="0" fontId="51" fillId="34" borderId="112" xfId="0" applyFont="1" applyFill="1" applyBorder="1"/>
    <xf numFmtId="0" fontId="51" fillId="34" borderId="120" xfId="0" applyFont="1" applyFill="1" applyBorder="1" applyAlignment="1">
      <alignment vertical="top"/>
    </xf>
    <xf numFmtId="0" fontId="52" fillId="35" borderId="121" xfId="0" applyFont="1" applyFill="1" applyBorder="1" applyAlignment="1">
      <alignment horizontal="center" vertical="top"/>
    </xf>
    <xf numFmtId="0" fontId="52" fillId="36" borderId="112" xfId="0" applyFont="1" applyFill="1" applyBorder="1" applyAlignment="1">
      <alignment vertical="top"/>
    </xf>
    <xf numFmtId="0" fontId="0" fillId="0" borderId="122" xfId="0" applyBorder="1"/>
    <xf numFmtId="186" fontId="53" fillId="0" borderId="114" xfId="6" applyNumberFormat="1" applyFont="1" applyBorder="1" applyAlignment="1" applyProtection="1">
      <alignment horizontal="center"/>
      <protection locked="0"/>
    </xf>
    <xf numFmtId="0" fontId="0" fillId="36" borderId="124" xfId="0" applyFill="1" applyBorder="1"/>
    <xf numFmtId="1" fontId="53" fillId="0" borderId="114" xfId="6" applyNumberFormat="1" applyFont="1" applyBorder="1" applyAlignment="1" applyProtection="1">
      <alignment horizontal="center"/>
      <protection locked="0"/>
    </xf>
    <xf numFmtId="183" fontId="45" fillId="37" borderId="114" xfId="6" applyNumberFormat="1" applyFont="1" applyFill="1" applyBorder="1" applyAlignment="1" applyProtection="1">
      <alignment horizontal="center"/>
      <protection locked="0"/>
    </xf>
    <xf numFmtId="183" fontId="53" fillId="38" borderId="114" xfId="6" applyNumberFormat="1" applyFont="1" applyFill="1" applyBorder="1" applyAlignment="1" applyProtection="1">
      <alignment horizontal="center"/>
      <protection locked="0"/>
    </xf>
    <xf numFmtId="0" fontId="53" fillId="38" borderId="114" xfId="6" applyFont="1" applyFill="1" applyBorder="1" applyAlignment="1" applyProtection="1">
      <alignment horizontal="center"/>
      <protection locked="0"/>
    </xf>
    <xf numFmtId="0" fontId="53" fillId="39" borderId="0" xfId="0" applyFont="1" applyFill="1"/>
    <xf numFmtId="0" fontId="49" fillId="35" borderId="121" xfId="0" applyFont="1" applyFill="1" applyBorder="1" applyAlignment="1">
      <alignment horizontal="right"/>
    </xf>
    <xf numFmtId="185" fontId="54" fillId="37" borderId="114" xfId="2" applyNumberFormat="1" applyFont="1" applyFill="1" applyBorder="1" applyProtection="1"/>
    <xf numFmtId="0" fontId="49" fillId="35" borderId="121" xfId="0" applyFont="1" applyFill="1" applyBorder="1"/>
    <xf numFmtId="179" fontId="56" fillId="39" borderId="0" xfId="6" applyNumberFormat="1" applyFont="1" applyFill="1"/>
    <xf numFmtId="185" fontId="54" fillId="35" borderId="0" xfId="2" applyNumberFormat="1" applyFont="1" applyFill="1" applyBorder="1"/>
    <xf numFmtId="9" fontId="45" fillId="35" borderId="0" xfId="7" applyFont="1" applyFill="1" applyBorder="1" applyAlignment="1" applyProtection="1">
      <alignment horizontal="right"/>
    </xf>
    <xf numFmtId="185" fontId="45" fillId="35" borderId="0" xfId="2" applyNumberFormat="1" applyFont="1" applyFill="1" applyBorder="1"/>
    <xf numFmtId="179" fontId="53" fillId="39" borderId="0" xfId="6" applyNumberFormat="1" applyFont="1" applyFill="1"/>
    <xf numFmtId="185" fontId="49" fillId="35" borderId="0" xfId="2" applyNumberFormat="1" applyFont="1" applyFill="1" applyBorder="1"/>
    <xf numFmtId="179" fontId="53" fillId="39" borderId="0" xfId="0" applyNumberFormat="1" applyFont="1" applyFill="1"/>
    <xf numFmtId="185" fontId="49" fillId="0" borderId="114" xfId="2" applyNumberFormat="1" applyFont="1" applyBorder="1" applyProtection="1">
      <protection locked="0"/>
    </xf>
    <xf numFmtId="185" fontId="49" fillId="41" borderId="114" xfId="2" applyNumberFormat="1" applyFont="1" applyFill="1" applyBorder="1" applyProtection="1">
      <protection locked="0"/>
    </xf>
    <xf numFmtId="185" fontId="49" fillId="35" borderId="0" xfId="2" applyNumberFormat="1" applyFont="1" applyFill="1" applyBorder="1" applyAlignment="1">
      <alignment horizontal="right" vertical="center"/>
    </xf>
    <xf numFmtId="185" fontId="49" fillId="37" borderId="114" xfId="2" applyNumberFormat="1" applyFont="1" applyFill="1" applyBorder="1" applyAlignment="1">
      <alignment horizontal="right" vertical="center"/>
    </xf>
    <xf numFmtId="185" fontId="49" fillId="37" borderId="114" xfId="2" applyNumberFormat="1" applyFont="1" applyFill="1" applyBorder="1" applyProtection="1"/>
    <xf numFmtId="10" fontId="50" fillId="37" borderId="0" xfId="3" applyNumberFormat="1" applyFont="1" applyFill="1" applyBorder="1" applyAlignment="1" applyProtection="1">
      <alignment horizontal="right"/>
    </xf>
    <xf numFmtId="0" fontId="58" fillId="4" borderId="121" xfId="0" applyFont="1" applyFill="1" applyBorder="1"/>
    <xf numFmtId="2" fontId="58" fillId="4" borderId="124" xfId="0" applyNumberFormat="1" applyFont="1" applyFill="1" applyBorder="1"/>
    <xf numFmtId="0" fontId="58" fillId="4" borderId="124" xfId="0" applyFont="1" applyFill="1" applyBorder="1"/>
    <xf numFmtId="2" fontId="58" fillId="19" borderId="114" xfId="0" applyNumberFormat="1" applyFont="1" applyFill="1" applyBorder="1"/>
    <xf numFmtId="2" fontId="58" fillId="19" borderId="115" xfId="0" applyNumberFormat="1" applyFont="1" applyFill="1" applyBorder="1"/>
    <xf numFmtId="2" fontId="58" fillId="4" borderId="119" xfId="0" applyNumberFormat="1" applyFont="1" applyFill="1" applyBorder="1"/>
    <xf numFmtId="2" fontId="58" fillId="4" borderId="120" xfId="0" applyNumberFormat="1" applyFont="1" applyFill="1" applyBorder="1"/>
    <xf numFmtId="0" fontId="54" fillId="4" borderId="128" xfId="0" applyFont="1" applyFill="1" applyBorder="1" applyAlignment="1">
      <alignment horizontal="center"/>
    </xf>
    <xf numFmtId="0" fontId="54" fillId="4" borderId="129" xfId="0" applyFont="1" applyFill="1" applyBorder="1"/>
    <xf numFmtId="0" fontId="54" fillId="4" borderId="130" xfId="0" applyFont="1" applyFill="1" applyBorder="1" applyAlignment="1">
      <alignment horizontal="center"/>
    </xf>
    <xf numFmtId="0" fontId="54" fillId="4" borderId="131" xfId="0" applyFont="1" applyFill="1" applyBorder="1"/>
    <xf numFmtId="0" fontId="58" fillId="44" borderId="113" xfId="0" applyFont="1" applyFill="1" applyBorder="1" applyProtection="1">
      <protection locked="0"/>
    </xf>
    <xf numFmtId="42" fontId="58" fillId="44" borderId="114" xfId="2" applyNumberFormat="1" applyFont="1" applyFill="1" applyBorder="1" applyAlignment="1" applyProtection="1">
      <protection locked="0"/>
    </xf>
    <xf numFmtId="185" fontId="45" fillId="44" borderId="130" xfId="2" applyNumberFormat="1" applyFont="1" applyFill="1" applyBorder="1" applyAlignment="1" applyProtection="1">
      <protection locked="0"/>
    </xf>
    <xf numFmtId="0" fontId="45" fillId="44" borderId="123" xfId="0" applyFont="1" applyFill="1" applyBorder="1" applyProtection="1">
      <protection locked="0"/>
    </xf>
    <xf numFmtId="9" fontId="58" fillId="44" borderId="114" xfId="3" applyFont="1" applyFill="1" applyBorder="1" applyAlignment="1" applyProtection="1"/>
    <xf numFmtId="42" fontId="58" fillId="44" borderId="114" xfId="0" applyNumberFormat="1" applyFont="1" applyFill="1" applyBorder="1"/>
    <xf numFmtId="187" fontId="58" fillId="44" borderId="129" xfId="3" applyNumberFormat="1" applyFont="1" applyFill="1" applyBorder="1" applyAlignment="1" applyProtection="1"/>
    <xf numFmtId="0" fontId="45" fillId="44" borderId="130" xfId="0" applyFont="1" applyFill="1" applyBorder="1"/>
    <xf numFmtId="0" fontId="45" fillId="23" borderId="131" xfId="0" applyFont="1" applyFill="1" applyBorder="1" applyProtection="1">
      <protection locked="0"/>
    </xf>
    <xf numFmtId="0" fontId="45" fillId="23" borderId="115" xfId="0" applyFont="1" applyFill="1" applyBorder="1" applyProtection="1">
      <protection locked="0"/>
    </xf>
    <xf numFmtId="0" fontId="45" fillId="23" borderId="132" xfId="0" applyFont="1" applyFill="1" applyBorder="1" applyProtection="1">
      <protection locked="0"/>
    </xf>
    <xf numFmtId="0" fontId="59" fillId="4" borderId="113" xfId="0" applyFont="1" applyFill="1" applyBorder="1" applyAlignment="1">
      <alignment horizontal="right"/>
    </xf>
    <xf numFmtId="185" fontId="58" fillId="4" borderId="114" xfId="0" applyNumberFormat="1" applyFont="1" applyFill="1" applyBorder="1" applyProtection="1">
      <protection locked="0"/>
    </xf>
    <xf numFmtId="0" fontId="58" fillId="23" borderId="115" xfId="0" applyFont="1" applyFill="1" applyBorder="1"/>
    <xf numFmtId="0" fontId="58" fillId="9" borderId="121" xfId="0" applyFont="1" applyFill="1" applyBorder="1"/>
    <xf numFmtId="0" fontId="58" fillId="9" borderId="0" xfId="0" applyFont="1" applyFill="1"/>
    <xf numFmtId="0" fontId="58" fillId="9" borderId="124" xfId="0" applyFont="1" applyFill="1" applyBorder="1"/>
    <xf numFmtId="185" fontId="58" fillId="4" borderId="114" xfId="2" applyNumberFormat="1" applyFont="1" applyFill="1" applyBorder="1" applyProtection="1"/>
    <xf numFmtId="0" fontId="59" fillId="4" borderId="114" xfId="0" applyFont="1" applyFill="1" applyBorder="1" applyAlignment="1">
      <alignment horizontal="right"/>
    </xf>
    <xf numFmtId="10" fontId="58" fillId="4" borderId="114" xfId="3" applyNumberFormat="1" applyFont="1" applyFill="1" applyBorder="1"/>
    <xf numFmtId="179" fontId="58" fillId="4" borderId="114" xfId="0" applyNumberFormat="1" applyFont="1" applyFill="1" applyBorder="1"/>
    <xf numFmtId="0" fontId="59" fillId="4" borderId="114" xfId="0" applyFont="1" applyFill="1" applyBorder="1" applyAlignment="1">
      <alignment horizontal="left"/>
    </xf>
    <xf numFmtId="187" fontId="58" fillId="4" borderId="114" xfId="3" applyNumberFormat="1" applyFont="1" applyFill="1" applyBorder="1" applyProtection="1"/>
    <xf numFmtId="0" fontId="58" fillId="4" borderId="115" xfId="0" applyFont="1" applyFill="1" applyBorder="1"/>
    <xf numFmtId="0" fontId="59" fillId="4" borderId="133" xfId="0" applyFont="1" applyFill="1" applyBorder="1"/>
    <xf numFmtId="0" fontId="59" fillId="4" borderId="134" xfId="0" applyFont="1" applyFill="1" applyBorder="1"/>
    <xf numFmtId="0" fontId="59" fillId="4" borderId="135" xfId="0" applyFont="1" applyFill="1" applyBorder="1"/>
    <xf numFmtId="2" fontId="58" fillId="4" borderId="0" xfId="0" applyNumberFormat="1" applyFont="1" applyFill="1"/>
    <xf numFmtId="0" fontId="58" fillId="4" borderId="0" xfId="0" applyFont="1" applyFill="1"/>
    <xf numFmtId="0" fontId="3" fillId="8" borderId="21" xfId="0" applyFont="1" applyFill="1" applyBorder="1" applyAlignment="1">
      <alignment vertical="center" textRotation="90"/>
    </xf>
    <xf numFmtId="0" fontId="3" fillId="8" borderId="23" xfId="0" applyFont="1" applyFill="1" applyBorder="1" applyAlignment="1">
      <alignment vertical="center" textRotation="90"/>
    </xf>
    <xf numFmtId="0" fontId="61" fillId="0" borderId="0" xfId="0" applyFont="1" applyAlignment="1">
      <alignment horizontal="left" vertical="center" wrapText="1" indent="1"/>
    </xf>
    <xf numFmtId="9" fontId="42" fillId="27" borderId="102" xfId="0" applyNumberFormat="1" applyFont="1" applyFill="1" applyBorder="1" applyAlignment="1">
      <alignment horizontal="center" vertical="center"/>
    </xf>
    <xf numFmtId="0" fontId="45" fillId="0" borderId="0" xfId="2" applyNumberFormat="1" applyFont="1" applyFill="1" applyBorder="1" applyAlignment="1" applyProtection="1">
      <alignment horizontal="left" vertical="top"/>
      <protection locked="0"/>
    </xf>
    <xf numFmtId="1" fontId="58" fillId="4" borderId="114" xfId="0" applyNumberFormat="1" applyFont="1" applyFill="1" applyBorder="1" applyProtection="1">
      <protection locked="0"/>
    </xf>
    <xf numFmtId="187" fontId="58" fillId="4" borderId="114" xfId="0" applyNumberFormat="1" applyFont="1" applyFill="1" applyBorder="1" applyProtection="1">
      <protection locked="0"/>
    </xf>
    <xf numFmtId="9" fontId="58" fillId="4" borderId="114" xfId="0" applyNumberFormat="1" applyFont="1" applyFill="1" applyBorder="1" applyProtection="1">
      <protection locked="0"/>
    </xf>
    <xf numFmtId="44" fontId="56" fillId="38" borderId="114" xfId="2" applyFont="1" applyFill="1" applyBorder="1" applyProtection="1"/>
    <xf numFmtId="44" fontId="53" fillId="0" borderId="114" xfId="0" applyNumberFormat="1" applyFont="1" applyBorder="1" applyProtection="1">
      <protection locked="0"/>
    </xf>
    <xf numFmtId="44" fontId="56" fillId="39" borderId="0" xfId="6" applyNumberFormat="1" applyFont="1" applyFill="1"/>
    <xf numFmtId="44" fontId="56" fillId="39" borderId="125" xfId="6" applyNumberFormat="1" applyFont="1" applyFill="1" applyBorder="1"/>
    <xf numFmtId="44" fontId="53" fillId="39" borderId="0" xfId="6" applyNumberFormat="1" applyFont="1" applyFill="1"/>
    <xf numFmtId="44" fontId="0" fillId="36" borderId="124" xfId="0" applyNumberFormat="1" applyFill="1" applyBorder="1"/>
    <xf numFmtId="44" fontId="53" fillId="42" borderId="114" xfId="0" applyNumberFormat="1" applyFont="1" applyFill="1" applyBorder="1" applyProtection="1">
      <protection locked="0"/>
    </xf>
    <xf numFmtId="44" fontId="53" fillId="39" borderId="0" xfId="8" applyNumberFormat="1" applyFont="1" applyFill="1" applyAlignment="1">
      <alignment horizontal="right" vertical="center"/>
    </xf>
    <xf numFmtId="44" fontId="53" fillId="38" borderId="114" xfId="8" applyNumberFormat="1" applyFont="1" applyFill="1" applyBorder="1" applyAlignment="1">
      <alignment horizontal="right" vertical="center"/>
    </xf>
    <xf numFmtId="44" fontId="53" fillId="39" borderId="0" xfId="0" applyNumberFormat="1" applyFont="1" applyFill="1"/>
    <xf numFmtId="44" fontId="53" fillId="38" borderId="126" xfId="2" applyFont="1" applyFill="1" applyBorder="1" applyProtection="1"/>
    <xf numFmtId="44" fontId="58" fillId="19" borderId="114" xfId="1" applyNumberFormat="1" applyFont="1" applyFill="1" applyBorder="1"/>
    <xf numFmtId="44" fontId="58" fillId="19" borderId="115" xfId="1" applyNumberFormat="1" applyFont="1" applyFill="1" applyBorder="1"/>
    <xf numFmtId="44" fontId="58" fillId="4" borderId="0" xfId="1" applyNumberFormat="1" applyFont="1" applyFill="1" applyBorder="1"/>
    <xf numFmtId="44" fontId="58" fillId="4" borderId="124" xfId="1" applyNumberFormat="1" applyFont="1" applyFill="1" applyBorder="1"/>
    <xf numFmtId="10" fontId="56" fillId="38" borderId="119" xfId="3" applyNumberFormat="1" applyFont="1" applyFill="1" applyBorder="1" applyAlignment="1">
      <alignment horizontal="right"/>
    </xf>
    <xf numFmtId="0" fontId="0" fillId="36" borderId="120" xfId="0" applyFill="1" applyBorder="1"/>
    <xf numFmtId="0" fontId="52" fillId="36" borderId="111" xfId="0" applyFont="1" applyFill="1" applyBorder="1" applyAlignment="1">
      <alignment horizontal="center" vertical="top"/>
    </xf>
    <xf numFmtId="186" fontId="53" fillId="0" borderId="126" xfId="6" applyNumberFormat="1" applyFont="1" applyBorder="1" applyAlignment="1" applyProtection="1">
      <alignment horizontal="center"/>
      <protection locked="0"/>
    </xf>
    <xf numFmtId="1" fontId="53" fillId="0" borderId="126" xfId="6" applyNumberFormat="1" applyFont="1" applyBorder="1" applyAlignment="1" applyProtection="1">
      <alignment horizontal="center"/>
      <protection locked="0"/>
    </xf>
    <xf numFmtId="183" fontId="53" fillId="38" borderId="126" xfId="6" applyNumberFormat="1" applyFont="1" applyFill="1" applyBorder="1" applyAlignment="1" applyProtection="1">
      <alignment horizontal="center"/>
      <protection locked="0"/>
    </xf>
    <xf numFmtId="0" fontId="53" fillId="38" borderId="126" xfId="6" applyFont="1" applyFill="1" applyBorder="1" applyAlignment="1" applyProtection="1">
      <alignment horizontal="center"/>
      <protection locked="0"/>
    </xf>
    <xf numFmtId="44" fontId="56" fillId="38" borderId="126" xfId="2" applyFont="1" applyFill="1" applyBorder="1" applyProtection="1"/>
    <xf numFmtId="44" fontId="53" fillId="0" borderId="126" xfId="0" applyNumberFormat="1" applyFont="1" applyBorder="1" applyProtection="1">
      <protection locked="0"/>
    </xf>
    <xf numFmtId="44" fontId="53" fillId="42" borderId="126" xfId="0" applyNumberFormat="1" applyFont="1" applyFill="1" applyBorder="1" applyProtection="1">
      <protection locked="0"/>
    </xf>
    <xf numFmtId="44" fontId="53" fillId="38" borderId="126" xfId="8" applyNumberFormat="1" applyFont="1" applyFill="1" applyBorder="1" applyAlignment="1">
      <alignment horizontal="right" vertical="center"/>
    </xf>
    <xf numFmtId="0" fontId="52" fillId="35" borderId="0" xfId="0" applyFont="1" applyFill="1" applyAlignment="1">
      <alignment horizontal="center" vertical="top"/>
    </xf>
    <xf numFmtId="0" fontId="45" fillId="35" borderId="0" xfId="6" applyFont="1" applyFill="1" applyAlignment="1">
      <alignment horizontal="right"/>
    </xf>
    <xf numFmtId="0" fontId="54" fillId="35" borderId="0" xfId="6" applyFont="1" applyFill="1"/>
    <xf numFmtId="14" fontId="55" fillId="35" borderId="0" xfId="6" applyNumberFormat="1" applyFont="1" applyFill="1"/>
    <xf numFmtId="0" fontId="54" fillId="35" borderId="0" xfId="6" applyFont="1" applyFill="1" applyAlignment="1">
      <alignment horizontal="right"/>
    </xf>
    <xf numFmtId="185" fontId="54" fillId="35" borderId="0" xfId="6" applyNumberFormat="1" applyFont="1" applyFill="1"/>
    <xf numFmtId="0" fontId="54" fillId="40" borderId="0" xfId="8" applyFont="1" applyFill="1" applyAlignment="1">
      <alignment horizontal="right" vertical="center"/>
    </xf>
    <xf numFmtId="3" fontId="49" fillId="40" borderId="0" xfId="8" quotePrefix="1" applyNumberFormat="1" applyFont="1" applyFill="1" applyAlignment="1">
      <alignment horizontal="right" vertical="center"/>
    </xf>
    <xf numFmtId="49" fontId="49" fillId="35" borderId="0" xfId="0" applyNumberFormat="1" applyFont="1" applyFill="1" applyAlignment="1" applyProtection="1">
      <alignment horizontal="right"/>
      <protection locked="0"/>
    </xf>
    <xf numFmtId="3" fontId="49" fillId="35" borderId="0" xfId="8" applyNumberFormat="1" applyFont="1" applyFill="1" applyAlignment="1">
      <alignment horizontal="right" vertical="center"/>
    </xf>
    <xf numFmtId="3" fontId="57" fillId="35" borderId="0" xfId="8" applyNumberFormat="1" applyFont="1" applyFill="1" applyAlignment="1">
      <alignment horizontal="right" vertical="center"/>
    </xf>
    <xf numFmtId="185" fontId="45" fillId="35" borderId="0" xfId="6" applyNumberFormat="1" applyFont="1" applyFill="1" applyAlignment="1">
      <alignment horizontal="right"/>
    </xf>
    <xf numFmtId="49" fontId="45" fillId="35" borderId="0" xfId="6" applyNumberFormat="1" applyFont="1" applyFill="1" applyAlignment="1">
      <alignment horizontal="right"/>
    </xf>
    <xf numFmtId="0" fontId="49" fillId="35" borderId="0" xfId="0" applyFont="1" applyFill="1"/>
    <xf numFmtId="0" fontId="45" fillId="4" borderId="0" xfId="6" applyFont="1" applyFill="1" applyAlignment="1">
      <alignment horizontal="right"/>
    </xf>
    <xf numFmtId="0" fontId="54" fillId="4" borderId="0" xfId="6" applyFont="1" applyFill="1" applyAlignment="1">
      <alignment horizontal="right"/>
    </xf>
    <xf numFmtId="0" fontId="52" fillId="35" borderId="124" xfId="0" applyFont="1" applyFill="1" applyBorder="1" applyAlignment="1">
      <alignment horizontal="center" vertical="top"/>
    </xf>
    <xf numFmtId="183" fontId="45" fillId="37" borderId="115" xfId="6" applyNumberFormat="1" applyFont="1" applyFill="1" applyBorder="1" applyAlignment="1" applyProtection="1">
      <alignment horizontal="center"/>
      <protection locked="0"/>
    </xf>
    <xf numFmtId="14" fontId="55" fillId="35" borderId="124" xfId="6" applyNumberFormat="1" applyFont="1" applyFill="1" applyBorder="1"/>
    <xf numFmtId="185" fontId="54" fillId="37" borderId="115" xfId="2" applyNumberFormat="1" applyFont="1" applyFill="1" applyBorder="1" applyProtection="1"/>
    <xf numFmtId="185" fontId="54" fillId="35" borderId="124" xfId="6" applyNumberFormat="1" applyFont="1" applyFill="1" applyBorder="1"/>
    <xf numFmtId="185" fontId="54" fillId="35" borderId="124" xfId="2" applyNumberFormat="1" applyFont="1" applyFill="1" applyBorder="1"/>
    <xf numFmtId="185" fontId="45" fillId="35" borderId="124" xfId="2" applyNumberFormat="1" applyFont="1" applyFill="1" applyBorder="1"/>
    <xf numFmtId="185" fontId="49" fillId="35" borderId="124" xfId="2" applyNumberFormat="1" applyFont="1" applyFill="1" applyBorder="1"/>
    <xf numFmtId="185" fontId="49" fillId="0" borderId="115" xfId="2" applyNumberFormat="1" applyFont="1" applyBorder="1" applyProtection="1">
      <protection locked="0"/>
    </xf>
    <xf numFmtId="185" fontId="49" fillId="41" borderId="115" xfId="2" applyNumberFormat="1" applyFont="1" applyFill="1" applyBorder="1" applyProtection="1">
      <protection locked="0"/>
    </xf>
    <xf numFmtId="185" fontId="49" fillId="35" borderId="124" xfId="2" applyNumberFormat="1" applyFont="1" applyFill="1" applyBorder="1" applyAlignment="1">
      <alignment horizontal="right" vertical="center"/>
    </xf>
    <xf numFmtId="185" fontId="49" fillId="37" borderId="115" xfId="2" applyNumberFormat="1" applyFont="1" applyFill="1" applyBorder="1" applyAlignment="1">
      <alignment horizontal="right" vertical="center"/>
    </xf>
    <xf numFmtId="185" fontId="49" fillId="37" borderId="115" xfId="2" applyNumberFormat="1" applyFont="1" applyFill="1" applyBorder="1" applyProtection="1"/>
    <xf numFmtId="185" fontId="45" fillId="35" borderId="124" xfId="6" applyNumberFormat="1" applyFont="1" applyFill="1" applyBorder="1" applyAlignment="1">
      <alignment horizontal="right"/>
    </xf>
    <xf numFmtId="0" fontId="49" fillId="35" borderId="124" xfId="0" applyFont="1" applyFill="1" applyBorder="1"/>
    <xf numFmtId="10" fontId="50" fillId="37" borderId="124" xfId="3" applyNumberFormat="1" applyFont="1" applyFill="1" applyBorder="1" applyAlignment="1" applyProtection="1">
      <alignment horizontal="right"/>
    </xf>
    <xf numFmtId="188" fontId="6" fillId="4" borderId="14" xfId="0" applyNumberFormat="1" applyFont="1" applyFill="1" applyBorder="1" applyAlignment="1">
      <alignment vertical="top"/>
    </xf>
    <xf numFmtId="0" fontId="6" fillId="23" borderId="22" xfId="0" applyFont="1" applyFill="1" applyBorder="1"/>
    <xf numFmtId="10" fontId="6" fillId="4" borderId="14" xfId="0" applyNumberFormat="1" applyFont="1" applyFill="1" applyBorder="1"/>
    <xf numFmtId="9" fontId="6" fillId="4" borderId="14" xfId="0" applyNumberFormat="1" applyFont="1" applyFill="1" applyBorder="1"/>
    <xf numFmtId="1" fontId="6" fillId="4" borderId="14" xfId="0" applyNumberFormat="1" applyFont="1" applyFill="1" applyBorder="1"/>
    <xf numFmtId="44" fontId="5" fillId="19" borderId="14" xfId="0" applyNumberFormat="1" applyFont="1" applyFill="1" applyBorder="1"/>
    <xf numFmtId="2" fontId="50" fillId="37" borderId="127" xfId="3" applyNumberFormat="1" applyFont="1" applyFill="1" applyBorder="1" applyAlignment="1" applyProtection="1">
      <alignment horizontal="right"/>
    </xf>
    <xf numFmtId="2" fontId="50" fillId="37" borderId="139" xfId="3" applyNumberFormat="1" applyFont="1" applyFill="1" applyBorder="1" applyAlignment="1" applyProtection="1">
      <alignment horizontal="right"/>
    </xf>
    <xf numFmtId="2" fontId="56" fillId="38" borderId="126" xfId="3" applyNumberFormat="1" applyFont="1" applyFill="1" applyBorder="1" applyAlignment="1">
      <alignment horizontal="right"/>
    </xf>
    <xf numFmtId="2" fontId="56" fillId="38" borderId="114" xfId="3" applyNumberFormat="1" applyFont="1" applyFill="1" applyBorder="1" applyAlignment="1">
      <alignment horizontal="right"/>
    </xf>
    <xf numFmtId="185" fontId="5" fillId="37" borderId="114" xfId="2" applyNumberFormat="1" applyFont="1" applyFill="1" applyBorder="1" applyProtection="1"/>
    <xf numFmtId="185" fontId="0" fillId="0" borderId="0" xfId="0" applyNumberFormat="1"/>
    <xf numFmtId="9" fontId="42" fillId="27" borderId="106" xfId="2" applyNumberFormat="1" applyFont="1" applyFill="1" applyBorder="1" applyAlignment="1">
      <alignment horizontal="center" vertical="center"/>
    </xf>
    <xf numFmtId="9" fontId="42" fillId="27" borderId="107" xfId="2" applyNumberFormat="1" applyFont="1" applyFill="1" applyBorder="1" applyAlignment="1">
      <alignment horizontal="center" vertical="center"/>
    </xf>
    <xf numFmtId="185" fontId="42" fillId="0" borderId="102" xfId="2" applyNumberFormat="1" applyFont="1" applyFill="1" applyBorder="1" applyAlignment="1">
      <alignment horizontal="right" vertical="center"/>
    </xf>
    <xf numFmtId="185" fontId="42" fillId="27" borderId="104" xfId="0" applyNumberFormat="1" applyFont="1" applyFill="1" applyBorder="1" applyAlignment="1">
      <alignment horizontal="center" vertical="center"/>
    </xf>
    <xf numFmtId="185" fontId="42" fillId="0" borderId="104" xfId="2" applyNumberFormat="1" applyFont="1" applyFill="1" applyBorder="1" applyAlignment="1">
      <alignment horizontal="right" vertical="center"/>
    </xf>
    <xf numFmtId="185" fontId="42" fillId="27" borderId="102" xfId="2" applyNumberFormat="1" applyFont="1" applyFill="1" applyBorder="1" applyAlignment="1">
      <alignment horizontal="right" vertical="center"/>
    </xf>
    <xf numFmtId="185" fontId="42" fillId="27" borderId="104" xfId="2" applyNumberFormat="1" applyFont="1" applyFill="1" applyBorder="1" applyAlignment="1">
      <alignment horizontal="right" vertical="center"/>
    </xf>
    <xf numFmtId="185" fontId="42" fillId="0" borderId="102" xfId="0" applyNumberFormat="1" applyFont="1" applyBorder="1" applyAlignment="1">
      <alignment horizontal="right" vertical="center"/>
    </xf>
    <xf numFmtId="9" fontId="42" fillId="27" borderId="103" xfId="0" applyNumberFormat="1" applyFont="1" applyFill="1" applyBorder="1" applyAlignment="1">
      <alignment horizontal="center" vertical="center"/>
    </xf>
    <xf numFmtId="9" fontId="42" fillId="27" borderId="104" xfId="0" applyNumberFormat="1" applyFont="1" applyFill="1" applyBorder="1" applyAlignment="1">
      <alignment horizontal="center" vertical="center"/>
    </xf>
    <xf numFmtId="0" fontId="21" fillId="4" borderId="0" xfId="0" applyFont="1" applyFill="1" applyAlignment="1">
      <alignment horizontal="right" wrapText="1"/>
    </xf>
    <xf numFmtId="0" fontId="15" fillId="4" borderId="34" xfId="0" applyFont="1" applyFill="1" applyBorder="1" applyAlignment="1">
      <alignment horizontal="right" wrapText="1"/>
    </xf>
    <xf numFmtId="0" fontId="15" fillId="4" borderId="0" xfId="0" applyFont="1" applyFill="1" applyAlignment="1">
      <alignment horizontal="right" wrapText="1"/>
    </xf>
    <xf numFmtId="0" fontId="15" fillId="4" borderId="42" xfId="0" applyFont="1" applyFill="1" applyBorder="1" applyAlignment="1">
      <alignment horizontal="right" wrapText="1"/>
    </xf>
    <xf numFmtId="0" fontId="21" fillId="4" borderId="34" xfId="0" applyFont="1" applyFill="1" applyBorder="1" applyAlignment="1">
      <alignment horizontal="right" wrapText="1"/>
    </xf>
    <xf numFmtId="0" fontId="6" fillId="6" borderId="0" xfId="0" applyFont="1" applyFill="1" applyAlignment="1">
      <alignment horizontal="left" indent="1"/>
    </xf>
    <xf numFmtId="0" fontId="6" fillId="6" borderId="20" xfId="0" applyFont="1" applyFill="1" applyBorder="1" applyAlignment="1">
      <alignment horizontal="left" indent="1"/>
    </xf>
    <xf numFmtId="0" fontId="15" fillId="0" borderId="15" xfId="0" applyFont="1" applyBorder="1" applyAlignment="1">
      <alignment horizontal="left"/>
    </xf>
    <xf numFmtId="0" fontId="15" fillId="0" borderId="16" xfId="0" applyFont="1" applyBorder="1" applyAlignment="1">
      <alignment horizontal="left"/>
    </xf>
    <xf numFmtId="0" fontId="6" fillId="4" borderId="6" xfId="0" applyFont="1" applyFill="1" applyBorder="1" applyAlignment="1">
      <alignment horizontal="center"/>
    </xf>
    <xf numFmtId="0" fontId="6" fillId="4" borderId="7" xfId="0" applyFont="1" applyFill="1" applyBorder="1" applyAlignment="1">
      <alignment horizontal="center"/>
    </xf>
    <xf numFmtId="0" fontId="15" fillId="4" borderId="0" xfId="0" applyFont="1" applyFill="1" applyAlignment="1">
      <alignment horizontal="right"/>
    </xf>
    <xf numFmtId="0" fontId="12" fillId="4" borderId="35" xfId="0" applyFont="1" applyFill="1" applyBorder="1" applyAlignment="1">
      <alignment horizontal="center"/>
    </xf>
    <xf numFmtId="0" fontId="12" fillId="4" borderId="36" xfId="0" applyFont="1" applyFill="1" applyBorder="1" applyAlignment="1">
      <alignment horizontal="center"/>
    </xf>
    <xf numFmtId="0" fontId="12" fillId="4" borderId="25" xfId="0" applyFont="1" applyFill="1" applyBorder="1" applyAlignment="1">
      <alignment horizontal="center"/>
    </xf>
    <xf numFmtId="0" fontId="12" fillId="4" borderId="37" xfId="0" applyFont="1" applyFill="1" applyBorder="1" applyAlignment="1">
      <alignment horizontal="center"/>
    </xf>
    <xf numFmtId="0" fontId="2" fillId="4" borderId="4" xfId="0" applyFont="1" applyFill="1" applyBorder="1" applyAlignment="1">
      <alignment horizontal="right" wrapText="1"/>
    </xf>
    <xf numFmtId="0" fontId="2" fillId="4" borderId="0" xfId="0" applyFont="1" applyFill="1" applyAlignment="1">
      <alignment horizontal="right" wrapText="1"/>
    </xf>
    <xf numFmtId="0" fontId="12" fillId="4" borderId="1" xfId="0" applyFont="1" applyFill="1" applyBorder="1" applyAlignment="1">
      <alignment horizontal="center"/>
    </xf>
    <xf numFmtId="0" fontId="12" fillId="4" borderId="2" xfId="0" applyFont="1" applyFill="1" applyBorder="1" applyAlignment="1">
      <alignment horizontal="center"/>
    </xf>
    <xf numFmtId="0" fontId="12" fillId="4" borderId="3" xfId="0" applyFont="1" applyFill="1" applyBorder="1" applyAlignment="1">
      <alignment horizontal="center"/>
    </xf>
    <xf numFmtId="0" fontId="12" fillId="4" borderId="38" xfId="0" applyFont="1" applyFill="1" applyBorder="1" applyAlignment="1">
      <alignment horizontal="center"/>
    </xf>
    <xf numFmtId="0" fontId="12" fillId="4" borderId="39" xfId="0" applyFont="1" applyFill="1" applyBorder="1" applyAlignment="1">
      <alignment horizontal="center"/>
    </xf>
    <xf numFmtId="0" fontId="12" fillId="4" borderId="27" xfId="0" applyFont="1" applyFill="1" applyBorder="1" applyAlignment="1">
      <alignment horizontal="center"/>
    </xf>
    <xf numFmtId="0" fontId="12" fillId="4" borderId="40" xfId="0" applyFont="1" applyFill="1" applyBorder="1" applyAlignment="1">
      <alignment horizontal="center"/>
    </xf>
    <xf numFmtId="0" fontId="12" fillId="4" borderId="4" xfId="0" applyFont="1" applyFill="1" applyBorder="1" applyAlignment="1">
      <alignment horizontal="center" wrapText="1"/>
    </xf>
    <xf numFmtId="0" fontId="12" fillId="4" borderId="0" xfId="0" applyFont="1" applyFill="1" applyAlignment="1">
      <alignment horizontal="center" wrapText="1"/>
    </xf>
    <xf numFmtId="0" fontId="12" fillId="4" borderId="5" xfId="0" applyFont="1" applyFill="1" applyBorder="1" applyAlignment="1">
      <alignment horizontal="center" wrapText="1"/>
    </xf>
    <xf numFmtId="0" fontId="14" fillId="14" borderId="9" xfId="0" applyFont="1" applyFill="1" applyBorder="1" applyAlignment="1">
      <alignment horizontal="center"/>
    </xf>
    <xf numFmtId="0" fontId="14" fillId="14" borderId="10" xfId="0" applyFont="1" applyFill="1" applyBorder="1" applyAlignment="1">
      <alignment horizontal="center"/>
    </xf>
    <xf numFmtId="0" fontId="14" fillId="14" borderId="11" xfId="0" applyFont="1" applyFill="1" applyBorder="1" applyAlignment="1">
      <alignment horizontal="center"/>
    </xf>
    <xf numFmtId="0" fontId="2" fillId="4" borderId="15" xfId="0" applyFont="1" applyFill="1" applyBorder="1" applyAlignment="1">
      <alignment horizontal="center"/>
    </xf>
    <xf numFmtId="0" fontId="2" fillId="4" borderId="16" xfId="0" applyFont="1" applyFill="1" applyBorder="1" applyAlignment="1">
      <alignment horizontal="center"/>
    </xf>
    <xf numFmtId="171" fontId="2" fillId="4" borderId="45" xfId="0" applyNumberFormat="1" applyFont="1" applyFill="1" applyBorder="1" applyAlignment="1">
      <alignment horizontal="right"/>
    </xf>
    <xf numFmtId="171" fontId="2" fillId="4" borderId="46" xfId="0" applyNumberFormat="1" applyFont="1" applyFill="1" applyBorder="1" applyAlignment="1">
      <alignment horizontal="right"/>
    </xf>
    <xf numFmtId="176" fontId="2" fillId="4" borderId="0" xfId="0" applyNumberFormat="1" applyFont="1" applyFill="1" applyAlignment="1">
      <alignment horizontal="center"/>
    </xf>
    <xf numFmtId="176" fontId="2" fillId="16" borderId="0" xfId="0" applyNumberFormat="1" applyFont="1" applyFill="1" applyAlignment="1">
      <alignment horizontal="center"/>
    </xf>
    <xf numFmtId="176" fontId="2" fillId="4" borderId="7" xfId="0" applyNumberFormat="1" applyFont="1" applyFill="1" applyBorder="1" applyAlignment="1">
      <alignment horizontal="center"/>
    </xf>
    <xf numFmtId="0" fontId="2" fillId="4" borderId="2" xfId="0" applyFont="1" applyFill="1" applyBorder="1" applyAlignment="1">
      <alignment horizontal="center"/>
    </xf>
    <xf numFmtId="167" fontId="6" fillId="6" borderId="0" xfId="0" applyNumberFormat="1" applyFont="1" applyFill="1"/>
    <xf numFmtId="167" fontId="6" fillId="6" borderId="20" xfId="0" applyNumberFormat="1" applyFont="1" applyFill="1" applyBorder="1"/>
    <xf numFmtId="0" fontId="4" fillId="6" borderId="0" xfId="0" applyFont="1" applyFill="1"/>
    <xf numFmtId="0" fontId="4" fillId="6" borderId="20" xfId="0" applyFont="1" applyFill="1" applyBorder="1"/>
    <xf numFmtId="0" fontId="15" fillId="0" borderId="18" xfId="0" applyFont="1" applyBorder="1" applyAlignment="1">
      <alignment horizontal="center"/>
    </xf>
    <xf numFmtId="0" fontId="15" fillId="0" borderId="19" xfId="0" applyFont="1" applyBorder="1" applyAlignment="1">
      <alignment horizontal="center"/>
    </xf>
    <xf numFmtId="0" fontId="15" fillId="0" borderId="17" xfId="0" applyFont="1" applyBorder="1" applyAlignment="1">
      <alignment horizontal="center"/>
    </xf>
    <xf numFmtId="0" fontId="3" fillId="3" borderId="9" xfId="0" applyFont="1" applyFill="1" applyBorder="1" applyAlignment="1">
      <alignment horizontal="center" vertical="top"/>
    </xf>
    <xf numFmtId="0" fontId="3" fillId="3" borderId="10" xfId="0" applyFont="1" applyFill="1" applyBorder="1" applyAlignment="1">
      <alignment horizontal="center" vertical="top"/>
    </xf>
    <xf numFmtId="0" fontId="3" fillId="3" borderId="11" xfId="0" applyFont="1" applyFill="1" applyBorder="1" applyAlignment="1">
      <alignment horizontal="center" vertical="top"/>
    </xf>
    <xf numFmtId="0" fontId="6" fillId="18" borderId="61" xfId="0" applyFont="1" applyFill="1" applyBorder="1" applyAlignment="1">
      <alignment horizontal="center"/>
    </xf>
    <xf numFmtId="0" fontId="6" fillId="18" borderId="62" xfId="0" applyFont="1" applyFill="1" applyBorder="1" applyAlignment="1">
      <alignment horizontal="center"/>
    </xf>
    <xf numFmtId="0" fontId="12" fillId="4" borderId="41" xfId="0" applyFont="1" applyFill="1" applyBorder="1" applyAlignment="1">
      <alignment horizontal="center"/>
    </xf>
    <xf numFmtId="0" fontId="19" fillId="16" borderId="1" xfId="0" applyFont="1" applyFill="1" applyBorder="1" applyAlignment="1">
      <alignment horizontal="center"/>
    </xf>
    <xf numFmtId="0" fontId="19" fillId="16" borderId="2" xfId="0" applyFont="1" applyFill="1" applyBorder="1" applyAlignment="1">
      <alignment horizontal="center"/>
    </xf>
    <xf numFmtId="0" fontId="19" fillId="16" borderId="3" xfId="0" applyFont="1" applyFill="1" applyBorder="1" applyAlignment="1">
      <alignment horizontal="center"/>
    </xf>
    <xf numFmtId="0" fontId="20" fillId="4" borderId="29" xfId="0" applyFont="1" applyFill="1" applyBorder="1" applyAlignment="1">
      <alignment horizontal="right"/>
    </xf>
    <xf numFmtId="0" fontId="20" fillId="4" borderId="36" xfId="0" applyFont="1" applyFill="1" applyBorder="1" applyAlignment="1">
      <alignment horizontal="right"/>
    </xf>
    <xf numFmtId="0" fontId="15" fillId="4" borderId="42" xfId="0" applyFont="1" applyFill="1" applyBorder="1" applyAlignment="1">
      <alignment horizontal="right"/>
    </xf>
    <xf numFmtId="0" fontId="6" fillId="6" borderId="0" xfId="0" applyFont="1" applyFill="1"/>
    <xf numFmtId="0" fontId="6" fillId="6" borderId="20" xfId="0" applyFont="1" applyFill="1" applyBorder="1"/>
    <xf numFmtId="0" fontId="20" fillId="4" borderId="40" xfId="0" applyFont="1" applyFill="1" applyBorder="1" applyAlignment="1">
      <alignment horizontal="center" wrapText="1"/>
    </xf>
    <xf numFmtId="0" fontId="20" fillId="4" borderId="39" xfId="0" applyFont="1" applyFill="1" applyBorder="1" applyAlignment="1">
      <alignment horizontal="center" wrapText="1"/>
    </xf>
    <xf numFmtId="167" fontId="6" fillId="6" borderId="0" xfId="0" applyNumberFormat="1" applyFont="1" applyFill="1" applyAlignment="1">
      <alignment horizontal="left"/>
    </xf>
    <xf numFmtId="167" fontId="6" fillId="6" borderId="20" xfId="0" applyNumberFormat="1" applyFont="1" applyFill="1" applyBorder="1" applyAlignment="1">
      <alignment horizontal="left"/>
    </xf>
    <xf numFmtId="0" fontId="4" fillId="6" borderId="0" xfId="0" applyFont="1" applyFill="1" applyAlignment="1">
      <alignment horizontal="center"/>
    </xf>
    <xf numFmtId="0" fontId="4" fillId="6" borderId="20" xfId="0" applyFont="1" applyFill="1" applyBorder="1" applyAlignment="1">
      <alignment horizontal="center"/>
    </xf>
    <xf numFmtId="174" fontId="6" fillId="6" borderId="0" xfId="0" applyNumberFormat="1" applyFont="1" applyFill="1" applyAlignment="1">
      <alignment horizontal="left" indent="1"/>
    </xf>
    <xf numFmtId="174" fontId="6" fillId="6" borderId="20" xfId="0" applyNumberFormat="1" applyFont="1" applyFill="1" applyBorder="1" applyAlignment="1">
      <alignment horizontal="left" indent="1"/>
    </xf>
    <xf numFmtId="0" fontId="15" fillId="0" borderId="9" xfId="0" applyFont="1" applyBorder="1" applyAlignment="1">
      <alignment horizontal="center"/>
    </xf>
    <xf numFmtId="0" fontId="15" fillId="0" borderId="10" xfId="0" applyFont="1" applyBorder="1" applyAlignment="1">
      <alignment horizontal="center"/>
    </xf>
    <xf numFmtId="0" fontId="15" fillId="0" borderId="11" xfId="0" applyFont="1" applyBorder="1" applyAlignment="1">
      <alignment horizontal="center"/>
    </xf>
    <xf numFmtId="172" fontId="6" fillId="0" borderId="14" xfId="0" applyNumberFormat="1" applyFont="1" applyBorder="1" applyAlignment="1">
      <alignment horizontal="center"/>
    </xf>
    <xf numFmtId="172" fontId="6" fillId="0" borderId="22" xfId="0" applyNumberFormat="1" applyFont="1" applyBorder="1" applyAlignment="1">
      <alignment horizontal="center"/>
    </xf>
    <xf numFmtId="172" fontId="6" fillId="0" borderId="15" xfId="0" applyNumberFormat="1" applyFont="1" applyBorder="1" applyAlignment="1">
      <alignment horizontal="center"/>
    </xf>
    <xf numFmtId="0" fontId="6" fillId="0" borderId="17" xfId="0" applyFont="1" applyBorder="1" applyAlignment="1">
      <alignment horizontal="center"/>
    </xf>
    <xf numFmtId="172" fontId="6" fillId="12" borderId="14" xfId="0" applyNumberFormat="1" applyFont="1" applyFill="1" applyBorder="1" applyAlignment="1">
      <alignment horizontal="center"/>
    </xf>
    <xf numFmtId="172" fontId="6" fillId="12" borderId="22" xfId="0" applyNumberFormat="1" applyFont="1" applyFill="1" applyBorder="1" applyAlignment="1">
      <alignment horizontal="center"/>
    </xf>
    <xf numFmtId="0" fontId="6" fillId="4" borderId="7" xfId="0" applyFont="1" applyFill="1" applyBorder="1" applyAlignment="1">
      <alignment horizontal="right"/>
    </xf>
    <xf numFmtId="0" fontId="6" fillId="4" borderId="4" xfId="0" applyFont="1" applyFill="1" applyBorder="1" applyAlignment="1">
      <alignment horizontal="center"/>
    </xf>
    <xf numFmtId="0" fontId="6" fillId="4" borderId="0" xfId="0" applyFont="1" applyFill="1" applyAlignment="1">
      <alignment horizontal="center"/>
    </xf>
    <xf numFmtId="0" fontId="3" fillId="3" borderId="1" xfId="0" applyFont="1" applyFill="1" applyBorder="1" applyAlignment="1">
      <alignment horizontal="center" vertical="top"/>
    </xf>
    <xf numFmtId="0" fontId="3" fillId="3" borderId="2" xfId="0" applyFont="1" applyFill="1" applyBorder="1" applyAlignment="1">
      <alignment horizontal="center" vertical="top"/>
    </xf>
    <xf numFmtId="0" fontId="3" fillId="3" borderId="3" xfId="0" applyFont="1" applyFill="1" applyBorder="1" applyAlignment="1">
      <alignment horizontal="center" vertical="top"/>
    </xf>
    <xf numFmtId="0" fontId="6" fillId="4" borderId="6" xfId="0" applyFont="1" applyFill="1" applyBorder="1" applyAlignment="1">
      <alignment horizontal="right"/>
    </xf>
    <xf numFmtId="0" fontId="15" fillId="0" borderId="29" xfId="0" applyFont="1" applyBorder="1" applyAlignment="1">
      <alignment horizontal="center"/>
    </xf>
    <xf numFmtId="0" fontId="6" fillId="5" borderId="15" xfId="0" applyFont="1" applyFill="1" applyBorder="1" applyAlignment="1">
      <alignment horizontal="center"/>
    </xf>
    <xf numFmtId="0" fontId="6" fillId="5" borderId="16" xfId="0" applyFont="1" applyFill="1" applyBorder="1" applyAlignment="1">
      <alignment horizontal="center"/>
    </xf>
    <xf numFmtId="0" fontId="9" fillId="6" borderId="0" xfId="0" applyFont="1" applyFill="1" applyAlignment="1">
      <alignment horizontal="center" vertical="top"/>
    </xf>
    <xf numFmtId="0" fontId="6" fillId="0" borderId="15" xfId="0" applyFont="1" applyBorder="1" applyAlignment="1">
      <alignment horizontal="left"/>
    </xf>
    <xf numFmtId="0" fontId="6" fillId="0" borderId="19" xfId="0" applyFont="1" applyBorder="1" applyAlignment="1">
      <alignment horizontal="left"/>
    </xf>
    <xf numFmtId="0" fontId="6" fillId="0" borderId="16" xfId="0" applyFont="1" applyBorder="1" applyAlignment="1">
      <alignment horizontal="left"/>
    </xf>
    <xf numFmtId="0" fontId="6" fillId="5" borderId="15" xfId="0" applyFont="1" applyFill="1" applyBorder="1"/>
    <xf numFmtId="0" fontId="6" fillId="5" borderId="17" xfId="0" applyFont="1" applyFill="1" applyBorder="1"/>
    <xf numFmtId="0" fontId="6" fillId="0" borderId="17" xfId="0" applyFont="1" applyBorder="1" applyAlignment="1">
      <alignment horizontal="left"/>
    </xf>
    <xf numFmtId="0" fontId="6" fillId="0" borderId="18" xfId="0" applyFont="1" applyBorder="1" applyAlignment="1">
      <alignment horizontal="left"/>
    </xf>
    <xf numFmtId="0" fontId="6" fillId="0" borderId="18" xfId="0" applyFont="1" applyBorder="1"/>
    <xf numFmtId="0" fontId="6" fillId="0" borderId="16" xfId="0" applyFont="1" applyBorder="1"/>
    <xf numFmtId="0" fontId="3" fillId="3" borderId="4" xfId="0" applyFont="1" applyFill="1" applyBorder="1" applyAlignment="1">
      <alignment horizontal="center" vertical="top"/>
    </xf>
    <xf numFmtId="0" fontId="3" fillId="3" borderId="0" xfId="0" applyFont="1" applyFill="1" applyAlignment="1">
      <alignment horizontal="center" vertical="top"/>
    </xf>
    <xf numFmtId="170" fontId="6" fillId="0" borderId="14" xfId="0" applyNumberFormat="1" applyFont="1" applyBorder="1" applyAlignment="1">
      <alignment horizontal="center"/>
    </xf>
    <xf numFmtId="170" fontId="6" fillId="0" borderId="22" xfId="0" applyNumberFormat="1" applyFont="1" applyBorder="1" applyAlignment="1">
      <alignment horizontal="center"/>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4" borderId="9" xfId="0" applyFont="1" applyFill="1" applyBorder="1" applyAlignment="1">
      <alignment horizontal="center" vertical="top"/>
    </xf>
    <xf numFmtId="0" fontId="4" fillId="4" borderId="10" xfId="0" applyFont="1" applyFill="1" applyBorder="1" applyAlignment="1">
      <alignment horizontal="center" vertical="top"/>
    </xf>
    <xf numFmtId="0" fontId="4" fillId="4" borderId="11" xfId="0" applyFont="1" applyFill="1" applyBorder="1" applyAlignment="1">
      <alignment horizontal="center" vertical="top"/>
    </xf>
    <xf numFmtId="0" fontId="6" fillId="4" borderId="7" xfId="0" applyFont="1" applyFill="1" applyBorder="1" applyAlignment="1">
      <alignment horizontal="center" vertical="top"/>
    </xf>
    <xf numFmtId="0" fontId="5" fillId="4" borderId="0" xfId="0" applyFont="1" applyFill="1" applyAlignment="1">
      <alignment horizontal="center"/>
    </xf>
    <xf numFmtId="0" fontId="43" fillId="30" borderId="101" xfId="0" applyFont="1" applyFill="1" applyBorder="1" applyAlignment="1">
      <alignment horizontal="left" vertical="center"/>
    </xf>
    <xf numFmtId="0" fontId="47" fillId="30" borderId="102" xfId="0" applyFont="1" applyFill="1" applyBorder="1"/>
    <xf numFmtId="0" fontId="47" fillId="30" borderId="104" xfId="0" applyFont="1" applyFill="1" applyBorder="1"/>
    <xf numFmtId="0" fontId="43" fillId="24" borderId="98" xfId="0" applyFont="1" applyFill="1" applyBorder="1" applyAlignment="1">
      <alignment horizontal="center" vertical="center"/>
    </xf>
    <xf numFmtId="0" fontId="43" fillId="24" borderId="99" xfId="0" applyFont="1" applyFill="1" applyBorder="1" applyAlignment="1">
      <alignment horizontal="center" vertical="center"/>
    </xf>
    <xf numFmtId="0" fontId="43" fillId="24" borderId="100" xfId="0" applyFont="1" applyFill="1" applyBorder="1" applyAlignment="1">
      <alignment horizontal="center" vertical="center"/>
    </xf>
    <xf numFmtId="0" fontId="48" fillId="31" borderId="136" xfId="0" applyFont="1" applyFill="1" applyBorder="1" applyAlignment="1">
      <alignment horizontal="center" vertical="center"/>
    </xf>
    <xf numFmtId="0" fontId="48" fillId="31" borderId="137" xfId="0" applyFont="1" applyFill="1" applyBorder="1" applyAlignment="1">
      <alignment horizontal="center" vertical="center"/>
    </xf>
    <xf numFmtId="0" fontId="48" fillId="31" borderId="138" xfId="0" applyFont="1" applyFill="1" applyBorder="1" applyAlignment="1">
      <alignment horizontal="center" vertical="center"/>
    </xf>
    <xf numFmtId="0" fontId="58" fillId="4" borderId="121" xfId="0" applyFont="1" applyFill="1" applyBorder="1" applyAlignment="1">
      <alignment horizontal="center"/>
    </xf>
    <xf numFmtId="0" fontId="58" fillId="4" borderId="0" xfId="0" applyFont="1" applyFill="1" applyAlignment="1">
      <alignment horizontal="center"/>
    </xf>
    <xf numFmtId="0" fontId="58" fillId="4" borderId="118" xfId="0" applyFont="1" applyFill="1" applyBorder="1" applyAlignment="1">
      <alignment horizontal="center"/>
    </xf>
    <xf numFmtId="0" fontId="58" fillId="4" borderId="119" xfId="0" applyFont="1" applyFill="1" applyBorder="1" applyAlignment="1">
      <alignment horizontal="center"/>
    </xf>
    <xf numFmtId="0" fontId="48" fillId="43" borderId="110" xfId="0" applyFont="1" applyFill="1" applyBorder="1" applyAlignment="1">
      <alignment horizontal="center" vertical="top"/>
    </xf>
    <xf numFmtId="0" fontId="48" fillId="43" borderId="111" xfId="0" applyFont="1" applyFill="1" applyBorder="1" applyAlignment="1">
      <alignment horizontal="center" vertical="top"/>
    </xf>
    <xf numFmtId="0" fontId="48" fillId="43" borderId="112" xfId="0" applyFont="1" applyFill="1" applyBorder="1" applyAlignment="1">
      <alignment horizontal="center" vertical="top"/>
    </xf>
    <xf numFmtId="0" fontId="51" fillId="31" borderId="110" xfId="0" applyFont="1" applyFill="1" applyBorder="1" applyAlignment="1">
      <alignment horizontal="center"/>
    </xf>
    <xf numFmtId="0" fontId="51" fillId="31" borderId="111" xfId="0" applyFont="1" applyFill="1" applyBorder="1" applyAlignment="1">
      <alignment horizontal="center"/>
    </xf>
    <xf numFmtId="0" fontId="51" fillId="31" borderId="112" xfId="0" applyFont="1" applyFill="1" applyBorder="1" applyAlignment="1">
      <alignment horizontal="center"/>
    </xf>
    <xf numFmtId="0" fontId="51" fillId="34" borderId="111" xfId="0" applyFont="1" applyFill="1" applyBorder="1" applyAlignment="1">
      <alignment horizontal="center"/>
    </xf>
    <xf numFmtId="0" fontId="51" fillId="31" borderId="118" xfId="0" applyFont="1" applyFill="1" applyBorder="1" applyAlignment="1">
      <alignment horizontal="center" vertical="top"/>
    </xf>
    <xf numFmtId="0" fontId="51" fillId="31" borderId="119" xfId="0" applyFont="1" applyFill="1" applyBorder="1" applyAlignment="1">
      <alignment horizontal="center" vertical="top"/>
    </xf>
    <xf numFmtId="0" fontId="51" fillId="31" borderId="120" xfId="0" applyFont="1" applyFill="1" applyBorder="1" applyAlignment="1">
      <alignment horizontal="center" vertical="top"/>
    </xf>
    <xf numFmtId="0" fontId="51" fillId="34" borderId="119" xfId="0" applyFont="1" applyFill="1" applyBorder="1" applyAlignment="1">
      <alignment horizontal="center" vertical="top" wrapText="1"/>
    </xf>
    <xf numFmtId="0" fontId="23" fillId="16" borderId="1" xfId="0" applyFont="1" applyFill="1" applyBorder="1" applyAlignment="1">
      <alignment horizontal="center"/>
    </xf>
    <xf numFmtId="0" fontId="23" fillId="16" borderId="76" xfId="0" applyFont="1" applyFill="1" applyBorder="1" applyAlignment="1">
      <alignment horizontal="center"/>
    </xf>
    <xf numFmtId="0" fontId="23" fillId="16" borderId="77" xfId="0" applyFont="1" applyFill="1" applyBorder="1" applyAlignment="1">
      <alignment horizontal="center"/>
    </xf>
    <xf numFmtId="0" fontId="29" fillId="6" borderId="80" xfId="0" applyFont="1" applyFill="1" applyBorder="1" applyAlignment="1">
      <alignment horizontal="center" vertical="center"/>
    </xf>
    <xf numFmtId="0" fontId="29" fillId="6" borderId="77" xfId="0" applyFont="1" applyFill="1" applyBorder="1" applyAlignment="1">
      <alignment horizontal="center" vertical="center"/>
    </xf>
    <xf numFmtId="0" fontId="32" fillId="23" borderId="4" xfId="0" applyFont="1" applyFill="1" applyBorder="1" applyAlignment="1">
      <alignment horizontal="center" vertical="top"/>
    </xf>
    <xf numFmtId="0" fontId="32" fillId="23" borderId="0" xfId="0" applyFont="1" applyFill="1" applyAlignment="1">
      <alignment horizontal="center" vertical="top"/>
    </xf>
    <xf numFmtId="0" fontId="32" fillId="23" borderId="5" xfId="0" applyFont="1" applyFill="1" applyBorder="1" applyAlignment="1">
      <alignment horizontal="center" vertical="top"/>
    </xf>
    <xf numFmtId="0" fontId="31" fillId="23" borderId="1" xfId="0" applyFont="1" applyFill="1" applyBorder="1" applyAlignment="1">
      <alignment horizontal="center" vertical="top"/>
    </xf>
    <xf numFmtId="0" fontId="31" fillId="23" borderId="2" xfId="0" applyFont="1" applyFill="1" applyBorder="1" applyAlignment="1">
      <alignment horizontal="center" vertical="top"/>
    </xf>
    <xf numFmtId="0" fontId="31" fillId="23" borderId="3" xfId="0" applyFont="1" applyFill="1" applyBorder="1" applyAlignment="1">
      <alignment horizontal="center" vertical="top"/>
    </xf>
    <xf numFmtId="0" fontId="32" fillId="23" borderId="6" xfId="0" applyFont="1" applyFill="1" applyBorder="1" applyAlignment="1">
      <alignment horizontal="center" vertical="top"/>
    </xf>
    <xf numFmtId="0" fontId="32" fillId="23" borderId="7" xfId="0" applyFont="1" applyFill="1" applyBorder="1" applyAlignment="1">
      <alignment horizontal="center" vertical="top"/>
    </xf>
    <xf numFmtId="0" fontId="32" fillId="23" borderId="8" xfId="0" applyFont="1" applyFill="1" applyBorder="1" applyAlignment="1">
      <alignment horizontal="center" vertical="top"/>
    </xf>
    <xf numFmtId="0" fontId="30" fillId="0" borderId="80" xfId="0" applyFont="1" applyBorder="1" applyAlignment="1">
      <alignment horizontal="center"/>
    </xf>
    <xf numFmtId="0" fontId="30" fillId="0" borderId="76" xfId="0" applyFont="1" applyBorder="1" applyAlignment="1">
      <alignment horizontal="center"/>
    </xf>
    <xf numFmtId="0" fontId="30" fillId="0" borderId="77" xfId="0" applyFont="1" applyBorder="1" applyAlignment="1">
      <alignment horizontal="center"/>
    </xf>
    <xf numFmtId="0" fontId="30" fillId="4" borderId="34" xfId="0" applyFont="1" applyFill="1" applyBorder="1" applyAlignment="1">
      <alignment horizontal="right" wrapText="1"/>
    </xf>
    <xf numFmtId="0" fontId="30" fillId="4" borderId="0" xfId="0" applyFont="1" applyFill="1" applyAlignment="1">
      <alignment horizontal="right" wrapText="1"/>
    </xf>
    <xf numFmtId="0" fontId="30" fillId="4" borderId="42" xfId="0" applyFont="1" applyFill="1" applyBorder="1" applyAlignment="1">
      <alignment horizontal="right" wrapText="1"/>
    </xf>
    <xf numFmtId="0" fontId="30" fillId="4" borderId="6" xfId="0" applyFont="1" applyFill="1" applyBorder="1" applyAlignment="1">
      <alignment horizontal="right"/>
    </xf>
    <xf numFmtId="0" fontId="30" fillId="4" borderId="53" xfId="0" applyFont="1" applyFill="1" applyBorder="1" applyAlignment="1">
      <alignment horizontal="right"/>
    </xf>
    <xf numFmtId="0" fontId="30" fillId="4" borderId="89" xfId="0" applyFont="1" applyFill="1" applyBorder="1" applyAlignment="1">
      <alignment horizontal="right" wrapText="1"/>
    </xf>
    <xf numFmtId="0" fontId="30" fillId="4" borderId="7" xfId="0" applyFont="1" applyFill="1" applyBorder="1" applyAlignment="1">
      <alignment horizontal="right" wrapText="1"/>
    </xf>
    <xf numFmtId="0" fontId="30" fillId="4" borderId="53" xfId="0" applyFont="1" applyFill="1" applyBorder="1" applyAlignment="1">
      <alignment horizontal="right" wrapText="1"/>
    </xf>
    <xf numFmtId="0" fontId="32" fillId="23" borderId="28" xfId="0" applyFont="1" applyFill="1" applyBorder="1" applyAlignment="1">
      <alignment horizontal="center" vertical="top"/>
    </xf>
    <xf numFmtId="0" fontId="32" fillId="23" borderId="43" xfId="0" applyFont="1" applyFill="1" applyBorder="1" applyAlignment="1">
      <alignment horizontal="center" vertical="top"/>
    </xf>
    <xf numFmtId="0" fontId="28" fillId="6" borderId="28" xfId="0" applyFont="1" applyFill="1" applyBorder="1" applyAlignment="1">
      <alignment horizontal="center"/>
    </xf>
    <xf numFmtId="0" fontId="28" fillId="6" borderId="30" xfId="0" applyFont="1" applyFill="1" applyBorder="1" applyAlignment="1">
      <alignment horizontal="center"/>
    </xf>
    <xf numFmtId="0" fontId="34" fillId="4" borderId="80" xfId="0" applyFont="1" applyFill="1" applyBorder="1" applyAlignment="1">
      <alignment horizontal="center" wrapText="1"/>
    </xf>
    <xf numFmtId="0" fontId="34" fillId="4" borderId="88" xfId="0" applyFont="1" applyFill="1" applyBorder="1" applyAlignment="1">
      <alignment horizontal="center" wrapText="1"/>
    </xf>
    <xf numFmtId="0" fontId="30" fillId="0" borderId="18" xfId="0" applyFont="1" applyBorder="1" applyAlignment="1">
      <alignment horizontal="left"/>
    </xf>
    <xf numFmtId="0" fontId="30" fillId="0" borderId="16" xfId="0" applyFont="1" applyBorder="1" applyAlignment="1">
      <alignment horizontal="left"/>
    </xf>
    <xf numFmtId="0" fontId="30" fillId="4" borderId="4" xfId="0" applyFont="1" applyFill="1" applyBorder="1" applyAlignment="1">
      <alignment horizontal="right"/>
    </xf>
    <xf numFmtId="0" fontId="30" fillId="4" borderId="42" xfId="0" applyFont="1" applyFill="1" applyBorder="1" applyAlignment="1">
      <alignment horizontal="right"/>
    </xf>
    <xf numFmtId="0" fontId="30" fillId="4" borderId="4" xfId="0" applyFont="1" applyFill="1" applyBorder="1" applyAlignment="1">
      <alignment horizontal="right" wrapText="1"/>
    </xf>
    <xf numFmtId="0" fontId="34" fillId="4" borderId="52" xfId="0" applyFont="1" applyFill="1" applyBorder="1" applyAlignment="1">
      <alignment horizontal="right"/>
    </xf>
    <xf numFmtId="0" fontId="34" fillId="4" borderId="36" xfId="0" applyFont="1" applyFill="1" applyBorder="1" applyAlignment="1">
      <alignment horizontal="right"/>
    </xf>
    <xf numFmtId="0" fontId="35" fillId="4" borderId="0" xfId="0" applyFont="1" applyFill="1" applyAlignment="1">
      <alignment horizontal="right" wrapText="1"/>
    </xf>
    <xf numFmtId="0" fontId="33" fillId="4" borderId="44" xfId="0" applyFont="1" applyFill="1" applyBorder="1" applyAlignment="1">
      <alignment horizontal="left" vertical="top"/>
    </xf>
    <xf numFmtId="0" fontId="33" fillId="4" borderId="45" xfId="0" applyFont="1" applyFill="1" applyBorder="1" applyAlignment="1">
      <alignment horizontal="left" vertical="top"/>
    </xf>
    <xf numFmtId="165" fontId="10" fillId="9" borderId="15" xfId="0" applyNumberFormat="1" applyFont="1" applyFill="1" applyBorder="1" applyAlignment="1">
      <alignment horizontal="center"/>
    </xf>
    <xf numFmtId="165" fontId="10" fillId="9" borderId="16" xfId="0" applyNumberFormat="1" applyFont="1" applyFill="1" applyBorder="1" applyAlignment="1">
      <alignment horizontal="center"/>
    </xf>
    <xf numFmtId="168" fontId="10" fillId="9" borderId="15" xfId="0" applyNumberFormat="1" applyFont="1" applyFill="1" applyBorder="1" applyAlignment="1">
      <alignment horizontal="center"/>
    </xf>
    <xf numFmtId="168" fontId="10" fillId="9" borderId="16" xfId="0" applyNumberFormat="1" applyFont="1" applyFill="1" applyBorder="1" applyAlignment="1">
      <alignment horizontal="center"/>
    </xf>
    <xf numFmtId="0" fontId="39" fillId="0" borderId="0" xfId="0" applyFont="1" applyAlignment="1">
      <alignment horizontal="left"/>
    </xf>
  </cellXfs>
  <cellStyles count="9">
    <cellStyle name="Comma" xfId="1" builtinId="3"/>
    <cellStyle name="Currency" xfId="2" builtinId="4"/>
    <cellStyle name="Normal" xfId="0" builtinId="0" customBuiltin="1"/>
    <cellStyle name="Normal 2" xfId="5" xr:uid="{AF038111-4494-42B6-AE9B-56F7511A9F23}"/>
    <cellStyle name="Normal 3" xfId="4" xr:uid="{139DDB3A-E5F1-4989-8D48-ED5914DA4D84}"/>
    <cellStyle name="Normal 3 2" xfId="8" xr:uid="{911775C9-0B1B-407F-823B-6EA8F69FB5E2}"/>
    <cellStyle name="Normal 4" xfId="6" xr:uid="{AB797054-5AB6-4409-9ACB-0861E6C94DEB}"/>
    <cellStyle name="Percent" xfId="3" builtinId="5"/>
    <cellStyle name="Percent 3" xfId="7" xr:uid="{25FDD828-3B07-47F0-BB49-BB672943DE12}"/>
  </cellStyles>
  <dxfs count="74">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darkTrellis">
          <bgColor rgb="FFAFABAB"/>
        </patternFill>
      </fill>
    </dxf>
    <dxf>
      <fill>
        <patternFill patternType="lightHorizontal">
          <fgColor rgb="FFF4B183"/>
          <bgColor rgb="FFF4B183"/>
        </patternFill>
      </fill>
    </dxf>
    <dxf>
      <fill>
        <patternFill patternType="solid">
          <fgColor rgb="FFFFFF00"/>
          <bgColor rgb="FFFFFF00"/>
        </patternFill>
      </fill>
    </dxf>
    <dxf>
      <fill>
        <patternFill patternType="darkTrellis">
          <bgColor rgb="FFAFABAB"/>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FF00"/>
          <bgColor rgb="FFFFFF00"/>
        </patternFill>
      </fill>
    </dxf>
    <dxf>
      <fill>
        <patternFill patternType="solid">
          <fgColor rgb="FFFFFF00"/>
          <bgColor rgb="FFFFFF00"/>
        </patternFill>
      </fill>
    </dxf>
    <dxf>
      <fill>
        <patternFill patternType="lightHorizontal">
          <fgColor rgb="FFF4B183"/>
          <bgColor rgb="FFF4B183"/>
        </patternFill>
      </fill>
    </dxf>
    <dxf>
      <fill>
        <patternFill patternType="solid">
          <fgColor rgb="FFFFFF00"/>
          <bgColor rgb="FFFFFF00"/>
        </patternFill>
      </fill>
    </dxf>
    <dxf>
      <fill>
        <patternFill patternType="solid">
          <fgColor rgb="FFFFC000"/>
          <bgColor rgb="FFFFC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darkTrellis">
          <bgColor rgb="FFAFABAB"/>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rgb="FF000000"/>
        <name val="Aptos Narrow"/>
        <family val="2"/>
        <scheme val="none"/>
      </font>
      <fill>
        <patternFill patternType="solid">
          <fgColor rgb="FF000000"/>
          <bgColor rgb="FF000000"/>
        </patternFill>
      </fill>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auto="1"/>
        <name val="Aptos Narrow"/>
        <family val="2"/>
        <scheme val="none"/>
      </font>
      <fill>
        <patternFill patternType="solid">
          <fgColor rgb="FF000000"/>
          <bgColor rgb="FF000000"/>
        </patternFill>
      </fill>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 formatCode="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color auto="1"/>
        <name val="Aptos Narrow"/>
        <family val="2"/>
        <scheme val="none"/>
      </font>
      <numFmt numFmtId="0" formatCode="General"/>
      <fill>
        <patternFill patternType="none">
          <fgColor rgb="FF000000"/>
          <bgColor rgb="FFFFFFFF"/>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87" formatCode="0.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name val="Aptos Narrow"/>
        <family val="2"/>
        <scheme val="none"/>
      </font>
      <numFmt numFmtId="187" formatCode="0.0%"/>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name val="Aptos Narrow"/>
        <family val="2"/>
        <scheme val="none"/>
      </font>
      <numFmt numFmtId="32" formatCode="_(&quot;$&quot;* #,##0_);_(&quot;$&quot;* \(#,##0\);_(&quot;$&quot;* &quot;-&quot;_);_(@_)"/>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3" formatCode="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name val="Aptos Narrow"/>
        <family val="2"/>
        <scheme val="none"/>
      </font>
      <numFmt numFmtId="13" formatCode="0%"/>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1" hidden="0"/>
    </dxf>
    <dxf>
      <font>
        <b val="0"/>
        <i val="0"/>
        <strike val="0"/>
        <condense val="0"/>
        <extend val="0"/>
        <outline val="0"/>
        <shadow val="0"/>
        <u val="none"/>
        <vertAlign val="baseline"/>
        <sz val="11"/>
        <color rgb="FF000000"/>
        <name val="Aptos Narrow"/>
        <family val="2"/>
        <scheme val="none"/>
      </font>
      <numFmt numFmtId="1" formatCode="0"/>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ptos Narrow"/>
        <family val="2"/>
        <scheme val="none"/>
      </font>
      <numFmt numFmtId="185" formatCode="_(&quot;$&quot;* #,##0_);_(&quot;$&quot;* \(#,##0\);_(&quot;$&quot;* &quot;-&quot;??_);_(@_)"/>
      <fill>
        <patternFill patternType="solid">
          <fgColor rgb="FF000000"/>
          <bgColor rgb="FFFFFFFF"/>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ptos Narrow"/>
        <family val="2"/>
        <scheme val="none"/>
      </font>
      <numFmt numFmtId="185" formatCode="_(&quot;$&quot;* #,##0_);_(&quot;$&quot;* \(#,##0\);_(&quot;$&quot;* &quot;-&quot;??_);_(@_)"/>
      <fill>
        <patternFill patternType="none">
          <fgColor rgb="FF000000"/>
          <bgColor rgb="FFFFFFFF"/>
        </patternFill>
      </fill>
      <alignment horizontal="general" vertical="bottom" textRotation="0" wrapText="0" indent="0" justifyLastLine="0" shrinkToFit="0" readingOrder="0"/>
      <border diagonalUp="0" diagonalDown="0">
        <left style="thin">
          <color rgb="FF000000"/>
        </left>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Aptos Narrow"/>
        <family val="2"/>
        <scheme val="none"/>
      </font>
      <numFmt numFmtId="32" formatCode="_(&quot;$&quot;* #,##0_);_(&quot;$&quot;* \(#,##0\);_(&quot;$&quot;* &quot;-&quot;_);_(@_)"/>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rgb="FF000000"/>
        <name val="Aptos Narrow"/>
        <family val="2"/>
        <scheme val="none"/>
      </font>
      <numFmt numFmtId="185" formatCode="_(&quot;$&quot;* #,##0_);_(&quot;$&quot;* \(#,##0\);_(&quot;$&quot;* &quot;-&quot;??_);_(@_)"/>
      <fill>
        <patternFill patternType="solid">
          <fgColor rgb="FF000000"/>
          <bgColor rgb="FFD0CECE"/>
        </patternFill>
      </fill>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rgb="FF000000"/>
        <name val="Aptos Narrow"/>
        <family val="2"/>
        <scheme val="none"/>
      </font>
      <numFmt numFmtId="32" formatCode="_(&quot;$&quot;* #,##0_);_(&quot;$&quot;* \(#,##0\);_(&quot;$&quot;* &quot;-&quot;_);_(@_)"/>
      <alignment horizontal="general"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i val="0"/>
        <strike val="0"/>
        <condense val="0"/>
        <extend val="0"/>
        <outline val="0"/>
        <shadow val="0"/>
        <u val="none"/>
        <vertAlign val="baseline"/>
        <sz val="11"/>
        <color rgb="FF000000"/>
        <name val="Aptos Narrow"/>
        <family val="2"/>
        <scheme val="none"/>
      </font>
      <fill>
        <patternFill patternType="solid">
          <fgColor rgb="FF000000"/>
          <bgColor rgb="FFD0CECE"/>
        </patternFill>
      </fill>
      <alignment horizontal="righ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color rgb="FF000000"/>
        <name val="Aptos Narrow"/>
        <family val="2"/>
        <scheme val="none"/>
      </font>
      <numFmt numFmtId="0" formatCode="General"/>
      <fill>
        <patternFill patternType="solid">
          <fgColor rgb="FF000000"/>
          <bgColor rgb="FFDDEBF7"/>
        </patternFill>
      </fill>
      <border diagonalUp="0" diagonalDown="0">
        <left style="medium">
          <color indexed="64"/>
        </left>
        <right style="thin">
          <color indexed="64"/>
        </right>
        <top style="thin">
          <color indexed="64"/>
        </top>
        <bottom style="thin">
          <color indexed="64"/>
        </bottom>
        <vertical/>
        <horizontal/>
      </border>
      <protection locked="0" hidden="0"/>
    </dxf>
    <dxf>
      <border>
        <top style="thin">
          <color rgb="FF000000"/>
        </top>
      </border>
    </dxf>
    <dxf>
      <border outline="0">
        <top style="medium">
          <color rgb="FF000000"/>
        </top>
      </border>
    </dxf>
    <dxf>
      <font>
        <name val="Aptos Narrow"/>
        <family val="2"/>
        <scheme val="none"/>
      </font>
      <alignment horizontal="general" vertical="bottom" textRotation="0" wrapText="0" indent="0" justifyLastLine="0" shrinkToFit="0" readingOrder="0"/>
      <protection locked="1" hidden="0"/>
    </dxf>
    <dxf>
      <border outline="0">
        <bottom style="thin">
          <color rgb="FF000000"/>
        </bottom>
      </border>
    </dxf>
    <dxf>
      <font>
        <b/>
        <i val="0"/>
        <strike val="0"/>
        <condense val="0"/>
        <extend val="0"/>
        <outline val="0"/>
        <shadow val="0"/>
        <u val="none"/>
        <vertAlign val="baseline"/>
        <sz val="11"/>
        <color auto="1"/>
        <name val="Aptos Narrow"/>
        <family val="2"/>
        <scheme val="none"/>
      </font>
      <fill>
        <patternFill patternType="solid">
          <fgColor rgb="FF000000"/>
          <bgColor rgb="FFD0CECE"/>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Aptos Narrow"/>
        <family val="2"/>
        <scheme val="none"/>
      </font>
      <fill>
        <patternFill patternType="solid">
          <fgColor rgb="FF000000"/>
          <bgColor rgb="FF000000"/>
        </patternFill>
      </fill>
      <border diagonalUp="0" diagonalDown="0" outline="0">
        <left style="thin">
          <color rgb="FF000000"/>
        </left>
        <right style="medium">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 formatCode="0"/>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4" formatCode="0.00%"/>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71" formatCode="[&gt;0]_(&quot;$&quot;* #,##0_);[&lt;0]_(&quot;$&quot;* \(#,##0\);_(&quot;$&quot;* &quot;-&quot;#??_);_(@_)"/>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3" formatCode="0%"/>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71" formatCode="[&gt;0]_(&quot;$&quot;* #,##0_);[&lt;0]_(&quot;$&quot;* \(#,##0\);_(&quot;$&quot;* &quot;-&quot;#??_);_(@_)"/>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71" formatCode="[&gt;0]_(&quot;$&quot;* #,##0_);[&lt;0]_(&quot;$&quot;* \(#,##0\);_(&quot;$&quot;* &quot;-&quot;#??_);_(@_)"/>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71" formatCode="[&gt;0]_(&quot;$&quot;* #,##0_);[&lt;0]_(&quot;$&quot;* \(#,##0\);_(&quot;$&quot;* &quot;-&quot;#??_);_(@_)"/>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numFmt numFmtId="171" formatCode="[&gt;0]_(&quot;$&quot;* #,##0_);[&lt;0]_(&quot;$&quot;* \(#,##0\);_(&quot;$&quot;* &quot;-&quot;#??_);_(@_)"/>
      <fill>
        <patternFill patternType="solid">
          <fgColor rgb="FF000000"/>
          <bgColor rgb="FFD0CECE"/>
        </patternFill>
      </fill>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Aptos Narrow"/>
        <family val="2"/>
        <scheme val="none"/>
      </font>
      <fill>
        <patternFill patternType="solid">
          <fgColor rgb="FF000000"/>
          <bgColor rgb="FFD0CECE"/>
        </patternFill>
      </fill>
      <border diagonalUp="0" diagonalDown="0" outline="0">
        <left style="medium">
          <color rgb="FF000000"/>
        </left>
        <right style="thin">
          <color rgb="FF000000"/>
        </right>
        <top style="thin">
          <color rgb="FF000000"/>
        </top>
        <bottom style="thin">
          <color rgb="FF000000"/>
        </bottom>
      </border>
    </dxf>
    <dxf>
      <fill>
        <patternFill patternType="solid">
          <fgColor rgb="FFDDEBF7"/>
          <bgColor rgb="FFDDEBF7"/>
        </patternFill>
      </fill>
    </dxf>
    <dxf>
      <fill>
        <patternFill patternType="solid">
          <fgColor rgb="FFDDEBF7"/>
          <bgColor rgb="FFDDEBF7"/>
        </patternFill>
      </fill>
    </dxf>
    <dxf>
      <font>
        <b/>
        <color rgb="FF000000"/>
      </font>
    </dxf>
    <dxf>
      <font>
        <b/>
        <color rgb="FF000000"/>
      </font>
    </dxf>
    <dxf>
      <font>
        <b/>
        <color rgb="FF000000"/>
      </font>
      <border>
        <top style="double">
          <color rgb="FF5B9BD5"/>
        </top>
      </border>
    </dxf>
    <dxf>
      <font>
        <b/>
        <color rgb="FFFFFFFF"/>
      </font>
      <fill>
        <patternFill patternType="solid">
          <fgColor rgb="FF5B9BD5"/>
          <bgColor rgb="FF5B9BD5"/>
        </patternFill>
      </fill>
    </dxf>
    <dxf>
      <font>
        <color rgb="FF000000"/>
      </font>
      <border>
        <left style="thin">
          <color rgb="FF9BC2E6"/>
        </left>
        <right style="thin">
          <color rgb="FF9BC2E6"/>
        </right>
        <top style="thin">
          <color rgb="FF9BC2E6"/>
        </top>
        <bottom style="thin">
          <color rgb="FF9BC2E6"/>
        </bottom>
        <horizontal style="thin">
          <color rgb="FF9BC2E6"/>
        </horizontal>
      </border>
    </dxf>
  </dxfs>
  <tableStyles count="1" defaultTableStyle="TableStyleMedium2" defaultPivotStyle="PivotStyleLight16">
    <tableStyle name="TableStyleMedium2 2" pivot="0" count="7" xr9:uid="{69746DBC-06CB-40AA-BAC5-833E62701217}">
      <tableStyleElement type="wholeTable" dxfId="73"/>
      <tableStyleElement type="headerRow" dxfId="72"/>
      <tableStyleElement type="totalRow" dxfId="71"/>
      <tableStyleElement type="firstColumn" dxfId="70"/>
      <tableStyleElement type="lastColumn" dxfId="69"/>
      <tableStyleElement type="firstRowStripe" dxfId="68"/>
      <tableStyleElement type="firstColumnStripe" dxfId="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375920</xdr:colOff>
      <xdr:row>2</xdr:row>
      <xdr:rowOff>0</xdr:rowOff>
    </xdr:from>
    <xdr:ext cx="1605280" cy="384048"/>
    <xdr:pic>
      <xdr:nvPicPr>
        <xdr:cNvPr id="2" name="image1">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a:stretch>
          <a:fillRect/>
        </a:stretch>
      </xdr:blipFill>
      <xdr:spPr>
        <a:prstGeom prst="rect">
          <a:avLst/>
        </a:prstGeom>
        <a:noFill/>
      </xdr:spPr>
    </xdr:pic>
    <xdr:clientData/>
  </xdr:oneCellAnchor>
  <xdr:twoCellAnchor>
    <xdr:from>
      <xdr:col>0</xdr:col>
      <xdr:colOff>0</xdr:colOff>
      <xdr:row>0</xdr:row>
      <xdr:rowOff>0</xdr:rowOff>
    </xdr:from>
    <xdr:to>
      <xdr:col>4</xdr:col>
      <xdr:colOff>693420</xdr:colOff>
      <xdr:row>40</xdr:row>
      <xdr:rowOff>7620</xdr:rowOff>
    </xdr:to>
    <xdr:sp macro="" textlink="">
      <xdr:nvSpPr>
        <xdr:cNvPr id="1026" name="_x0000_t202" hidden="1">
          <a:extLst>
            <a:ext uri="{FF2B5EF4-FFF2-40B4-BE49-F238E27FC236}">
              <a16:creationId xmlns:a16="http://schemas.microsoft.com/office/drawing/2014/main" id="{801A6349-3D98-F54D-8206-517AC4AFC0A1}"/>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ctonicfinancial-my.sharepoint.com/personal/mtorres_tectonicfinancial_com/Documents/T%20Bank%20Related%20Files/T%20Bank%20-%20BDO%20App/BDO%20Prequal%20new%20-%202026.xlsm" TargetMode="External"/><Relationship Id="rId1" Type="http://schemas.openxmlformats.org/officeDocument/2006/relationships/externalLinkPath" Target="BDO%20Prequal%20new%20-%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preads"/>
      <sheetName val="Summary"/>
      <sheetName val="BDO Prequal"/>
      <sheetName val="Scores"/>
      <sheetName val="Charts"/>
      <sheetName val="504-Hybrid"/>
      <sheetName val="Lists"/>
      <sheetName val="Version"/>
      <sheetName val="BDO Prequal new - 2026"/>
    </sheetNames>
    <sheetDataSet>
      <sheetData sheetId="0"/>
      <sheetData sheetId="1"/>
      <sheetData sheetId="2"/>
      <sheetData sheetId="3"/>
      <sheetData sheetId="4"/>
      <sheetData sheetId="5"/>
      <sheetData sheetId="6"/>
      <sheetData sheetId="7"/>
      <sheetData sheetId="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121517-188B-4268-9792-F56825C08858}" name="Table223" displayName="Table223" ref="B96:K107" totalsRowCount="1" headerRowDxfId="56" dataDxfId="54" headerRowBorderDxfId="55" tableBorderDxfId="53" totalsRowBorderDxfId="52" dataCellStyle="Percent">
  <autoFilter ref="B96:K106" xr:uid="{9E121517-188B-4268-9792-F56825C08858}"/>
  <tableColumns count="10">
    <tableColumn id="1" xr3:uid="{DBD2B76E-45FD-4540-AE31-8811EAA623B7}" name="Lender" totalsRowFunction="custom" dataDxfId="51" totalsRowDxfId="50">
      <calculatedColumnFormula>'[1]BDO Prequal'!B207</calculatedColumnFormula>
      <totalsRowFormula>[1]!Table2[[#Totals],[Lender]]</totalsRowFormula>
    </tableColumn>
    <tableColumn id="2" xr3:uid="{DB525C96-307A-4514-AFEB-E2B0788218B5}" name="Current Balance" totalsRowFunction="custom" dataDxfId="49" totalsRowDxfId="48" dataCellStyle="Currency">
      <calculatedColumnFormula>'[1]BDO Prequal'!C207</calculatedColumnFormula>
      <totalsRowFormula>Table2[[#Totals],[Current Balance]]</totalsRowFormula>
    </tableColumn>
    <tableColumn id="3" xr3:uid="{5C1AB8A1-2DCE-4A6F-8C7E-590A3BB3601F}" name="Mthly Pmt" totalsRowFunction="custom" dataDxfId="47" totalsRowDxfId="46" dataCellStyle="Currency">
      <calculatedColumnFormula>'[1]BDO Prequal'!D207</calculatedColumnFormula>
      <totalsRowFormula>Table2[[#Totals],[Mthly Pmt]]</totalsRowFormula>
    </tableColumn>
    <tableColumn id="4" xr3:uid="{39D3928C-B410-43C3-BE39-9B6AED64F879}" name="Collateral" totalsRowFunction="custom" dataDxfId="45" totalsRowDxfId="44" dataCellStyle="Currency">
      <calculatedColumnFormula>'[1]BDO Prequal'!E207</calculatedColumnFormula>
      <totalsRowFormula>Table2[[#Totals],[Collateral]]</totalsRowFormula>
    </tableColumn>
    <tableColumn id="5" xr3:uid="{63738463-EC06-4039-9CBE-C085E831BB30}" name="Refinance?" totalsRowFunction="custom" dataDxfId="43" totalsRowDxfId="42" dataCellStyle="Currency">
      <calculatedColumnFormula>'[1]BDO Prequal'!F207</calculatedColumnFormula>
      <totalsRowFormula>Table2[[#Totals],[Refinance?]]</totalsRowFormula>
    </tableColumn>
    <tableColumn id="6" xr3:uid="{C82F739E-7507-4A69-A999-EB266BF8B954}" name="% of Loan" totalsRowFunction="custom" dataDxfId="41" totalsRowDxfId="40" dataCellStyle="Percent">
      <calculatedColumnFormula>'[1]BDO Prequal'!G207</calculatedColumnFormula>
      <totalsRowFormula>Table2[[#Totals],[% of Loan]]</totalsRowFormula>
    </tableColumn>
    <tableColumn id="7" xr3:uid="{E719EF61-596A-4CEF-8B5D-87E32BAFFBFF}" name="Refi Pmt" totalsRowFunction="custom" dataDxfId="39" totalsRowDxfId="38" dataCellStyle="Percent">
      <calculatedColumnFormula>'[1]BDO Prequal'!H207</calculatedColumnFormula>
      <totalsRowFormula>Table2[[#Totals],[Refi Pmt]]</totalsRowFormula>
    </tableColumn>
    <tableColumn id="8" xr3:uid="{2B77C4F0-B44B-4EFB-B5F0-8F4C638CB324}" name="% Chg" totalsRowFunction="custom" dataDxfId="37" totalsRowDxfId="36" dataCellStyle="Percent">
      <calculatedColumnFormula>'[1]BDO Prequal'!I207</calculatedColumnFormula>
      <totalsRowFormula>Table2[[#Totals],[% Chg]]</totalsRowFormula>
    </tableColumn>
    <tableColumn id="9" xr3:uid="{B24749C6-CB98-48BA-ADF1-E27FD3891DA0}" name="CF Debt Svc" totalsRowFunction="custom" dataDxfId="35" totalsRowDxfId="34">
      <calculatedColumnFormula>'[1]BDO Prequal'!J207</calculatedColumnFormula>
      <totalsRowFormula>Table2[[#Totals],[CF Debt Svc]]</totalsRowFormula>
    </tableColumn>
    <tableColumn id="10" xr3:uid="{D50B7CF8-61E1-4671-BD7B-8D06811D4829}" name="Reserved" totalsRowFunction="custom" dataDxfId="33" totalsRowDxfId="32">
      <totalsRowFormula>[1]!Table2[[#Totals],[Reserved]]</totalsRowFormula>
    </tableColumn>
  </tableColumns>
  <tableStyleInfo name="TableStyleMedium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206:K217" totalsRowCount="1">
  <tableColumns count="10">
    <tableColumn id="1" xr3:uid="{00000000-0010-0000-0000-000001000000}" name="Lender" totalsRowLabel="Total" totalsRowDxfId="66"/>
    <tableColumn id="2" xr3:uid="{00000000-0010-0000-0000-000002000000}" name="Current Balance" totalsRowFunction="custom" totalsRowDxfId="65">
      <totalsRowFormula>SUBTOTAL(109,Table2[Current Balance])</totalsRowFormula>
    </tableColumn>
    <tableColumn id="3" xr3:uid="{00000000-0010-0000-0000-000003000000}" name="Mthly Pmt" totalsRowFunction="sum" totalsRowDxfId="64"/>
    <tableColumn id="4" xr3:uid="{00000000-0010-0000-0000-000004000000}" name="Collateral" totalsRowDxfId="63"/>
    <tableColumn id="5" xr3:uid="{00000000-0010-0000-0000-000005000000}" name="Refinance?" totalsRowDxfId="62"/>
    <tableColumn id="6" xr3:uid="{00000000-0010-0000-0000-000006000000}" name="% of Loan" totalsRowFunction="sum" totalsRowDxfId="61">
      <calculatedColumnFormula>IFERROR(_xlfn.SINGLE(Table2[[#This Row],[Current Balance]])/$C$65,0)</calculatedColumnFormula>
    </tableColumn>
    <tableColumn id="7" xr3:uid="{00000000-0010-0000-0000-000007000000}" name="Refi Pmt" totalsRowFunction="sum" totalsRowDxfId="60">
      <calculatedColumnFormula>IFERROR(IF(_xlfn.SINGLE(Table2[[#This Row],[Refinance?]])="Yes",PMT($C$36/12,$C$39,-(_xlfn.SINGLE(Table2[[#This Row],[Current Balance]]))),0),0)</calculatedColumnFormula>
    </tableColumn>
    <tableColumn id="8" xr3:uid="{00000000-0010-0000-0000-000008000000}" name="% Chg" totalsRowFunction="sum" totalsRowDxfId="59">
      <calculatedColumnFormula>IFERROR((_xlfn.SINGLE(Table2[[#This Row],[Mthly Pmt]])-_xlfn.SINGLE(Table2[[#This Row],[Refi Pmt]]))/_xlfn.SINGLE(Table2[[#This Row],[Mthly Pmt]]),0)</calculatedColumnFormula>
    </tableColumn>
    <tableColumn id="9" xr3:uid="{00000000-0010-0000-0000-000009000000}" name="CF Debt Svc" totalsRowFunction="sum" totalsRowDxfId="58">
      <calculatedColumnFormula>IF(_xlfn.SINGLE(Table2[[#This Row],[Refinance?]])="Yes",0,_xlfn.SINGLE(Table2[[#This Row],[Mthly Pmt]]))</calculatedColumnFormula>
    </tableColumn>
    <tableColumn id="10" xr3:uid="{00000000-0010-0000-0000-00000A000000}" name="Reserved" totalsRowDxfId="5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7FDEC-9CAE-4639-932B-39B7935F3969}">
  <dimension ref="B1:R73"/>
  <sheetViews>
    <sheetView topLeftCell="A57" zoomScale="120" zoomScaleNormal="120" workbookViewId="0">
      <selection activeCell="J68" sqref="J68"/>
    </sheetView>
  </sheetViews>
  <sheetFormatPr defaultColWidth="12.77734375" defaultRowHeight="14.4"/>
  <cols>
    <col min="1" max="1" width="2.44140625" customWidth="1"/>
    <col min="2" max="2" width="33.44140625" bestFit="1" customWidth="1"/>
    <col min="3" max="7" width="14.33203125" bestFit="1" customWidth="1"/>
    <col min="8" max="8" width="13.77734375" bestFit="1" customWidth="1"/>
    <col min="9" max="10" width="12.109375" bestFit="1" customWidth="1"/>
  </cols>
  <sheetData>
    <row r="1" spans="2:18">
      <c r="B1" s="925" t="s">
        <v>697</v>
      </c>
      <c r="C1" s="926"/>
      <c r="D1" s="926"/>
      <c r="E1" s="926"/>
      <c r="F1" s="926"/>
      <c r="G1" s="926"/>
      <c r="H1" s="926"/>
      <c r="I1" s="926"/>
      <c r="J1" s="927"/>
    </row>
    <row r="2" spans="2:18">
      <c r="B2" s="611"/>
      <c r="C2" s="612" t="str">
        <f>'BDO Prequal'!C31</f>
        <v>T Bank Loan</v>
      </c>
      <c r="D2" s="612" t="str">
        <f>'BDO Prequal'!D31</f>
        <v>T Bank Loan</v>
      </c>
      <c r="E2" s="612" t="str">
        <f>'BDO Prequal'!E31</f>
        <v>CDC Debenture</v>
      </c>
      <c r="F2" s="612" t="str">
        <f>'BDO Prequal'!F31</f>
        <v>T Bank Loan</v>
      </c>
      <c r="G2" s="612" t="str">
        <f>'BDO Prequal'!G31</f>
        <v>T Bank Loan</v>
      </c>
      <c r="H2" s="612" t="str">
        <f>'BDO Prequal'!H31</f>
        <v>Equity</v>
      </c>
      <c r="I2" s="612" t="str">
        <f>'BDO Prequal'!I31</f>
        <v>Seller Note</v>
      </c>
      <c r="J2" s="613" t="str">
        <f>'BDO Prequal'!J31</f>
        <v>3rd Party</v>
      </c>
      <c r="K2" s="730"/>
    </row>
    <row r="3" spans="2:18">
      <c r="B3" s="614" t="s">
        <v>704</v>
      </c>
      <c r="C3" s="615" t="str">
        <f>IF('BDO Prequal'!C32=0,"", 'BDO Prequal'!C32)</f>
        <v>P&amp;E</v>
      </c>
      <c r="D3" s="615" t="str">
        <f>IF('BDO Prequal'!D32=0,"", 'BDO Prequal'!D32)</f>
        <v>USDA</v>
      </c>
      <c r="E3" s="615" t="str">
        <f>IF('BDO Prequal'!E32=0,"", 'BDO Prequal'!E32)</f>
        <v>Conventional</v>
      </c>
      <c r="F3" s="615" t="str">
        <f>IF('BDO Prequal'!F32=0,"", 'BDO Prequal'!F32)</f>
        <v>7A Express</v>
      </c>
      <c r="G3" s="615" t="str">
        <f>IF('BDO Prequal'!G32=0,"", 'BDO Prequal'!G32)</f>
        <v>CAPLine</v>
      </c>
      <c r="H3" s="615" t="str">
        <f>'BDO Prequal'!H31</f>
        <v>Equity</v>
      </c>
      <c r="I3" s="615" t="str">
        <f>'BDO Prequal'!I31</f>
        <v>Seller Note</v>
      </c>
      <c r="J3" s="615" t="str">
        <f>'BDO Prequal'!J31</f>
        <v>3rd Party</v>
      </c>
    </row>
    <row r="4" spans="2:18">
      <c r="B4" s="614" t="s">
        <v>705</v>
      </c>
      <c r="C4" s="729">
        <v>0.75</v>
      </c>
      <c r="D4" s="729">
        <v>0</v>
      </c>
      <c r="E4" s="729">
        <v>0.5</v>
      </c>
      <c r="F4" s="729">
        <v>0.24</v>
      </c>
      <c r="G4" s="729">
        <v>0.6</v>
      </c>
      <c r="H4" s="812">
        <v>0.54</v>
      </c>
      <c r="I4" s="812">
        <v>0.02</v>
      </c>
      <c r="J4" s="813">
        <v>0.03</v>
      </c>
    </row>
    <row r="5" spans="2:18">
      <c r="B5" s="614" t="s">
        <v>153</v>
      </c>
      <c r="C5" s="617">
        <f>'BDO Prequal'!C33</f>
        <v>1000</v>
      </c>
      <c r="D5" s="617">
        <f>'BDO Prequal'!D33</f>
        <v>20000</v>
      </c>
      <c r="E5" s="617">
        <f>'BDO Prequal'!E33</f>
        <v>30000</v>
      </c>
      <c r="F5" s="617">
        <f>'BDO Prequal'!F33</f>
        <v>4</v>
      </c>
      <c r="G5" s="617">
        <f>'BDO Prequal'!G33</f>
        <v>5</v>
      </c>
      <c r="H5" s="617">
        <f>'BDO Prequal'!H33</f>
        <v>6</v>
      </c>
      <c r="I5" s="617">
        <f>'BDO Prequal'!I33</f>
        <v>7</v>
      </c>
      <c r="J5" s="618">
        <f>'BDO Prequal'!J33</f>
        <v>8</v>
      </c>
    </row>
    <row r="6" spans="2:18">
      <c r="B6" s="614" t="s">
        <v>625</v>
      </c>
      <c r="C6" s="615" t="s">
        <v>634</v>
      </c>
      <c r="D6" s="615" t="s">
        <v>634</v>
      </c>
      <c r="E6" s="615" t="s">
        <v>442</v>
      </c>
      <c r="F6" s="615" t="s">
        <v>442</v>
      </c>
      <c r="G6" s="615" t="s">
        <v>442</v>
      </c>
      <c r="H6" s="615" t="s">
        <v>442</v>
      </c>
      <c r="I6" s="615" t="s">
        <v>442</v>
      </c>
      <c r="J6" s="616" t="s">
        <v>397</v>
      </c>
    </row>
    <row r="7" spans="2:18">
      <c r="B7" s="614" t="s">
        <v>706</v>
      </c>
      <c r="C7" s="615">
        <f>'BDO Prequal'!C38</f>
        <v>10</v>
      </c>
      <c r="D7" s="615">
        <f>'BDO Prequal'!D38</f>
        <v>10</v>
      </c>
      <c r="E7" s="615">
        <f>'BDO Prequal'!E38</f>
        <v>10</v>
      </c>
      <c r="F7" s="615">
        <f>'BDO Prequal'!F38</f>
        <v>10</v>
      </c>
      <c r="G7" s="615">
        <f>'BDO Prequal'!G38</f>
        <v>0</v>
      </c>
      <c r="H7" s="615">
        <f>'BDO Prequal'!H38</f>
        <v>0</v>
      </c>
      <c r="I7" s="615">
        <f>'BDO Prequal'!I38</f>
        <v>10</v>
      </c>
      <c r="J7" s="616">
        <f>'BDO Prequal'!J38</f>
        <v>25</v>
      </c>
    </row>
    <row r="8" spans="2:18">
      <c r="B8" s="614" t="s">
        <v>707</v>
      </c>
      <c r="C8" s="615">
        <f>'BDO Prequal'!C39</f>
        <v>120</v>
      </c>
      <c r="D8" s="615">
        <f>'BDO Prequal'!D39</f>
        <v>120</v>
      </c>
      <c r="E8" s="615">
        <f>'BDO Prequal'!E39</f>
        <v>120</v>
      </c>
      <c r="F8" s="615">
        <f>'BDO Prequal'!F39</f>
        <v>120</v>
      </c>
      <c r="G8" s="615">
        <f>'BDO Prequal'!G39</f>
        <v>0</v>
      </c>
      <c r="H8" s="615">
        <f>'BDO Prequal'!H39</f>
        <v>0</v>
      </c>
      <c r="I8" s="615">
        <f>'BDO Prequal'!I39</f>
        <v>120</v>
      </c>
      <c r="J8" s="616">
        <f>'BDO Prequal'!J39</f>
        <v>300</v>
      </c>
    </row>
    <row r="9" spans="2:18">
      <c r="B9" s="614" t="s">
        <v>47</v>
      </c>
      <c r="C9" s="619">
        <f>'BDO Prequal'!C34</f>
        <v>7.4999999999999997E-2</v>
      </c>
      <c r="D9" s="619">
        <f>'BDO Prequal'!D34</f>
        <v>7.4999999999999997E-2</v>
      </c>
      <c r="E9" s="619">
        <f>'BDO Prequal'!E34</f>
        <v>7.4999999999999997E-2</v>
      </c>
      <c r="F9" s="619">
        <f>'BDO Prequal'!F34</f>
        <v>7.4999999999999997E-2</v>
      </c>
      <c r="G9" s="619">
        <f>'BDO Prequal'!G34</f>
        <v>0</v>
      </c>
      <c r="H9" s="619">
        <f>'BDO Prequal'!H34</f>
        <v>0</v>
      </c>
      <c r="I9" s="619">
        <f>'BDO Prequal'!I34</f>
        <v>0.08</v>
      </c>
      <c r="J9" s="620">
        <f>'BDO Prequal'!J34</f>
        <v>6.2399999999999997E-2</v>
      </c>
      <c r="R9" s="728"/>
    </row>
    <row r="10" spans="2:18">
      <c r="B10" s="614" t="s">
        <v>51</v>
      </c>
      <c r="C10" s="619">
        <f>'BDO Prequal'!C35</f>
        <v>1.4999999999999999E-2</v>
      </c>
      <c r="D10" s="619">
        <f>'BDO Prequal'!D35</f>
        <v>1.4999999999999999E-2</v>
      </c>
      <c r="E10" s="619">
        <f>'BDO Prequal'!E35</f>
        <v>1.4999999999999999E-2</v>
      </c>
      <c r="F10" s="619">
        <f>'BDO Prequal'!F35</f>
        <v>1.4999999999999999E-2</v>
      </c>
      <c r="G10" s="619">
        <f>'BDO Prequal'!G35</f>
        <v>0</v>
      </c>
      <c r="H10" s="619">
        <f>'BDO Prequal'!H35</f>
        <v>0</v>
      </c>
      <c r="I10" s="619">
        <f>'BDO Prequal'!I35</f>
        <v>0</v>
      </c>
      <c r="J10" s="620">
        <f>'BDO Prequal'!J35</f>
        <v>0</v>
      </c>
      <c r="R10" s="728"/>
    </row>
    <row r="11" spans="2:18" ht="15" thickBot="1">
      <c r="B11" s="621" t="s">
        <v>708</v>
      </c>
      <c r="C11" s="622">
        <f>C9+C10</f>
        <v>0.09</v>
      </c>
      <c r="D11" s="622">
        <f t="shared" ref="D11:J11" si="0">D9+D10</f>
        <v>0.09</v>
      </c>
      <c r="E11" s="622">
        <f t="shared" si="0"/>
        <v>0.09</v>
      </c>
      <c r="F11" s="622">
        <f t="shared" si="0"/>
        <v>0.09</v>
      </c>
      <c r="G11" s="622">
        <f t="shared" si="0"/>
        <v>0</v>
      </c>
      <c r="H11" s="622">
        <f t="shared" si="0"/>
        <v>0</v>
      </c>
      <c r="I11" s="622">
        <f t="shared" si="0"/>
        <v>0.08</v>
      </c>
      <c r="J11" s="623">
        <f t="shared" si="0"/>
        <v>6.2399999999999997E-2</v>
      </c>
      <c r="R11" s="728"/>
    </row>
    <row r="12" spans="2:18" ht="15" thickBot="1">
      <c r="B12" s="624"/>
      <c r="C12" s="624"/>
      <c r="D12" s="624"/>
      <c r="E12" s="624"/>
      <c r="F12" s="624"/>
      <c r="G12" s="624"/>
      <c r="H12" s="624"/>
      <c r="I12" s="624"/>
      <c r="J12" s="624"/>
      <c r="R12" s="728"/>
    </row>
    <row r="13" spans="2:18">
      <c r="B13" s="925" t="s">
        <v>87</v>
      </c>
      <c r="C13" s="926"/>
      <c r="D13" s="926"/>
      <c r="E13" s="926"/>
      <c r="F13" s="926"/>
      <c r="G13" s="926"/>
      <c r="H13" s="926"/>
      <c r="I13" s="926"/>
      <c r="J13" s="926"/>
      <c r="K13" s="927"/>
      <c r="R13" s="728"/>
    </row>
    <row r="14" spans="2:18">
      <c r="B14" s="611"/>
      <c r="C14" s="612" t="str">
        <f>'BDO Prequal'!C47</f>
        <v>P&amp;E</v>
      </c>
      <c r="D14" s="612" t="str">
        <f>'BDO Prequal'!D47</f>
        <v>USDA</v>
      </c>
      <c r="E14" s="612" t="str">
        <f>'BDO Prequal'!E47</f>
        <v>Conventional</v>
      </c>
      <c r="F14" s="612" t="str">
        <f>'BDO Prequal'!F47</f>
        <v>7A Express</v>
      </c>
      <c r="G14" s="612" t="str">
        <f>'BDO Prequal'!G47</f>
        <v>CAPLine</v>
      </c>
      <c r="H14" s="612" t="str">
        <f>'BDO Prequal'!H47</f>
        <v>Equity</v>
      </c>
      <c r="I14" s="612" t="str">
        <f>'BDO Prequal'!I47</f>
        <v>Seller Note</v>
      </c>
      <c r="J14" s="612" t="str">
        <f>'BDO Prequal'!J47</f>
        <v>3rd Party</v>
      </c>
      <c r="K14" s="613" t="str">
        <f>'BDO Prequal'!K47</f>
        <v>Total</v>
      </c>
      <c r="R14" s="728"/>
    </row>
    <row r="15" spans="2:18">
      <c r="B15" s="625" t="s">
        <v>98</v>
      </c>
      <c r="C15" s="617">
        <f>'BDO Prequal'!C49</f>
        <v>896000</v>
      </c>
      <c r="D15" s="617">
        <f>'BDO Prequal'!D49</f>
        <v>896000</v>
      </c>
      <c r="E15" s="617">
        <f>'BDO Prequal'!E49</f>
        <v>896000</v>
      </c>
      <c r="F15" s="617">
        <f>'BDO Prequal'!F49</f>
        <v>896000</v>
      </c>
      <c r="G15" s="617">
        <f>'BDO Prequal'!G49</f>
        <v>896000</v>
      </c>
      <c r="H15" s="617">
        <f>'BDO Prequal'!H49</f>
        <v>8000</v>
      </c>
      <c r="I15" s="617">
        <f>'BDO Prequal'!I49</f>
        <v>80000</v>
      </c>
      <c r="J15" s="617">
        <f>'BDO Prequal'!J49</f>
        <v>16000</v>
      </c>
      <c r="K15" s="618">
        <f>'BDO Prequal'!K49</f>
        <v>1000000</v>
      </c>
      <c r="R15" s="728"/>
    </row>
    <row r="16" spans="2:18">
      <c r="B16" s="625" t="s">
        <v>101</v>
      </c>
      <c r="C16" s="617">
        <f>'BDO Prequal'!C50</f>
        <v>5387</v>
      </c>
      <c r="D16" s="617">
        <f>'BDO Prequal'!D50</f>
        <v>5387</v>
      </c>
      <c r="E16" s="617">
        <f>'BDO Prequal'!E50</f>
        <v>5387</v>
      </c>
      <c r="F16" s="617">
        <f>'BDO Prequal'!F50</f>
        <v>5387</v>
      </c>
      <c r="G16" s="617">
        <f>'BDO Prequal'!G50</f>
        <v>5387</v>
      </c>
      <c r="H16" s="617">
        <f>'BDO Prequal'!H50</f>
        <v>10</v>
      </c>
      <c r="I16" s="617">
        <f>'BDO Prequal'!I50</f>
        <v>1</v>
      </c>
      <c r="J16" s="617">
        <f>'BDO Prequal'!J50</f>
        <v>2</v>
      </c>
      <c r="K16" s="618">
        <f>'BDO Prequal'!K50</f>
        <v>5400</v>
      </c>
      <c r="R16" s="728"/>
    </row>
    <row r="17" spans="2:11">
      <c r="B17" s="625" t="s">
        <v>104</v>
      </c>
      <c r="C17" s="617">
        <f>'BDO Prequal'!C51</f>
        <v>55987</v>
      </c>
      <c r="D17" s="617">
        <f>'BDO Prequal'!D51</f>
        <v>55987</v>
      </c>
      <c r="E17" s="617">
        <f>'BDO Prequal'!E51</f>
        <v>55987</v>
      </c>
      <c r="F17" s="617">
        <f>'BDO Prequal'!F51</f>
        <v>55987</v>
      </c>
      <c r="G17" s="617">
        <f>'BDO Prequal'!G51</f>
        <v>55987</v>
      </c>
      <c r="H17" s="617">
        <f>'BDO Prequal'!H51</f>
        <v>10</v>
      </c>
      <c r="I17" s="617">
        <f>'BDO Prequal'!I51</f>
        <v>1</v>
      </c>
      <c r="J17" s="617">
        <f>'BDO Prequal'!J51</f>
        <v>2</v>
      </c>
      <c r="K17" s="618">
        <f>'BDO Prequal'!K51</f>
        <v>56000</v>
      </c>
    </row>
    <row r="18" spans="2:11">
      <c r="B18" s="625" t="s">
        <v>109</v>
      </c>
      <c r="C18" s="617">
        <f>'BDO Prequal'!C52</f>
        <v>4499</v>
      </c>
      <c r="D18" s="617">
        <f>'BDO Prequal'!D52</f>
        <v>4499</v>
      </c>
      <c r="E18" s="617">
        <f>'BDO Prequal'!E52</f>
        <v>4499</v>
      </c>
      <c r="F18" s="617">
        <f>'BDO Prequal'!F52</f>
        <v>4499</v>
      </c>
      <c r="G18" s="617">
        <f>'BDO Prequal'!G52</f>
        <v>4499</v>
      </c>
      <c r="H18" s="617">
        <f>'BDO Prequal'!H52</f>
        <v>10</v>
      </c>
      <c r="I18" s="617">
        <f>'BDO Prequal'!I52</f>
        <v>1</v>
      </c>
      <c r="J18" s="617">
        <f>'BDO Prequal'!J52</f>
        <v>2</v>
      </c>
      <c r="K18" s="618">
        <f>'BDO Prequal'!K52</f>
        <v>4512</v>
      </c>
    </row>
    <row r="19" spans="2:11">
      <c r="B19" s="625" t="s">
        <v>112</v>
      </c>
      <c r="C19" s="617">
        <f>'BDO Prequal'!C53</f>
        <v>2499</v>
      </c>
      <c r="D19" s="617">
        <f>'BDO Prequal'!D53</f>
        <v>2499</v>
      </c>
      <c r="E19" s="617">
        <f>'BDO Prequal'!E53</f>
        <v>2499</v>
      </c>
      <c r="F19" s="617">
        <f>'BDO Prequal'!F53</f>
        <v>2499</v>
      </c>
      <c r="G19" s="617">
        <f>'BDO Prequal'!G53</f>
        <v>2499</v>
      </c>
      <c r="H19" s="617">
        <f>'BDO Prequal'!H53</f>
        <v>10</v>
      </c>
      <c r="I19" s="617">
        <f>'BDO Prequal'!I53</f>
        <v>1</v>
      </c>
      <c r="J19" s="617">
        <f>'BDO Prequal'!J53</f>
        <v>2</v>
      </c>
      <c r="K19" s="618">
        <f>'BDO Prequal'!K53</f>
        <v>2512</v>
      </c>
    </row>
    <row r="20" spans="2:11">
      <c r="B20" s="625" t="s">
        <v>115</v>
      </c>
      <c r="C20" s="617">
        <f>'BDO Prequal'!C54</f>
        <v>4202</v>
      </c>
      <c r="D20" s="617">
        <f>'BDO Prequal'!D54</f>
        <v>4202</v>
      </c>
      <c r="E20" s="617">
        <f>'BDO Prequal'!E54</f>
        <v>4202</v>
      </c>
      <c r="F20" s="617">
        <f>'BDO Prequal'!F54</f>
        <v>4202</v>
      </c>
      <c r="G20" s="617">
        <f>'BDO Prequal'!G54</f>
        <v>4202</v>
      </c>
      <c r="H20" s="617">
        <f>'BDO Prequal'!H54</f>
        <v>10</v>
      </c>
      <c r="I20" s="617">
        <f>'BDO Prequal'!I54</f>
        <v>1</v>
      </c>
      <c r="J20" s="617">
        <f>'BDO Prequal'!J54</f>
        <v>2</v>
      </c>
      <c r="K20" s="618">
        <f>'BDO Prequal'!K54</f>
        <v>4215</v>
      </c>
    </row>
    <row r="21" spans="2:11">
      <c r="B21" s="625" t="s">
        <v>118</v>
      </c>
      <c r="C21" s="617">
        <f>'BDO Prequal'!C55</f>
        <v>84348</v>
      </c>
      <c r="D21" s="617">
        <f>'BDO Prequal'!D55</f>
        <v>84348</v>
      </c>
      <c r="E21" s="617">
        <f>'BDO Prequal'!E55</f>
        <v>84348</v>
      </c>
      <c r="F21" s="617">
        <f>'BDO Prequal'!F55</f>
        <v>84348</v>
      </c>
      <c r="G21" s="617">
        <f>'BDO Prequal'!G55</f>
        <v>84348</v>
      </c>
      <c r="H21" s="617">
        <f>'BDO Prequal'!H55</f>
        <v>10</v>
      </c>
      <c r="I21" s="617">
        <f>'BDO Prequal'!I55</f>
        <v>1</v>
      </c>
      <c r="J21" s="617">
        <f>'BDO Prequal'!J55</f>
        <v>2</v>
      </c>
      <c r="K21" s="618">
        <f>'BDO Prequal'!K55</f>
        <v>84361</v>
      </c>
    </row>
    <row r="22" spans="2:11">
      <c r="B22" s="625" t="s">
        <v>122</v>
      </c>
      <c r="C22" s="617">
        <f>'BDO Prequal'!C56</f>
        <v>58397</v>
      </c>
      <c r="D22" s="617">
        <f>'BDO Prequal'!D56</f>
        <v>58397</v>
      </c>
      <c r="E22" s="617">
        <f>'BDO Prequal'!E56</f>
        <v>58397</v>
      </c>
      <c r="F22" s="617">
        <f>'BDO Prequal'!F56</f>
        <v>58397</v>
      </c>
      <c r="G22" s="617">
        <f>'BDO Prequal'!G56</f>
        <v>58397</v>
      </c>
      <c r="H22" s="617">
        <f>'BDO Prequal'!H56</f>
        <v>10</v>
      </c>
      <c r="I22" s="617">
        <f>'BDO Prequal'!I56</f>
        <v>1</v>
      </c>
      <c r="J22" s="617">
        <f>'BDO Prequal'!J56</f>
        <v>2</v>
      </c>
      <c r="K22" s="618">
        <f>'BDO Prequal'!K56</f>
        <v>58410</v>
      </c>
    </row>
    <row r="23" spans="2:11">
      <c r="B23" s="625" t="s">
        <v>126</v>
      </c>
      <c r="C23" s="617">
        <f>'BDO Prequal'!C57</f>
        <v>2919</v>
      </c>
      <c r="D23" s="617">
        <f>'BDO Prequal'!D57</f>
        <v>2919</v>
      </c>
      <c r="E23" s="617">
        <f>'BDO Prequal'!E57</f>
        <v>2919</v>
      </c>
      <c r="F23" s="617">
        <f>'BDO Prequal'!F57</f>
        <v>2919</v>
      </c>
      <c r="G23" s="617">
        <f>'BDO Prequal'!G57</f>
        <v>2919</v>
      </c>
      <c r="H23" s="617">
        <f>'BDO Prequal'!H57</f>
        <v>10</v>
      </c>
      <c r="I23" s="617">
        <f>'BDO Prequal'!I57</f>
        <v>1</v>
      </c>
      <c r="J23" s="617">
        <f>'BDO Prequal'!J57</f>
        <v>2</v>
      </c>
      <c r="K23" s="618">
        <f>'BDO Prequal'!K57</f>
        <v>2932</v>
      </c>
    </row>
    <row r="24" spans="2:11">
      <c r="B24" s="625" t="s">
        <v>128</v>
      </c>
      <c r="C24" s="617">
        <f>'BDO Prequal'!C58</f>
        <v>3593</v>
      </c>
      <c r="D24" s="617">
        <f>'BDO Prequal'!D58</f>
        <v>3593</v>
      </c>
      <c r="E24" s="617">
        <f>'BDO Prequal'!E58</f>
        <v>3593</v>
      </c>
      <c r="F24" s="617">
        <f>'BDO Prequal'!F58</f>
        <v>3593</v>
      </c>
      <c r="G24" s="617">
        <f>'BDO Prequal'!G58</f>
        <v>3593</v>
      </c>
      <c r="H24" s="617">
        <f>'BDO Prequal'!H58</f>
        <v>10</v>
      </c>
      <c r="I24" s="617">
        <f>'BDO Prequal'!I58</f>
        <v>1</v>
      </c>
      <c r="J24" s="617">
        <f>'BDO Prequal'!J58</f>
        <v>2</v>
      </c>
      <c r="K24" s="618">
        <f>'BDO Prequal'!K58</f>
        <v>3606</v>
      </c>
    </row>
    <row r="25" spans="2:11">
      <c r="B25" s="625" t="s">
        <v>134</v>
      </c>
      <c r="C25" s="617">
        <f>'BDO Prequal'!C59</f>
        <v>45097</v>
      </c>
      <c r="D25" s="617">
        <f>'BDO Prequal'!D59</f>
        <v>45097</v>
      </c>
      <c r="E25" s="617">
        <f>'BDO Prequal'!E59</f>
        <v>45097</v>
      </c>
      <c r="F25" s="617">
        <f>'BDO Prequal'!F59</f>
        <v>45097</v>
      </c>
      <c r="G25" s="617">
        <f>'BDO Prequal'!G59</f>
        <v>45097</v>
      </c>
      <c r="H25" s="617">
        <f>'BDO Prequal'!H59</f>
        <v>10</v>
      </c>
      <c r="I25" s="617">
        <f>'BDO Prequal'!I59</f>
        <v>1</v>
      </c>
      <c r="J25" s="617">
        <f>'BDO Prequal'!J59</f>
        <v>2</v>
      </c>
      <c r="K25" s="618">
        <f>'BDO Prequal'!K59</f>
        <v>45110</v>
      </c>
    </row>
    <row r="26" spans="2:11">
      <c r="B26" s="625" t="s">
        <v>136</v>
      </c>
      <c r="C26" s="617">
        <f>'BDO Prequal'!C60</f>
        <v>8000</v>
      </c>
      <c r="D26" s="617">
        <f>'BDO Prequal'!D60</f>
        <v>200</v>
      </c>
      <c r="E26" s="617">
        <f>'BDO Prequal'!E60</f>
        <v>2230</v>
      </c>
      <c r="F26" s="617">
        <f>'BDO Prequal'!F60</f>
        <v>2000</v>
      </c>
      <c r="G26" s="617">
        <f>'BDO Prequal'!G60</f>
        <v>0</v>
      </c>
      <c r="H26" s="617">
        <f>'BDO Prequal'!H60</f>
        <v>373817</v>
      </c>
      <c r="I26" s="617">
        <f>'BDO Prequal'!I60</f>
        <v>8000</v>
      </c>
      <c r="J26" s="617">
        <f>'BDO Prequal'!J60</f>
        <v>800</v>
      </c>
      <c r="K26" s="618">
        <f>'BDO Prequal'!K60</f>
        <v>381817</v>
      </c>
    </row>
    <row r="27" spans="2:11">
      <c r="B27" s="625" t="s">
        <v>140</v>
      </c>
      <c r="C27" s="617">
        <f>'BDO Prequal'!C61</f>
        <v>-115579</v>
      </c>
      <c r="D27" s="617">
        <f>'BDO Prequal'!D61</f>
        <v>-115579</v>
      </c>
      <c r="E27" s="617">
        <f>'BDO Prequal'!E61</f>
        <v>-115579</v>
      </c>
      <c r="F27" s="617">
        <f>'BDO Prequal'!F61</f>
        <v>-115579</v>
      </c>
      <c r="G27" s="617">
        <f>'BDO Prequal'!G61</f>
        <v>-115579</v>
      </c>
      <c r="H27" s="617">
        <f>'BDO Prequal'!H61</f>
        <v>60000</v>
      </c>
      <c r="I27" s="617">
        <f>'BDO Prequal'!I61</f>
        <v>51210</v>
      </c>
      <c r="J27" s="617">
        <f>'BDO Prequal'!J61</f>
        <v>8880</v>
      </c>
      <c r="K27" s="618">
        <f>'BDO Prequal'!K61</f>
        <v>4511</v>
      </c>
    </row>
    <row r="28" spans="2:11">
      <c r="B28" s="625" t="s">
        <v>142</v>
      </c>
      <c r="C28" s="617">
        <f>'BDO Prequal'!C62</f>
        <v>-1095120</v>
      </c>
      <c r="D28" s="617">
        <f>'BDO Prequal'!D62</f>
        <v>-1095120</v>
      </c>
      <c r="E28" s="617">
        <f>'BDO Prequal'!E62</f>
        <v>-1095120</v>
      </c>
      <c r="F28" s="617">
        <f>'BDO Prequal'!F62</f>
        <v>-1095120</v>
      </c>
      <c r="G28" s="617">
        <f>'BDO Prequal'!G62</f>
        <v>-1095120</v>
      </c>
      <c r="H28" s="617">
        <f>'BDO Prequal'!H62</f>
        <v>900000</v>
      </c>
      <c r="I28" s="617">
        <f>'BDO Prequal'!I62</f>
        <v>112121</v>
      </c>
      <c r="J28" s="617">
        <f>'BDO Prequal'!J62</f>
        <v>88880</v>
      </c>
      <c r="K28" s="618">
        <f>'BDO Prequal'!K62</f>
        <v>5881</v>
      </c>
    </row>
    <row r="29" spans="2:11">
      <c r="B29" s="625" t="s">
        <v>26</v>
      </c>
      <c r="C29" s="617">
        <f>'BDO Prequal'!C63</f>
        <v>-80781</v>
      </c>
      <c r="D29" s="617">
        <f>'BDO Prequal'!D63</f>
        <v>-80781</v>
      </c>
      <c r="E29" s="617">
        <f>'BDO Prequal'!E63</f>
        <v>-80781</v>
      </c>
      <c r="F29" s="617">
        <f>'BDO Prequal'!F63</f>
        <v>-80781</v>
      </c>
      <c r="G29" s="617">
        <f>'BDO Prequal'!G63</f>
        <v>-80781</v>
      </c>
      <c r="H29" s="617">
        <f>'BDO Prequal'!H63</f>
        <v>50</v>
      </c>
      <c r="I29" s="617">
        <f>'BDO Prequal'!I63</f>
        <v>5841</v>
      </c>
      <c r="J29" s="617">
        <f>'BDO Prequal'!J63</f>
        <v>99990</v>
      </c>
      <c r="K29" s="618">
        <f>'BDO Prequal'!K63</f>
        <v>25100</v>
      </c>
    </row>
    <row r="30" spans="2:11">
      <c r="B30" s="625" t="s">
        <v>145</v>
      </c>
      <c r="C30" s="617">
        <f>'BDO Prequal'!C64</f>
        <v>5050</v>
      </c>
      <c r="D30" s="617">
        <f>'BDO Prequal'!D64</f>
        <v>80</v>
      </c>
      <c r="E30" s="617">
        <f>'BDO Prequal'!E64</f>
        <v>800</v>
      </c>
      <c r="F30" s="617">
        <f>'BDO Prequal'!F64</f>
        <v>80</v>
      </c>
      <c r="G30" s="617">
        <f>'BDO Prequal'!G64</f>
        <v>0</v>
      </c>
      <c r="H30" s="617">
        <f>'BDO Prequal'!H64</f>
        <v>-5050</v>
      </c>
      <c r="I30" s="617">
        <f>'BDO Prequal'!I64</f>
        <v>0</v>
      </c>
      <c r="J30" s="617">
        <f>'BDO Prequal'!J64</f>
        <v>0</v>
      </c>
      <c r="K30" s="618">
        <f>'BDO Prequal'!K64</f>
        <v>0</v>
      </c>
    </row>
    <row r="31" spans="2:11">
      <c r="B31" s="626" t="s">
        <v>29</v>
      </c>
      <c r="C31" s="617">
        <f>'BDO Prequal'!C65</f>
        <v>-115502</v>
      </c>
      <c r="D31" s="617">
        <f>'BDO Prequal'!D65</f>
        <v>-128272</v>
      </c>
      <c r="E31" s="617">
        <f>'BDO Prequal'!E65</f>
        <v>-125522</v>
      </c>
      <c r="F31" s="617">
        <f>'BDO Prequal'!F65</f>
        <v>-126472</v>
      </c>
      <c r="G31" s="617">
        <f>'BDO Prequal'!G65</f>
        <v>-128552</v>
      </c>
      <c r="H31" s="617">
        <f>'BDO Prequal'!H65</f>
        <v>1336917</v>
      </c>
      <c r="I31" s="617">
        <f>'BDO Prequal'!I65</f>
        <v>257182</v>
      </c>
      <c r="J31" s="617">
        <f>'BDO Prequal'!J65</f>
        <v>214570</v>
      </c>
      <c r="K31" s="618">
        <f>'BDO Prequal'!K65</f>
        <v>1684367</v>
      </c>
    </row>
    <row r="32" spans="2:11" ht="15" thickBot="1">
      <c r="B32" s="627" t="s">
        <v>709</v>
      </c>
      <c r="C32" s="628">
        <f>'BDO Prequal'!C66</f>
        <v>-6.8572941645140287E-2</v>
      </c>
      <c r="D32" s="628">
        <f>'BDO Prequal'!D66</f>
        <v>-7.6154424777972976E-2</v>
      </c>
      <c r="E32" s="628">
        <f>'BDO Prequal'!G66</f>
        <v>-7.6320659333743768E-2</v>
      </c>
      <c r="F32" s="628">
        <f>'BDO Prequal'!H66</f>
        <v>0.79372072713369468</v>
      </c>
      <c r="G32" s="628">
        <f>'BDO Prequal'!I66</f>
        <v>0.15268762686516657</v>
      </c>
      <c r="H32" s="628">
        <f>'BDO Prequal'!H66</f>
        <v>0.79372072713369468</v>
      </c>
      <c r="I32" s="628">
        <f>'BDO Prequal'!I66</f>
        <v>0.15268762686516657</v>
      </c>
      <c r="J32" s="628">
        <f>'BDO Prequal'!J66</f>
        <v>0.12738910225621849</v>
      </c>
      <c r="K32" s="629">
        <f>'BDO Prequal'!K66</f>
        <v>1</v>
      </c>
    </row>
    <row r="33" spans="2:10" ht="15" thickBot="1">
      <c r="B33" s="630"/>
      <c r="C33" s="631"/>
      <c r="D33" s="631"/>
      <c r="E33" s="631"/>
      <c r="F33" s="631"/>
      <c r="G33" s="631"/>
      <c r="H33" s="631"/>
      <c r="I33" s="631"/>
      <c r="J33" s="632"/>
    </row>
    <row r="34" spans="2:10">
      <c r="B34" s="925" t="s">
        <v>190</v>
      </c>
      <c r="C34" s="926"/>
      <c r="D34" s="926"/>
      <c r="E34" s="926"/>
      <c r="F34" s="927"/>
      <c r="G34" s="633"/>
      <c r="H34" s="633"/>
      <c r="I34" s="633"/>
      <c r="J34" s="633"/>
    </row>
    <row r="35" spans="2:10">
      <c r="B35" s="634"/>
      <c r="C35" s="612" t="s">
        <v>710</v>
      </c>
      <c r="D35" s="612" t="s">
        <v>711</v>
      </c>
      <c r="E35" s="612" t="s">
        <v>712</v>
      </c>
      <c r="F35" s="613" t="s">
        <v>713</v>
      </c>
      <c r="G35" s="633"/>
      <c r="H35" s="633"/>
      <c r="I35" s="633"/>
      <c r="J35" s="633"/>
    </row>
    <row r="36" spans="2:10">
      <c r="B36" s="614" t="s">
        <v>196</v>
      </c>
      <c r="C36" s="635">
        <f>'BDO Prequal'!D85</f>
        <v>44926</v>
      </c>
      <c r="D36" s="635">
        <f>'BDO Prequal'!F85</f>
        <v>45291</v>
      </c>
      <c r="E36" s="635">
        <f>'BDO Prequal'!H85</f>
        <v>45657</v>
      </c>
      <c r="F36" s="636">
        <f>'BDO Prequal'!J85</f>
        <v>45747</v>
      </c>
      <c r="G36" s="633"/>
      <c r="H36" s="633"/>
      <c r="I36" s="633"/>
      <c r="J36" s="633"/>
    </row>
    <row r="37" spans="2:10">
      <c r="B37" s="614" t="s">
        <v>198</v>
      </c>
      <c r="C37" s="615">
        <f>'BDO Prequal'!D86</f>
        <v>12</v>
      </c>
      <c r="D37" s="615">
        <f>'BDO Prequal'!F86</f>
        <v>12</v>
      </c>
      <c r="E37" s="615">
        <f>'BDO Prequal'!H86</f>
        <v>12</v>
      </c>
      <c r="F37" s="616">
        <f>'BDO Prequal'!J86</f>
        <v>3</v>
      </c>
      <c r="G37" s="633"/>
      <c r="H37" s="633"/>
      <c r="I37" s="633"/>
      <c r="J37" s="633"/>
    </row>
    <row r="38" spans="2:10">
      <c r="B38" s="614" t="s">
        <v>714</v>
      </c>
      <c r="C38" s="615" t="str">
        <f>IF(OR('BDO Prequal'!D87="",'BDO Prequal'!D87=0),"",'BDO Prequal'!D87)</f>
        <v>Tax Returns</v>
      </c>
      <c r="D38" s="615" t="str">
        <f>IF(OR('BDO Prequal'!F87="",'BDO Prequal'!F87=0),"",'BDO Prequal'!F87)</f>
        <v>Tax Returns</v>
      </c>
      <c r="E38" s="615" t="str">
        <f>IF(OR('BDO Prequal'!H87="",'BDO Prequal'!H87=0),"",'BDO Prequal'!H87)</f>
        <v>Form 10K</v>
      </c>
      <c r="F38" s="616" t="str">
        <f>IF(OR('BDO Prequal'!J87="",'BDO Prequal'!J87=0),"",'BDO Prequal'!J87)</f>
        <v>Internal</v>
      </c>
      <c r="G38" s="633"/>
      <c r="H38" s="633"/>
      <c r="I38" s="633"/>
      <c r="J38" s="633"/>
    </row>
    <row r="39" spans="2:10">
      <c r="B39" s="614" t="s">
        <v>715</v>
      </c>
      <c r="C39" s="635" t="str">
        <f>IF(OR('BDO Prequal'!D88="",'BDO Prequal'!D88=0),"",'BDO Prequal'!D88)</f>
        <v>Accrual</v>
      </c>
      <c r="D39" s="635" t="str">
        <f>IF(OR('BDO Prequal'!F88="",'BDO Prequal'!F88=0),"",'BDO Prequal'!F88)</f>
        <v>Accrual</v>
      </c>
      <c r="E39" s="635" t="str">
        <f>IF(OR('BDO Prequal'!H88="",'BDO Prequal'!H88=0),"",'BDO Prequal'!H88)</f>
        <v>Cash</v>
      </c>
      <c r="F39" s="636" t="str">
        <f>IF(OR('BDO Prequal'!J88="",'BDO Prequal'!J88=0),"",'BDO Prequal'!J88)</f>
        <v>Cash</v>
      </c>
      <c r="G39" s="633"/>
      <c r="H39" s="633"/>
      <c r="I39" s="633"/>
      <c r="J39" s="633"/>
    </row>
    <row r="40" spans="2:10">
      <c r="B40" s="922" t="s">
        <v>716</v>
      </c>
      <c r="C40" s="923"/>
      <c r="D40" s="923"/>
      <c r="E40" s="923"/>
      <c r="F40" s="924"/>
      <c r="G40" s="633"/>
      <c r="H40" s="633"/>
      <c r="I40" s="633"/>
      <c r="J40" s="633"/>
    </row>
    <row r="41" spans="2:10">
      <c r="B41" s="614" t="s">
        <v>717</v>
      </c>
      <c r="C41" s="806">
        <f>'BDO Prequal'!D99</f>
        <v>9000</v>
      </c>
      <c r="D41" s="806">
        <f>'BDO Prequal'!F99</f>
        <v>2166</v>
      </c>
      <c r="E41" s="806">
        <f>'BDO Prequal'!H99</f>
        <v>1145</v>
      </c>
      <c r="F41" s="807">
        <f>'BDO Prequal'!J99</f>
        <v>880</v>
      </c>
      <c r="G41" s="633"/>
      <c r="H41" s="633"/>
      <c r="I41" s="633"/>
      <c r="J41" s="633"/>
    </row>
    <row r="42" spans="2:10">
      <c r="B42" s="614" t="s">
        <v>718</v>
      </c>
      <c r="C42" s="806">
        <f>'BDO Prequal'!D100</f>
        <v>50</v>
      </c>
      <c r="D42" s="806">
        <f>'BDO Prequal'!F100</f>
        <v>500</v>
      </c>
      <c r="E42" s="806">
        <f>'BDO Prequal'!H100</f>
        <v>400</v>
      </c>
      <c r="F42" s="807">
        <f>'BDO Prequal'!J100</f>
        <v>8000</v>
      </c>
      <c r="G42" s="633"/>
      <c r="H42" s="633"/>
      <c r="I42" s="633"/>
      <c r="J42" s="633"/>
    </row>
    <row r="43" spans="2:10">
      <c r="B43" s="614" t="s">
        <v>719</v>
      </c>
      <c r="C43" s="806">
        <f>'BDO Prequal'!D101</f>
        <v>8950</v>
      </c>
      <c r="D43" s="806">
        <f>'BDO Prequal'!F101</f>
        <v>1666</v>
      </c>
      <c r="E43" s="806">
        <f>'BDO Prequal'!H101</f>
        <v>745</v>
      </c>
      <c r="F43" s="807">
        <f>'BDO Prequal'!J101</f>
        <v>-7120</v>
      </c>
      <c r="G43" s="633"/>
      <c r="H43" s="633"/>
      <c r="I43" s="633"/>
      <c r="J43" s="633"/>
    </row>
    <row r="44" spans="2:10">
      <c r="B44" s="922" t="s">
        <v>720</v>
      </c>
      <c r="C44" s="923"/>
      <c r="D44" s="923"/>
      <c r="E44" s="923"/>
      <c r="F44" s="924"/>
      <c r="G44" s="633"/>
      <c r="H44" s="633"/>
      <c r="I44" s="633"/>
      <c r="J44" s="633"/>
    </row>
    <row r="45" spans="2:10">
      <c r="B45" s="614" t="s">
        <v>721</v>
      </c>
      <c r="C45" s="806">
        <f>'BDO Prequal'!D128</f>
        <v>800</v>
      </c>
      <c r="D45" s="806">
        <f>'BDO Prequal'!F128</f>
        <v>800</v>
      </c>
      <c r="E45" s="806">
        <f>'BDO Prequal'!H128</f>
        <v>500</v>
      </c>
      <c r="F45" s="808">
        <f>'BDO Prequal'!J128</f>
        <v>5000</v>
      </c>
      <c r="G45" s="633"/>
      <c r="H45" s="633"/>
      <c r="I45" s="633"/>
      <c r="J45" s="633"/>
    </row>
    <row r="46" spans="2:10">
      <c r="B46" s="614" t="s">
        <v>722</v>
      </c>
      <c r="C46" s="806">
        <f>'BDO Prequal'!D130</f>
        <v>8150</v>
      </c>
      <c r="D46" s="806">
        <f>'BDO Prequal'!F130</f>
        <v>866</v>
      </c>
      <c r="E46" s="806">
        <f>'BDO Prequal'!H130</f>
        <v>245</v>
      </c>
      <c r="F46" s="808">
        <f>'BDO Prequal'!G130</f>
        <v>0.39981532779316714</v>
      </c>
      <c r="G46" s="633"/>
      <c r="H46" s="633"/>
      <c r="I46" s="633"/>
      <c r="J46" s="633"/>
    </row>
    <row r="47" spans="2:10">
      <c r="B47" s="614" t="s">
        <v>723</v>
      </c>
      <c r="C47" s="806">
        <f>'BDO Prequal'!D136</f>
        <v>5050</v>
      </c>
      <c r="D47" s="806">
        <f>'BDO Prequal'!F136</f>
        <v>6050</v>
      </c>
      <c r="E47" s="806">
        <f>'BDO Prequal'!H136</f>
        <v>8600</v>
      </c>
      <c r="F47" s="808">
        <f>'BDO Prequal'!G136</f>
        <v>2.7931671283471839</v>
      </c>
      <c r="G47" s="633"/>
      <c r="H47" s="633"/>
      <c r="I47" s="633"/>
      <c r="J47" s="633"/>
    </row>
    <row r="48" spans="2:10">
      <c r="B48" s="614" t="s">
        <v>724</v>
      </c>
      <c r="C48" s="806">
        <f>'BDO Prequal'!D138</f>
        <v>13200</v>
      </c>
      <c r="D48" s="806">
        <f>'BDO Prequal'!F138</f>
        <v>6916</v>
      </c>
      <c r="E48" s="806">
        <f>'BDO Prequal'!H138</f>
        <v>8845</v>
      </c>
      <c r="F48" s="808">
        <f>'BDO Prequal'!G138</f>
        <v>3.192982456140351</v>
      </c>
      <c r="G48" s="633"/>
      <c r="H48" s="633"/>
      <c r="I48" s="633"/>
      <c r="J48" s="633"/>
    </row>
    <row r="49" spans="2:10">
      <c r="B49" s="922" t="s">
        <v>725</v>
      </c>
      <c r="C49" s="923"/>
      <c r="D49" s="923"/>
      <c r="E49" s="923"/>
      <c r="F49" s="924"/>
      <c r="G49" s="633"/>
      <c r="H49" s="633"/>
      <c r="I49" s="633"/>
      <c r="J49" s="633"/>
    </row>
    <row r="50" spans="2:10">
      <c r="B50" s="614" t="s">
        <v>726</v>
      </c>
      <c r="C50" s="809">
        <f>'BDO Prequal'!D144+'BDO Prequal'!D145+'BDO Prequal'!D146+'BDO Prequal'!D147</f>
        <v>9000</v>
      </c>
      <c r="D50" s="809">
        <f>'BDO Prequal'!F144+'BDO Prequal'!F145+'BDO Prequal'!F146+'BDO Prequal'!F147</f>
        <v>4562</v>
      </c>
      <c r="E50" s="809">
        <f>'BDO Prequal'!H144+'BDO Prequal'!H145+'BDO Prequal'!H146+'BDO Prequal'!H147</f>
        <v>461</v>
      </c>
      <c r="F50" s="810">
        <f>'BDO Prequal'!J144+'BDO Prequal'!J145+'BDO Prequal'!J146+'BDO Prequal'!J147</f>
        <v>621</v>
      </c>
      <c r="G50" s="633"/>
      <c r="H50" s="633"/>
      <c r="I50" s="633"/>
      <c r="J50" s="633"/>
    </row>
    <row r="51" spans="2:10">
      <c r="B51" s="614" t="s">
        <v>727</v>
      </c>
      <c r="C51" s="809">
        <f>'BDO Prequal'!D148</f>
        <v>45</v>
      </c>
      <c r="D51" s="809">
        <f>'BDO Prequal'!F148</f>
        <v>46</v>
      </c>
      <c r="E51" s="809">
        <f>'BDO Prequal'!H148</f>
        <v>10</v>
      </c>
      <c r="F51" s="810">
        <f>'BDO Prequal'!J148</f>
        <v>11</v>
      </c>
      <c r="G51" s="633"/>
      <c r="H51" s="633"/>
      <c r="I51" s="633"/>
      <c r="J51" s="633"/>
    </row>
    <row r="52" spans="2:10">
      <c r="B52" s="614" t="s">
        <v>728</v>
      </c>
      <c r="C52" s="809">
        <f>'BDO Prequal'!D149</f>
        <v>21</v>
      </c>
      <c r="D52" s="809">
        <f>'BDO Prequal'!F149</f>
        <v>21</v>
      </c>
      <c r="E52" s="809">
        <f>'BDO Prequal'!H149</f>
        <v>22</v>
      </c>
      <c r="F52" s="810">
        <f>'BDO Prequal'!J149</f>
        <v>23</v>
      </c>
      <c r="G52" s="633"/>
      <c r="H52" s="633"/>
      <c r="I52" s="633"/>
      <c r="J52" s="633"/>
    </row>
    <row r="53" spans="2:10">
      <c r="B53" s="614" t="s">
        <v>729</v>
      </c>
      <c r="C53" s="809">
        <f>'BDO Prequal'!D150</f>
        <v>0</v>
      </c>
      <c r="D53" s="809">
        <f>'BDO Prequal'!F150</f>
        <v>0</v>
      </c>
      <c r="E53" s="809">
        <f>'BDO Prequal'!H150</f>
        <v>0</v>
      </c>
      <c r="F53" s="810">
        <f>'BDO Prequal'!J150</f>
        <v>0</v>
      </c>
      <c r="G53" s="633"/>
      <c r="H53" s="633"/>
      <c r="I53" s="633"/>
      <c r="J53" s="633"/>
    </row>
    <row r="54" spans="2:10">
      <c r="B54" s="614" t="s">
        <v>730</v>
      </c>
      <c r="C54" s="809"/>
      <c r="D54" s="809"/>
      <c r="E54" s="809"/>
      <c r="F54" s="810"/>
      <c r="G54" s="633"/>
      <c r="H54" s="633"/>
      <c r="I54" s="633"/>
      <c r="J54" s="633"/>
    </row>
    <row r="55" spans="2:10">
      <c r="B55" s="614" t="s">
        <v>731</v>
      </c>
      <c r="C55" s="809"/>
      <c r="D55" s="809"/>
      <c r="E55" s="809"/>
      <c r="F55" s="810"/>
      <c r="G55" s="633"/>
      <c r="H55" s="633"/>
      <c r="I55" s="633"/>
      <c r="J55" s="633"/>
    </row>
    <row r="56" spans="2:10">
      <c r="B56" s="922" t="s">
        <v>732</v>
      </c>
      <c r="C56" s="923"/>
      <c r="D56" s="923"/>
      <c r="E56" s="923"/>
      <c r="F56" s="924"/>
      <c r="G56" s="633"/>
      <c r="H56" s="633"/>
      <c r="I56" s="633"/>
      <c r="J56" s="633"/>
    </row>
    <row r="57" spans="2:10">
      <c r="B57" s="614" t="s">
        <v>733</v>
      </c>
      <c r="C57" s="806">
        <f>'BDO Prequal'!D153</f>
        <v>23165</v>
      </c>
      <c r="D57" s="806">
        <f>'BDO Prequal'!F153</f>
        <v>12543</v>
      </c>
      <c r="E57" s="806">
        <f>'BDO Prequal'!H153</f>
        <v>9405</v>
      </c>
      <c r="F57" s="808">
        <f>'BDO Prequal'!J153</f>
        <v>-1663</v>
      </c>
      <c r="G57" s="633"/>
      <c r="H57" s="633"/>
      <c r="I57" s="633"/>
      <c r="J57" s="633"/>
    </row>
    <row r="58" spans="2:10">
      <c r="B58" s="614" t="s">
        <v>734</v>
      </c>
      <c r="C58" s="806">
        <f>'BDO Prequal'!D155</f>
        <v>600</v>
      </c>
      <c r="D58" s="806">
        <f>'BDO Prequal'!F155</f>
        <v>700</v>
      </c>
      <c r="E58" s="806">
        <f>'BDO Prequal'!H155</f>
        <v>8000</v>
      </c>
      <c r="F58" s="808">
        <f>'BDO Prequal'!J155</f>
        <v>600</v>
      </c>
      <c r="G58" s="633"/>
      <c r="H58" s="633"/>
      <c r="I58" s="633"/>
      <c r="J58" s="633"/>
    </row>
    <row r="59" spans="2:10">
      <c r="B59" s="614" t="s">
        <v>735</v>
      </c>
      <c r="C59" s="806">
        <f ca="1">'BDO Prequal'!D156</f>
        <v>152.05897314497585</v>
      </c>
      <c r="D59" s="806">
        <f ca="1">'BDO Prequal'!F156</f>
        <v>152.05897314497585</v>
      </c>
      <c r="E59" s="806">
        <f ca="1">'BDO Prequal'!H156</f>
        <v>152.05897314497585</v>
      </c>
      <c r="F59" s="808">
        <f ca="1">'BDO Prequal'!J156</f>
        <v>38.014743286243963</v>
      </c>
      <c r="G59" s="633"/>
      <c r="H59" s="633"/>
      <c r="I59" s="633"/>
      <c r="J59" s="633"/>
    </row>
    <row r="60" spans="2:10">
      <c r="B60" s="614" t="s">
        <v>736</v>
      </c>
      <c r="C60" s="806"/>
      <c r="D60" s="806"/>
      <c r="E60" s="806"/>
      <c r="F60" s="808"/>
      <c r="G60" s="633"/>
      <c r="H60" s="633"/>
      <c r="I60" s="633"/>
      <c r="J60" s="633"/>
    </row>
    <row r="61" spans="2:10">
      <c r="B61" s="614" t="s">
        <v>737</v>
      </c>
      <c r="C61" s="806"/>
      <c r="D61" s="806"/>
      <c r="E61" s="806"/>
      <c r="F61" s="808"/>
      <c r="G61" s="633"/>
      <c r="H61" s="633"/>
      <c r="I61" s="633"/>
      <c r="J61" s="633"/>
    </row>
    <row r="62" spans="2:10">
      <c r="B62" s="614" t="s">
        <v>738</v>
      </c>
      <c r="C62" s="806">
        <f>'BDO Prequal'!D159</f>
        <v>37443.928045799286</v>
      </c>
      <c r="D62" s="806">
        <f>'BDO Prequal'!F159</f>
        <v>37443.928045799286</v>
      </c>
      <c r="E62" s="806">
        <f>'BDO Prequal'!H159</f>
        <v>37443.928045799286</v>
      </c>
      <c r="F62" s="808">
        <f>'BDO Prequal'!J159</f>
        <v>9360.9820114498216</v>
      </c>
      <c r="G62" s="633"/>
      <c r="H62" s="633"/>
      <c r="I62" s="633"/>
      <c r="J62" s="633"/>
    </row>
    <row r="63" spans="2:10">
      <c r="B63" s="614" t="s">
        <v>739</v>
      </c>
      <c r="C63" s="806">
        <f>'BDO Prequal'!D160</f>
        <v>100</v>
      </c>
      <c r="D63" s="806">
        <f>'BDO Prequal'!F160</f>
        <v>200</v>
      </c>
      <c r="E63" s="803">
        <f>'BDO Prequal'!H160</f>
        <v>1400</v>
      </c>
      <c r="F63" s="808">
        <f>'BDO Prequal'!J160</f>
        <v>3000</v>
      </c>
      <c r="G63" s="633"/>
      <c r="H63" s="633"/>
      <c r="I63" s="633"/>
      <c r="J63" s="633"/>
    </row>
    <row r="64" spans="2:10">
      <c r="B64" s="614" t="s">
        <v>740</v>
      </c>
      <c r="C64" s="806">
        <f ca="1">'BDO Prequal'!D161</f>
        <v>38295.987018944259</v>
      </c>
      <c r="D64" s="806">
        <f ca="1">'BDO Prequal'!F161</f>
        <v>38495.987018944259</v>
      </c>
      <c r="E64" s="806">
        <f ca="1">'BDO Prequal'!H161</f>
        <v>46995.987018944259</v>
      </c>
      <c r="F64" s="808">
        <f ca="1">'BDO Prequal'!J161</f>
        <v>12998.996754736065</v>
      </c>
      <c r="G64" s="633"/>
      <c r="H64" s="633"/>
      <c r="I64" s="633"/>
      <c r="J64" s="633"/>
    </row>
    <row r="65" spans="2:10">
      <c r="B65" s="614" t="s">
        <v>741</v>
      </c>
      <c r="C65" s="637">
        <f ca="1">'BDO Prequal'!D163</f>
        <v>0.60489366649672038</v>
      </c>
      <c r="D65" s="637">
        <f ca="1">'BDO Prequal'!F163</f>
        <v>0.32582616972068973</v>
      </c>
      <c r="E65" s="637">
        <f ca="1">'BDO Prequal'!H163</f>
        <v>0.20012347003604392</v>
      </c>
      <c r="F65" s="638">
        <f ca="1">'BDO Prequal'!J163</f>
        <v>-0.12793294985584955</v>
      </c>
      <c r="G65" s="633"/>
      <c r="H65" s="633"/>
      <c r="I65" s="633"/>
      <c r="J65" s="633"/>
    </row>
    <row r="66" spans="2:10">
      <c r="B66" s="922" t="s">
        <v>742</v>
      </c>
      <c r="C66" s="923"/>
      <c r="D66" s="923"/>
      <c r="E66" s="923"/>
      <c r="F66" s="924"/>
      <c r="G66" s="633"/>
      <c r="H66" s="633"/>
      <c r="I66" s="633"/>
      <c r="J66" s="633"/>
    </row>
    <row r="67" spans="2:10">
      <c r="B67" s="614" t="s">
        <v>743</v>
      </c>
      <c r="C67" s="811">
        <f>'BDO Prequal'!D194</f>
        <v>27896</v>
      </c>
      <c r="D67" s="811">
        <f>'BDO Prequal'!F194</f>
        <v>17543</v>
      </c>
      <c r="E67" s="811">
        <f>'BDO Prequal'!H194</f>
        <v>11335</v>
      </c>
      <c r="F67" s="808">
        <f>'BDO Prequal'!J194</f>
        <v>18581</v>
      </c>
      <c r="G67" s="633"/>
      <c r="H67" s="633"/>
      <c r="I67" s="633"/>
      <c r="J67" s="633"/>
    </row>
    <row r="68" spans="2:10">
      <c r="B68" s="614" t="s">
        <v>744</v>
      </c>
      <c r="C68" s="811">
        <f>'BDO Prequal'!D171</f>
        <v>22265</v>
      </c>
      <c r="D68" s="811">
        <f>'BDO Prequal'!F171</f>
        <v>11543</v>
      </c>
      <c r="E68" s="811">
        <f>'BDO Prequal'!H171</f>
        <v>9335</v>
      </c>
      <c r="F68" s="808">
        <f>'BDO Prequal'!J171</f>
        <v>-1670</v>
      </c>
      <c r="G68" s="633"/>
      <c r="H68" s="633"/>
      <c r="I68" s="633"/>
      <c r="J68" s="633"/>
    </row>
    <row r="69" spans="2:10">
      <c r="B69" s="614" t="s">
        <v>745</v>
      </c>
      <c r="C69" s="811">
        <f>C67+C68</f>
        <v>50161</v>
      </c>
      <c r="D69" s="811">
        <f t="shared" ref="D69:F69" si="1">D67+D68</f>
        <v>29086</v>
      </c>
      <c r="E69" s="811">
        <f t="shared" si="1"/>
        <v>20670</v>
      </c>
      <c r="F69" s="808">
        <f t="shared" si="1"/>
        <v>16911</v>
      </c>
      <c r="G69" s="633"/>
      <c r="H69" s="633"/>
      <c r="I69" s="633"/>
      <c r="J69" s="633"/>
    </row>
    <row r="70" spans="2:10">
      <c r="B70" s="614" t="s">
        <v>746</v>
      </c>
      <c r="C70" s="811">
        <f ca="1">'BDO Prequal'!D195</f>
        <v>52408.987018944259</v>
      </c>
      <c r="D70" s="811">
        <f ca="1">'BDO Prequal'!F195</f>
        <v>43495.987018944259</v>
      </c>
      <c r="E70" s="811">
        <f ca="1">'BDO Prequal'!H195</f>
        <v>47045.987018944259</v>
      </c>
      <c r="F70" s="808">
        <f ca="1">'BDO Prequal'!J195</f>
        <v>13118.996754736065</v>
      </c>
      <c r="G70" s="633"/>
      <c r="H70" s="633"/>
      <c r="I70" s="633"/>
      <c r="J70" s="633"/>
    </row>
    <row r="71" spans="2:10">
      <c r="B71" s="614" t="s">
        <v>747</v>
      </c>
      <c r="C71" s="811">
        <f ca="1">'BDO Prequal'!D172</f>
        <v>38295.987018944259</v>
      </c>
      <c r="D71" s="811">
        <f ca="1">'BDO Prequal'!F172</f>
        <v>38495.987018944259</v>
      </c>
      <c r="E71" s="811">
        <f ca="1">'BDO Prequal'!H172</f>
        <v>46995.987018944259</v>
      </c>
      <c r="F71" s="808">
        <f ca="1">'BDO Prequal'!J172</f>
        <v>12998.996754736065</v>
      </c>
      <c r="G71" s="633"/>
      <c r="H71" s="633"/>
      <c r="I71" s="633"/>
      <c r="J71" s="633"/>
    </row>
    <row r="72" spans="2:10">
      <c r="B72" s="614" t="s">
        <v>748</v>
      </c>
      <c r="C72" s="811">
        <f ca="1">C70+C71</f>
        <v>90704.974037888518</v>
      </c>
      <c r="D72" s="811">
        <f t="shared" ref="D72:F72" ca="1" si="2">D70+D71</f>
        <v>81991.974037888518</v>
      </c>
      <c r="E72" s="811">
        <f t="shared" ca="1" si="2"/>
        <v>94041.974037888518</v>
      </c>
      <c r="F72" s="808">
        <f t="shared" ca="1" si="2"/>
        <v>26117.99350947213</v>
      </c>
      <c r="G72" s="633"/>
      <c r="H72" s="633"/>
      <c r="I72" s="633"/>
      <c r="J72" s="633"/>
    </row>
    <row r="73" spans="2:10" ht="15" thickBot="1">
      <c r="B73" s="621" t="s">
        <v>749</v>
      </c>
      <c r="C73" s="639">
        <f ca="1">C69/C72</f>
        <v>0.55301267137838739</v>
      </c>
      <c r="D73" s="639">
        <f t="shared" ref="D73:F73" ca="1" si="3">D69/D72</f>
        <v>0.35474203836779622</v>
      </c>
      <c r="E73" s="639">
        <f t="shared" ca="1" si="3"/>
        <v>0.21979547124002602</v>
      </c>
      <c r="F73" s="640">
        <f t="shared" ca="1" si="3"/>
        <v>0.64748465435780667</v>
      </c>
      <c r="G73" s="633"/>
      <c r="H73" s="633"/>
      <c r="I73" s="633"/>
      <c r="J73" s="633"/>
    </row>
  </sheetData>
  <mergeCells count="8">
    <mergeCell ref="B56:F56"/>
    <mergeCell ref="B66:F66"/>
    <mergeCell ref="B1:J1"/>
    <mergeCell ref="B13:K13"/>
    <mergeCell ref="B34:F34"/>
    <mergeCell ref="B40:F40"/>
    <mergeCell ref="B44:F44"/>
    <mergeCell ref="B49:F49"/>
  </mergeCells>
  <phoneticPr fontId="6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3DC08-DF82-4E41-8726-92A934BE36B9}">
  <dimension ref="B2:O110"/>
  <sheetViews>
    <sheetView workbookViewId="0">
      <selection activeCell="O16" sqref="O16"/>
    </sheetView>
  </sheetViews>
  <sheetFormatPr defaultColWidth="11.5546875" defaultRowHeight="14.4"/>
  <cols>
    <col min="2" max="2" width="27.109375" customWidth="1"/>
    <col min="3" max="9" width="15.33203125" customWidth="1"/>
    <col min="10" max="11" width="15.5546875" bestFit="1" customWidth="1"/>
  </cols>
  <sheetData>
    <row r="2" spans="2:10">
      <c r="B2" t="s">
        <v>750</v>
      </c>
    </row>
    <row r="3" spans="2:10" ht="15" thickBot="1"/>
    <row r="4" spans="2:10" ht="22.95" customHeight="1">
      <c r="B4" s="928" t="s">
        <v>697</v>
      </c>
      <c r="C4" s="929"/>
      <c r="D4" s="929"/>
      <c r="E4" s="929"/>
      <c r="F4" s="929"/>
      <c r="G4" s="929"/>
      <c r="H4" s="929"/>
      <c r="I4" s="929"/>
      <c r="J4" s="930"/>
    </row>
    <row r="5" spans="2:10">
      <c r="B5" s="641" t="s">
        <v>751</v>
      </c>
      <c r="C5" s="642" t="s">
        <v>698</v>
      </c>
      <c r="D5" s="643" t="s">
        <v>699</v>
      </c>
      <c r="E5" s="642" t="s">
        <v>700</v>
      </c>
      <c r="F5" s="642" t="s">
        <v>701</v>
      </c>
      <c r="G5" s="643" t="s">
        <v>702</v>
      </c>
      <c r="H5" s="644" t="s">
        <v>703</v>
      </c>
      <c r="I5" s="644" t="s">
        <v>765</v>
      </c>
      <c r="J5" s="644" t="s">
        <v>766</v>
      </c>
    </row>
    <row r="6" spans="2:10">
      <c r="B6" s="645" t="s">
        <v>752</v>
      </c>
      <c r="C6" s="646" t="str">
        <f>'BDO Prequal'!C31</f>
        <v>T Bank Loan</v>
      </c>
      <c r="D6" s="646" t="str">
        <f>'BDO Prequal'!D31</f>
        <v>T Bank Loan</v>
      </c>
      <c r="E6" s="646" t="str">
        <f>'BDO Prequal'!E31</f>
        <v>CDC Debenture</v>
      </c>
      <c r="F6" s="646" t="str">
        <f>'BDO Prequal'!F31</f>
        <v>T Bank Loan</v>
      </c>
      <c r="G6" s="646" t="str">
        <f>'BDO Prequal'!G31</f>
        <v>T Bank Loan</v>
      </c>
      <c r="H6" s="646" t="str">
        <f>'BDO Prequal'!H31</f>
        <v>Equity</v>
      </c>
      <c r="I6" s="646" t="str">
        <f>'BDO Prequal'!I31</f>
        <v>Seller Note</v>
      </c>
      <c r="J6" s="646" t="str">
        <f>'BDO Prequal'!J31</f>
        <v>3rd Party</v>
      </c>
    </row>
    <row r="7" spans="2:10">
      <c r="B7" s="645" t="s">
        <v>753</v>
      </c>
      <c r="C7" s="646" t="str">
        <f>IF('BDO Prequal'!C32=0,"", 'BDO Prequal'!C32)</f>
        <v>P&amp;E</v>
      </c>
      <c r="D7" s="646" t="str">
        <f>IF('BDO Prequal'!D32=0,"", 'BDO Prequal'!D32)</f>
        <v>USDA</v>
      </c>
      <c r="E7" s="646" t="str">
        <f>IF('BDO Prequal'!E32=0,"", 'BDO Prequal'!E32)</f>
        <v>Conventional</v>
      </c>
      <c r="F7" s="646" t="str">
        <f>IF('BDO Prequal'!F32=0,"", 'BDO Prequal'!F32)</f>
        <v>7A Express</v>
      </c>
      <c r="G7" s="646" t="str">
        <f>IF('BDO Prequal'!G32=0,"", 'BDO Prequal'!G32)</f>
        <v>CAPLine</v>
      </c>
      <c r="H7" s="646" t="str">
        <f>'BDO Prequal'!H31</f>
        <v>Equity</v>
      </c>
      <c r="I7" s="646" t="str">
        <f>'BDO Prequal'!I31</f>
        <v>Seller Note</v>
      </c>
      <c r="J7" s="646" t="str">
        <f>'BDO Prequal'!J31</f>
        <v>3rd Party</v>
      </c>
    </row>
    <row r="8" spans="2:10">
      <c r="B8" s="645" t="s">
        <v>705</v>
      </c>
      <c r="C8" s="647">
        <v>0.75</v>
      </c>
      <c r="D8" s="647"/>
      <c r="E8" s="647"/>
      <c r="F8" s="647"/>
      <c r="G8" s="647"/>
      <c r="H8" s="647"/>
      <c r="I8" s="647"/>
      <c r="J8" s="647"/>
    </row>
    <row r="9" spans="2:10">
      <c r="B9" s="645" t="s">
        <v>153</v>
      </c>
      <c r="C9" s="648">
        <f>'BDO Prequal'!C33</f>
        <v>1000</v>
      </c>
      <c r="D9" s="648">
        <f>'BDO Prequal'!D33</f>
        <v>20000</v>
      </c>
      <c r="E9" s="648">
        <f>'BDO Prequal'!E33</f>
        <v>30000</v>
      </c>
      <c r="F9" s="648">
        <f>'BDO Prequal'!F33</f>
        <v>4</v>
      </c>
      <c r="G9" s="648">
        <f>'BDO Prequal'!G33</f>
        <v>5</v>
      </c>
      <c r="H9" s="648">
        <f>'BDO Prequal'!H33</f>
        <v>6</v>
      </c>
      <c r="I9" s="648">
        <f>'BDO Prequal'!I33</f>
        <v>7</v>
      </c>
      <c r="J9" s="648">
        <f>'BDO Prequal'!J33</f>
        <v>8</v>
      </c>
    </row>
    <row r="10" spans="2:10">
      <c r="B10" s="645" t="s">
        <v>625</v>
      </c>
      <c r="C10" s="649" t="s">
        <v>634</v>
      </c>
      <c r="D10" s="649"/>
      <c r="E10" s="649"/>
      <c r="F10" s="649"/>
      <c r="G10" s="649"/>
      <c r="H10" s="649"/>
      <c r="I10" s="649"/>
      <c r="J10" s="649"/>
    </row>
    <row r="11" spans="2:10">
      <c r="B11" s="645" t="s">
        <v>706</v>
      </c>
      <c r="C11" s="650">
        <f>'BDO Prequal'!C38</f>
        <v>10</v>
      </c>
      <c r="D11" s="650">
        <f>'BDO Prequal'!D38</f>
        <v>10</v>
      </c>
      <c r="E11" s="650">
        <f>'BDO Prequal'!E38</f>
        <v>10</v>
      </c>
      <c r="F11" s="650">
        <f>'BDO Prequal'!F38</f>
        <v>10</v>
      </c>
      <c r="G11" s="650">
        <f>'BDO Prequal'!G38</f>
        <v>0</v>
      </c>
      <c r="H11" s="650">
        <f>'BDO Prequal'!H38</f>
        <v>0</v>
      </c>
      <c r="I11" s="650">
        <f>'BDO Prequal'!I38</f>
        <v>10</v>
      </c>
      <c r="J11" s="650">
        <f>'BDO Prequal'!J38</f>
        <v>25</v>
      </c>
    </row>
    <row r="12" spans="2:10">
      <c r="B12" s="645" t="s">
        <v>707</v>
      </c>
      <c r="C12" s="650">
        <f>'BDO Prequal'!C39</f>
        <v>120</v>
      </c>
      <c r="D12" s="650">
        <f>'BDO Prequal'!D39</f>
        <v>120</v>
      </c>
      <c r="E12" s="650">
        <f>'BDO Prequal'!E39</f>
        <v>120</v>
      </c>
      <c r="F12" s="650">
        <f>'BDO Prequal'!F39</f>
        <v>120</v>
      </c>
      <c r="G12" s="650">
        <f>'BDO Prequal'!G39</f>
        <v>0</v>
      </c>
      <c r="H12" s="650">
        <f>'BDO Prequal'!H39</f>
        <v>0</v>
      </c>
      <c r="I12" s="650">
        <f>'BDO Prequal'!I39</f>
        <v>120</v>
      </c>
      <c r="J12" s="650">
        <f>'BDO Prequal'!J39</f>
        <v>300</v>
      </c>
    </row>
    <row r="13" spans="2:10">
      <c r="B13" s="645" t="s">
        <v>47</v>
      </c>
      <c r="C13" s="651">
        <f>'BDO Prequal'!C34</f>
        <v>7.4999999999999997E-2</v>
      </c>
      <c r="D13" s="651">
        <f>'BDO Prequal'!D34</f>
        <v>7.4999999999999997E-2</v>
      </c>
      <c r="E13" s="651">
        <f>'BDO Prequal'!E34</f>
        <v>7.4999999999999997E-2</v>
      </c>
      <c r="F13" s="651">
        <f>'BDO Prequal'!F34</f>
        <v>7.4999999999999997E-2</v>
      </c>
      <c r="G13" s="651">
        <f>'BDO Prequal'!G34</f>
        <v>0</v>
      </c>
      <c r="H13" s="651">
        <f>'BDO Prequal'!H34</f>
        <v>0</v>
      </c>
      <c r="I13" s="651">
        <f>'BDO Prequal'!I34</f>
        <v>0.08</v>
      </c>
      <c r="J13" s="651">
        <f>'BDO Prequal'!J34</f>
        <v>6.2399999999999997E-2</v>
      </c>
    </row>
    <row r="14" spans="2:10">
      <c r="B14" s="645" t="s">
        <v>51</v>
      </c>
      <c r="C14" s="651">
        <f>'BDO Prequal'!C35</f>
        <v>1.4999999999999999E-2</v>
      </c>
      <c r="D14" s="651">
        <f>'BDO Prequal'!D35</f>
        <v>1.4999999999999999E-2</v>
      </c>
      <c r="E14" s="651">
        <f>'BDO Prequal'!E35</f>
        <v>1.4999999999999999E-2</v>
      </c>
      <c r="F14" s="651">
        <f>'BDO Prequal'!F35</f>
        <v>1.4999999999999999E-2</v>
      </c>
      <c r="G14" s="651">
        <f>'BDO Prequal'!G35</f>
        <v>0</v>
      </c>
      <c r="H14" s="651">
        <f>'BDO Prequal'!H35</f>
        <v>0</v>
      </c>
      <c r="I14" s="651">
        <f>'BDO Prequal'!I35</f>
        <v>0</v>
      </c>
      <c r="J14" s="651">
        <f>'BDO Prequal'!J35</f>
        <v>0</v>
      </c>
    </row>
    <row r="15" spans="2:10" ht="15" thickBot="1">
      <c r="B15" s="652" t="s">
        <v>708</v>
      </c>
      <c r="C15" s="653">
        <f>C13+C14</f>
        <v>0.09</v>
      </c>
      <c r="D15" s="653">
        <f t="shared" ref="D15:F15" si="0">D13+D14</f>
        <v>0.09</v>
      </c>
      <c r="E15" s="653">
        <f t="shared" si="0"/>
        <v>0.09</v>
      </c>
      <c r="F15" s="653">
        <f t="shared" si="0"/>
        <v>0.09</v>
      </c>
      <c r="G15" s="653">
        <f>G13+G14</f>
        <v>0</v>
      </c>
      <c r="H15" s="653">
        <f t="shared" ref="H15" si="1">H13+H14</f>
        <v>0</v>
      </c>
      <c r="I15" s="653">
        <f>I13+I14</f>
        <v>0.08</v>
      </c>
      <c r="J15" s="653">
        <f t="shared" ref="J15" si="2">J13+J14</f>
        <v>6.2399999999999997E-2</v>
      </c>
    </row>
    <row r="17" spans="2:11" ht="15" thickBot="1"/>
    <row r="18" spans="2:11" ht="22.95" customHeight="1">
      <c r="B18" s="928" t="s">
        <v>87</v>
      </c>
      <c r="C18" s="929"/>
      <c r="D18" s="929"/>
      <c r="E18" s="929"/>
      <c r="F18" s="929"/>
      <c r="G18" s="929"/>
      <c r="H18" s="929"/>
      <c r="I18" s="929"/>
      <c r="J18" s="929"/>
      <c r="K18" s="930"/>
    </row>
    <row r="19" spans="2:11">
      <c r="B19" s="641" t="s">
        <v>95</v>
      </c>
      <c r="C19" s="642" t="str">
        <f>'BDO Prequal'!C47</f>
        <v>P&amp;E</v>
      </c>
      <c r="D19" s="642" t="str">
        <f>'BDO Prequal'!D47</f>
        <v>USDA</v>
      </c>
      <c r="E19" s="642" t="str">
        <f>'BDO Prequal'!E47</f>
        <v>Conventional</v>
      </c>
      <c r="F19" s="642" t="str">
        <f>'BDO Prequal'!F47</f>
        <v>7A Express</v>
      </c>
      <c r="G19" s="642" t="str">
        <f>'BDO Prequal'!G47</f>
        <v>CAPLine</v>
      </c>
      <c r="H19" s="642" t="str">
        <f>'BDO Prequal'!H47</f>
        <v>Equity</v>
      </c>
      <c r="I19" s="642" t="str">
        <f>'BDO Prequal'!I47</f>
        <v>Seller Note</v>
      </c>
      <c r="J19" s="642" t="str">
        <f>'BDO Prequal'!J47</f>
        <v>3rd Party</v>
      </c>
      <c r="K19" s="642" t="str">
        <f>'BDO Prequal'!K47</f>
        <v>Total</v>
      </c>
    </row>
    <row r="20" spans="2:11">
      <c r="B20" s="645" t="s">
        <v>98</v>
      </c>
      <c r="C20" s="617">
        <f>'BDO Prequal'!C49</f>
        <v>896000</v>
      </c>
      <c r="D20" s="617">
        <f>'BDO Prequal'!D49</f>
        <v>896000</v>
      </c>
      <c r="E20" s="617">
        <f>'BDO Prequal'!E49</f>
        <v>896000</v>
      </c>
      <c r="F20" s="617">
        <f>'BDO Prequal'!F49</f>
        <v>896000</v>
      </c>
      <c r="G20" s="617">
        <f>'BDO Prequal'!G49</f>
        <v>896000</v>
      </c>
      <c r="H20" s="617">
        <f>'BDO Prequal'!H49</f>
        <v>8000</v>
      </c>
      <c r="I20" s="617">
        <f>'BDO Prequal'!I49</f>
        <v>80000</v>
      </c>
      <c r="J20" s="617">
        <f>'BDO Prequal'!J49</f>
        <v>16000</v>
      </c>
      <c r="K20" s="618">
        <f>SUM(C20:J20)</f>
        <v>4584000</v>
      </c>
    </row>
    <row r="21" spans="2:11">
      <c r="B21" s="645" t="s">
        <v>101</v>
      </c>
      <c r="C21" s="617">
        <f>'BDO Prequal'!C50</f>
        <v>5387</v>
      </c>
      <c r="D21" s="617">
        <f>'BDO Prequal'!D50</f>
        <v>5387</v>
      </c>
      <c r="E21" s="617">
        <f>'BDO Prequal'!E50</f>
        <v>5387</v>
      </c>
      <c r="F21" s="617">
        <f>'BDO Prequal'!F50</f>
        <v>5387</v>
      </c>
      <c r="G21" s="617">
        <f>'BDO Prequal'!G50</f>
        <v>5387</v>
      </c>
      <c r="H21" s="617">
        <f>'BDO Prequal'!H50</f>
        <v>10</v>
      </c>
      <c r="I21" s="617">
        <f>'BDO Prequal'!I50</f>
        <v>1</v>
      </c>
      <c r="J21" s="617">
        <f>'BDO Prequal'!J50</f>
        <v>2</v>
      </c>
      <c r="K21" s="618">
        <f t="shared" ref="K21:K35" si="3">SUM(C21:J21)</f>
        <v>26948</v>
      </c>
    </row>
    <row r="22" spans="2:11">
      <c r="B22" s="645" t="s">
        <v>104</v>
      </c>
      <c r="C22" s="617">
        <f>'BDO Prequal'!C51</f>
        <v>55987</v>
      </c>
      <c r="D22" s="617">
        <f>'BDO Prequal'!D51</f>
        <v>55987</v>
      </c>
      <c r="E22" s="617">
        <f>'BDO Prequal'!E51</f>
        <v>55987</v>
      </c>
      <c r="F22" s="617">
        <f>'BDO Prequal'!F51</f>
        <v>55987</v>
      </c>
      <c r="G22" s="617">
        <f>'BDO Prequal'!G51</f>
        <v>55987</v>
      </c>
      <c r="H22" s="617">
        <f>'BDO Prequal'!H51</f>
        <v>10</v>
      </c>
      <c r="I22" s="617">
        <f>'BDO Prequal'!I51</f>
        <v>1</v>
      </c>
      <c r="J22" s="617">
        <f>'BDO Prequal'!J51</f>
        <v>2</v>
      </c>
      <c r="K22" s="618">
        <f t="shared" si="3"/>
        <v>279948</v>
      </c>
    </row>
    <row r="23" spans="2:11">
      <c r="B23" s="645" t="s">
        <v>109</v>
      </c>
      <c r="C23" s="617">
        <f>'BDO Prequal'!C52</f>
        <v>4499</v>
      </c>
      <c r="D23" s="617">
        <f>'BDO Prequal'!D52</f>
        <v>4499</v>
      </c>
      <c r="E23" s="617">
        <f>'BDO Prequal'!E52</f>
        <v>4499</v>
      </c>
      <c r="F23" s="617">
        <f>'BDO Prequal'!F52</f>
        <v>4499</v>
      </c>
      <c r="G23" s="617">
        <f>'BDO Prequal'!G52</f>
        <v>4499</v>
      </c>
      <c r="H23" s="617">
        <f>'BDO Prequal'!H52</f>
        <v>10</v>
      </c>
      <c r="I23" s="617">
        <f>'BDO Prequal'!I52</f>
        <v>1</v>
      </c>
      <c r="J23" s="617">
        <f>'BDO Prequal'!J52</f>
        <v>2</v>
      </c>
      <c r="K23" s="618">
        <f t="shared" si="3"/>
        <v>22508</v>
      </c>
    </row>
    <row r="24" spans="2:11">
      <c r="B24" s="645" t="s">
        <v>112</v>
      </c>
      <c r="C24" s="617">
        <f>'BDO Prequal'!C53</f>
        <v>2499</v>
      </c>
      <c r="D24" s="617">
        <f>'BDO Prequal'!D53</f>
        <v>2499</v>
      </c>
      <c r="E24" s="617">
        <f>'BDO Prequal'!E53</f>
        <v>2499</v>
      </c>
      <c r="F24" s="617">
        <f>'BDO Prequal'!F53</f>
        <v>2499</v>
      </c>
      <c r="G24" s="617">
        <f>'BDO Prequal'!G53</f>
        <v>2499</v>
      </c>
      <c r="H24" s="617">
        <f>'BDO Prequal'!H53</f>
        <v>10</v>
      </c>
      <c r="I24" s="617">
        <f>'BDO Prequal'!I53</f>
        <v>1</v>
      </c>
      <c r="J24" s="617">
        <f>'BDO Prequal'!J53</f>
        <v>2</v>
      </c>
      <c r="K24" s="618">
        <f t="shared" si="3"/>
        <v>12508</v>
      </c>
    </row>
    <row r="25" spans="2:11">
      <c r="B25" s="645" t="s">
        <v>115</v>
      </c>
      <c r="C25" s="617">
        <f>'BDO Prequal'!C54</f>
        <v>4202</v>
      </c>
      <c r="D25" s="617">
        <f>'BDO Prequal'!D54</f>
        <v>4202</v>
      </c>
      <c r="E25" s="617">
        <f>'BDO Prequal'!E54</f>
        <v>4202</v>
      </c>
      <c r="F25" s="617">
        <f>'BDO Prequal'!F54</f>
        <v>4202</v>
      </c>
      <c r="G25" s="617">
        <f>'BDO Prequal'!G54</f>
        <v>4202</v>
      </c>
      <c r="H25" s="617">
        <f>'BDO Prequal'!H54</f>
        <v>10</v>
      </c>
      <c r="I25" s="617">
        <f>'BDO Prequal'!I54</f>
        <v>1</v>
      </c>
      <c r="J25" s="617">
        <f>'BDO Prequal'!J54</f>
        <v>2</v>
      </c>
      <c r="K25" s="618">
        <f t="shared" si="3"/>
        <v>21023</v>
      </c>
    </row>
    <row r="26" spans="2:11">
      <c r="B26" s="645" t="s">
        <v>118</v>
      </c>
      <c r="C26" s="617">
        <f>'BDO Prequal'!C55</f>
        <v>84348</v>
      </c>
      <c r="D26" s="617">
        <f>'BDO Prequal'!D55</f>
        <v>84348</v>
      </c>
      <c r="E26" s="617">
        <f>'BDO Prequal'!E55</f>
        <v>84348</v>
      </c>
      <c r="F26" s="617">
        <f>'BDO Prequal'!F55</f>
        <v>84348</v>
      </c>
      <c r="G26" s="617">
        <f>'BDO Prequal'!G55</f>
        <v>84348</v>
      </c>
      <c r="H26" s="617">
        <f>'BDO Prequal'!H55</f>
        <v>10</v>
      </c>
      <c r="I26" s="617">
        <f>'BDO Prequal'!I55</f>
        <v>1</v>
      </c>
      <c r="J26" s="617">
        <f>'BDO Prequal'!J55</f>
        <v>2</v>
      </c>
      <c r="K26" s="618">
        <f t="shared" si="3"/>
        <v>421753</v>
      </c>
    </row>
    <row r="27" spans="2:11">
      <c r="B27" s="645" t="s">
        <v>122</v>
      </c>
      <c r="C27" s="617">
        <f>'BDO Prequal'!C56</f>
        <v>58397</v>
      </c>
      <c r="D27" s="617">
        <f>'BDO Prequal'!D56</f>
        <v>58397</v>
      </c>
      <c r="E27" s="617">
        <f>'BDO Prequal'!E56</f>
        <v>58397</v>
      </c>
      <c r="F27" s="617">
        <f>'BDO Prequal'!F56</f>
        <v>58397</v>
      </c>
      <c r="G27" s="617">
        <f>'BDO Prequal'!G56</f>
        <v>58397</v>
      </c>
      <c r="H27" s="617">
        <f>'BDO Prequal'!H56</f>
        <v>10</v>
      </c>
      <c r="I27" s="617">
        <f>'BDO Prequal'!I56</f>
        <v>1</v>
      </c>
      <c r="J27" s="617">
        <f>'BDO Prequal'!J56</f>
        <v>2</v>
      </c>
      <c r="K27" s="618">
        <f t="shared" si="3"/>
        <v>291998</v>
      </c>
    </row>
    <row r="28" spans="2:11">
      <c r="B28" s="645" t="s">
        <v>126</v>
      </c>
      <c r="C28" s="617">
        <f>'BDO Prequal'!C57</f>
        <v>2919</v>
      </c>
      <c r="D28" s="617">
        <f>'BDO Prequal'!D57</f>
        <v>2919</v>
      </c>
      <c r="E28" s="617">
        <f>'BDO Prequal'!E57</f>
        <v>2919</v>
      </c>
      <c r="F28" s="617">
        <f>'BDO Prequal'!F57</f>
        <v>2919</v>
      </c>
      <c r="G28" s="617">
        <f>'BDO Prequal'!G57</f>
        <v>2919</v>
      </c>
      <c r="H28" s="617">
        <f>'BDO Prequal'!H57</f>
        <v>10</v>
      </c>
      <c r="I28" s="617">
        <f>'BDO Prequal'!I57</f>
        <v>1</v>
      </c>
      <c r="J28" s="617">
        <f>'BDO Prequal'!J57</f>
        <v>2</v>
      </c>
      <c r="K28" s="618">
        <f t="shared" si="3"/>
        <v>14608</v>
      </c>
    </row>
    <row r="29" spans="2:11">
      <c r="B29" s="645" t="s">
        <v>128</v>
      </c>
      <c r="C29" s="617">
        <f>'BDO Prequal'!C58</f>
        <v>3593</v>
      </c>
      <c r="D29" s="617">
        <f>'BDO Prequal'!D58</f>
        <v>3593</v>
      </c>
      <c r="E29" s="617">
        <f>'BDO Prequal'!E58</f>
        <v>3593</v>
      </c>
      <c r="F29" s="617">
        <f>'BDO Prequal'!F58</f>
        <v>3593</v>
      </c>
      <c r="G29" s="617">
        <f>'BDO Prequal'!G58</f>
        <v>3593</v>
      </c>
      <c r="H29" s="617">
        <f>'BDO Prequal'!H58</f>
        <v>10</v>
      </c>
      <c r="I29" s="617">
        <f>'BDO Prequal'!I58</f>
        <v>1</v>
      </c>
      <c r="J29" s="617">
        <f>'BDO Prequal'!J58</f>
        <v>2</v>
      </c>
      <c r="K29" s="618">
        <f t="shared" si="3"/>
        <v>17978</v>
      </c>
    </row>
    <row r="30" spans="2:11">
      <c r="B30" s="645" t="s">
        <v>134</v>
      </c>
      <c r="C30" s="617">
        <f>'BDO Prequal'!C59</f>
        <v>45097</v>
      </c>
      <c r="D30" s="617">
        <f>'BDO Prequal'!D59</f>
        <v>45097</v>
      </c>
      <c r="E30" s="617">
        <f>'BDO Prequal'!E59</f>
        <v>45097</v>
      </c>
      <c r="F30" s="617">
        <f>'BDO Prequal'!F59</f>
        <v>45097</v>
      </c>
      <c r="G30" s="617">
        <f>'BDO Prequal'!G59</f>
        <v>45097</v>
      </c>
      <c r="H30" s="617">
        <f>'BDO Prequal'!H59</f>
        <v>10</v>
      </c>
      <c r="I30" s="617">
        <f>'BDO Prequal'!I59</f>
        <v>1</v>
      </c>
      <c r="J30" s="617">
        <f>'BDO Prequal'!J59</f>
        <v>2</v>
      </c>
      <c r="K30" s="618">
        <f t="shared" si="3"/>
        <v>225498</v>
      </c>
    </row>
    <row r="31" spans="2:11">
      <c r="B31" s="654" t="s">
        <v>136</v>
      </c>
      <c r="C31" s="617">
        <f>'BDO Prequal'!C60</f>
        <v>8000</v>
      </c>
      <c r="D31" s="617">
        <f>'BDO Prequal'!D60</f>
        <v>200</v>
      </c>
      <c r="E31" s="617">
        <f>'BDO Prequal'!E60</f>
        <v>2230</v>
      </c>
      <c r="F31" s="617">
        <f>'BDO Prequal'!F60</f>
        <v>2000</v>
      </c>
      <c r="G31" s="617">
        <f>'BDO Prequal'!G60</f>
        <v>0</v>
      </c>
      <c r="H31" s="617">
        <f>'BDO Prequal'!H60</f>
        <v>373817</v>
      </c>
      <c r="I31" s="617">
        <f>'BDO Prequal'!I60</f>
        <v>8000</v>
      </c>
      <c r="J31" s="617">
        <f>'BDO Prequal'!J60</f>
        <v>800</v>
      </c>
      <c r="K31" s="618">
        <f t="shared" si="3"/>
        <v>395047</v>
      </c>
    </row>
    <row r="32" spans="2:11">
      <c r="B32" s="645" t="s">
        <v>140</v>
      </c>
      <c r="C32" s="617">
        <f>'BDO Prequal'!C61</f>
        <v>-115579</v>
      </c>
      <c r="D32" s="617">
        <f>'BDO Prequal'!D61</f>
        <v>-115579</v>
      </c>
      <c r="E32" s="617">
        <f>'BDO Prequal'!E61</f>
        <v>-115579</v>
      </c>
      <c r="F32" s="617">
        <f>'BDO Prequal'!F61</f>
        <v>-115579</v>
      </c>
      <c r="G32" s="617">
        <f>'BDO Prequal'!G61</f>
        <v>-115579</v>
      </c>
      <c r="H32" s="617">
        <f>'BDO Prequal'!H61</f>
        <v>60000</v>
      </c>
      <c r="I32" s="617">
        <f>'BDO Prequal'!I61</f>
        <v>51210</v>
      </c>
      <c r="J32" s="617">
        <f>'BDO Prequal'!J61</f>
        <v>8880</v>
      </c>
      <c r="K32" s="618">
        <f t="shared" si="3"/>
        <v>-457805</v>
      </c>
    </row>
    <row r="33" spans="2:15">
      <c r="B33" s="645" t="s">
        <v>142</v>
      </c>
      <c r="C33" s="617">
        <f>'BDO Prequal'!C62</f>
        <v>-1095120</v>
      </c>
      <c r="D33" s="617">
        <f>'BDO Prequal'!D62</f>
        <v>-1095120</v>
      </c>
      <c r="E33" s="617">
        <f>'BDO Prequal'!E62</f>
        <v>-1095120</v>
      </c>
      <c r="F33" s="617">
        <f>'BDO Prequal'!F62</f>
        <v>-1095120</v>
      </c>
      <c r="G33" s="617">
        <f>'BDO Prequal'!G62</f>
        <v>-1095120</v>
      </c>
      <c r="H33" s="617">
        <f>'BDO Prequal'!H62</f>
        <v>900000</v>
      </c>
      <c r="I33" s="617">
        <f>'BDO Prequal'!I62</f>
        <v>112121</v>
      </c>
      <c r="J33" s="617">
        <f>'BDO Prequal'!J62</f>
        <v>88880</v>
      </c>
      <c r="K33" s="618">
        <f t="shared" si="3"/>
        <v>-4374599</v>
      </c>
    </row>
    <row r="34" spans="2:15">
      <c r="B34" s="655" t="s">
        <v>26</v>
      </c>
      <c r="C34" s="617">
        <f>'BDO Prequal'!C63</f>
        <v>-80781</v>
      </c>
      <c r="D34" s="617">
        <f>'BDO Prequal'!D63</f>
        <v>-80781</v>
      </c>
      <c r="E34" s="617">
        <f>'BDO Prequal'!E63</f>
        <v>-80781</v>
      </c>
      <c r="F34" s="617">
        <f>'BDO Prequal'!F63</f>
        <v>-80781</v>
      </c>
      <c r="G34" s="617">
        <f>'BDO Prequal'!G63</f>
        <v>-80781</v>
      </c>
      <c r="H34" s="617">
        <f>'BDO Prequal'!H63</f>
        <v>50</v>
      </c>
      <c r="I34" s="617">
        <f>'BDO Prequal'!I63</f>
        <v>5841</v>
      </c>
      <c r="J34" s="617">
        <f>'BDO Prequal'!J63</f>
        <v>99990</v>
      </c>
      <c r="K34" s="618">
        <f t="shared" si="3"/>
        <v>-298024</v>
      </c>
    </row>
    <row r="35" spans="2:15">
      <c r="B35" s="655" t="s">
        <v>145</v>
      </c>
      <c r="C35" s="617">
        <f>'BDO Prequal'!C64</f>
        <v>5050</v>
      </c>
      <c r="D35" s="617">
        <f>'BDO Prequal'!D64</f>
        <v>80</v>
      </c>
      <c r="E35" s="617">
        <f>'BDO Prequal'!E64</f>
        <v>800</v>
      </c>
      <c r="F35" s="617">
        <f>'BDO Prequal'!F64</f>
        <v>80</v>
      </c>
      <c r="G35" s="617">
        <f>'BDO Prequal'!G64</f>
        <v>0</v>
      </c>
      <c r="H35" s="617">
        <f>'BDO Prequal'!H64</f>
        <v>-5050</v>
      </c>
      <c r="I35" s="617">
        <f>'BDO Prequal'!I64</f>
        <v>0</v>
      </c>
      <c r="J35" s="617">
        <f>'BDO Prequal'!J64</f>
        <v>0</v>
      </c>
      <c r="K35" s="618">
        <f t="shared" si="3"/>
        <v>960</v>
      </c>
    </row>
    <row r="36" spans="2:15">
      <c r="B36" s="656" t="s">
        <v>29</v>
      </c>
      <c r="C36" s="617">
        <f>SUM(C20:C35)</f>
        <v>-115502</v>
      </c>
      <c r="D36" s="617">
        <f t="shared" ref="D36:J36" si="4">SUM(D20:D35)</f>
        <v>-128272</v>
      </c>
      <c r="E36" s="617">
        <f t="shared" si="4"/>
        <v>-125522</v>
      </c>
      <c r="F36" s="617">
        <f t="shared" si="4"/>
        <v>-126472</v>
      </c>
      <c r="G36" s="617">
        <f t="shared" si="4"/>
        <v>-128552</v>
      </c>
      <c r="H36" s="617">
        <f t="shared" si="4"/>
        <v>1336917</v>
      </c>
      <c r="I36" s="617">
        <f t="shared" si="4"/>
        <v>257182</v>
      </c>
      <c r="J36" s="617">
        <f t="shared" si="4"/>
        <v>214570</v>
      </c>
      <c r="K36" s="618">
        <f>SUM(C36:J36)</f>
        <v>1184349</v>
      </c>
    </row>
    <row r="37" spans="2:15" ht="15" thickBot="1">
      <c r="B37" s="657" t="s">
        <v>709</v>
      </c>
      <c r="C37" s="804">
        <f>C36/$K$36</f>
        <v>-9.7523618460436917E-2</v>
      </c>
      <c r="D37" s="804">
        <f t="shared" ref="D37:J37" si="5">D36/$K$36</f>
        <v>-0.10830591320632685</v>
      </c>
      <c r="E37" s="804">
        <f t="shared" si="5"/>
        <v>-0.10598396249754084</v>
      </c>
      <c r="F37" s="804">
        <f t="shared" si="5"/>
        <v>-0.10678609092421237</v>
      </c>
      <c r="G37" s="804">
        <f t="shared" si="5"/>
        <v>-0.10854233000576688</v>
      </c>
      <c r="H37" s="804">
        <f t="shared" si="5"/>
        <v>1.1288201366320232</v>
      </c>
      <c r="I37" s="804">
        <f t="shared" si="5"/>
        <v>0.21715051897709206</v>
      </c>
      <c r="J37" s="804">
        <f t="shared" si="5"/>
        <v>0.18117125948516866</v>
      </c>
      <c r="K37" s="805">
        <f>K36/K36</f>
        <v>1</v>
      </c>
    </row>
    <row r="38" spans="2:15" ht="15" thickBot="1"/>
    <row r="39" spans="2:15" ht="22.95" customHeight="1">
      <c r="B39" s="938" t="s">
        <v>754</v>
      </c>
      <c r="C39" s="939"/>
      <c r="D39" s="939"/>
      <c r="E39" s="939"/>
      <c r="F39" s="939"/>
      <c r="G39" s="940"/>
      <c r="H39" s="941" t="s">
        <v>755</v>
      </c>
      <c r="I39" s="941"/>
      <c r="J39" s="658"/>
    </row>
    <row r="40" spans="2:15" ht="31.2" customHeight="1" thickBot="1">
      <c r="B40" s="942" t="str">
        <f>'BDO Prequal'!B83</f>
        <v>{Insert business name which represents PSOR}</v>
      </c>
      <c r="C40" s="943"/>
      <c r="D40" s="943"/>
      <c r="E40" s="943"/>
      <c r="F40" s="943"/>
      <c r="G40" s="944"/>
      <c r="H40" s="945" t="str">
        <f>'BDO Prequal'!B83</f>
        <v>{Insert business name which represents PSOR}</v>
      </c>
      <c r="I40" s="945"/>
      <c r="J40" s="659"/>
    </row>
    <row r="41" spans="2:15" ht="22.95" customHeight="1">
      <c r="B41" s="660"/>
      <c r="C41" s="760"/>
      <c r="D41" s="760"/>
      <c r="E41" s="760"/>
      <c r="F41" s="760"/>
      <c r="G41" s="776"/>
      <c r="H41" s="751"/>
      <c r="I41" s="751"/>
      <c r="J41" s="661"/>
      <c r="O41" s="662"/>
    </row>
    <row r="42" spans="2:15" ht="15.6">
      <c r="B42" s="660"/>
      <c r="C42" s="761" t="s">
        <v>196</v>
      </c>
      <c r="D42" s="635">
        <f>'BDO Prequal'!D85</f>
        <v>44926</v>
      </c>
      <c r="E42" s="635">
        <f>'BDO Prequal'!F85</f>
        <v>45291</v>
      </c>
      <c r="F42" s="635">
        <f>'BDO Prequal'!H85</f>
        <v>45657</v>
      </c>
      <c r="G42" s="636">
        <f>'BDO Prequal'!J85</f>
        <v>45747</v>
      </c>
      <c r="H42" s="752" t="s">
        <v>197</v>
      </c>
      <c r="I42" s="663" t="s">
        <v>197</v>
      </c>
      <c r="J42" s="664"/>
    </row>
    <row r="43" spans="2:15" ht="15.6">
      <c r="B43" s="660"/>
      <c r="C43" s="761" t="s">
        <v>198</v>
      </c>
      <c r="D43" s="615">
        <f>'BDO Prequal'!D86</f>
        <v>12</v>
      </c>
      <c r="E43" s="615">
        <f>'BDO Prequal'!F86</f>
        <v>12</v>
      </c>
      <c r="F43" s="615">
        <f>'BDO Prequal'!H86</f>
        <v>12</v>
      </c>
      <c r="G43" s="616">
        <f>'BDO Prequal'!J86</f>
        <v>3</v>
      </c>
      <c r="H43" s="753" t="s">
        <v>199</v>
      </c>
      <c r="I43" s="665" t="s">
        <v>199</v>
      </c>
      <c r="J43" s="664"/>
    </row>
    <row r="44" spans="2:15" ht="15.6">
      <c r="B44" s="660"/>
      <c r="C44" s="761" t="s">
        <v>201</v>
      </c>
      <c r="D44" s="615" t="str">
        <f>'BDO Prequal'!D87</f>
        <v>Tax Returns</v>
      </c>
      <c r="E44" s="615" t="str">
        <f>'BDO Prequal'!F87</f>
        <v>Tax Returns</v>
      </c>
      <c r="F44" s="615" t="str">
        <f>'BDO Prequal'!H87</f>
        <v>Form 10K</v>
      </c>
      <c r="G44" s="616" t="str">
        <f>'BDO Prequal'!J87</f>
        <v>Internal</v>
      </c>
      <c r="H44" s="754" t="s">
        <v>204</v>
      </c>
      <c r="I44" s="667" t="s">
        <v>204</v>
      </c>
      <c r="J44" s="664"/>
    </row>
    <row r="45" spans="2:15" ht="15.6">
      <c r="B45" s="660"/>
      <c r="C45" s="761" t="s">
        <v>205</v>
      </c>
      <c r="D45" s="666" t="str">
        <f>'BDO Prequal'!D88</f>
        <v>Accrual</v>
      </c>
      <c r="E45" s="666" t="str">
        <f>'BDO Prequal'!F88</f>
        <v>Accrual</v>
      </c>
      <c r="F45" s="666" t="str">
        <f>'BDO Prequal'!H88</f>
        <v>Cash</v>
      </c>
      <c r="G45" s="777" t="str">
        <f>'BDO Prequal'!J88</f>
        <v>Cash</v>
      </c>
      <c r="H45" s="755">
        <v>1</v>
      </c>
      <c r="I45" s="668">
        <v>2</v>
      </c>
      <c r="J45" s="664"/>
    </row>
    <row r="46" spans="2:15" ht="15.6">
      <c r="B46" s="660"/>
      <c r="C46" s="762"/>
      <c r="D46" s="763"/>
      <c r="E46" s="763"/>
      <c r="F46" s="763"/>
      <c r="G46" s="778"/>
      <c r="H46" s="669"/>
      <c r="I46" s="669"/>
      <c r="J46" s="664"/>
    </row>
    <row r="47" spans="2:15">
      <c r="B47" s="670"/>
      <c r="C47" s="764" t="s">
        <v>225</v>
      </c>
      <c r="D47" s="671">
        <f>'BDO Prequal'!D99</f>
        <v>9000</v>
      </c>
      <c r="E47" s="671">
        <f>'BDO Prequal'!F99</f>
        <v>2166</v>
      </c>
      <c r="F47" s="671">
        <f>'BDO Prequal'!H99</f>
        <v>1145</v>
      </c>
      <c r="G47" s="779">
        <f>'BDO Prequal'!J99</f>
        <v>880</v>
      </c>
      <c r="H47" s="756">
        <f>'BDO Prequal'!N99</f>
        <v>210</v>
      </c>
      <c r="I47" s="734">
        <f>'BDO Prequal'!P99</f>
        <v>620</v>
      </c>
      <c r="J47" s="664"/>
    </row>
    <row r="48" spans="2:15">
      <c r="B48" s="672"/>
      <c r="C48" s="764" t="s">
        <v>226</v>
      </c>
      <c r="D48" s="671">
        <f>'BDO Prequal'!D100</f>
        <v>50</v>
      </c>
      <c r="E48" s="671">
        <f>'BDO Prequal'!F100</f>
        <v>500</v>
      </c>
      <c r="F48" s="671">
        <f>'BDO Prequal'!H100</f>
        <v>400</v>
      </c>
      <c r="G48" s="779">
        <f>'BDO Prequal'!J100</f>
        <v>8000</v>
      </c>
      <c r="H48" s="756">
        <f>'BDO Prequal'!N100</f>
        <v>30</v>
      </c>
      <c r="I48" s="734">
        <f>'BDO Prequal'!P100</f>
        <v>0</v>
      </c>
      <c r="J48" s="664"/>
    </row>
    <row r="49" spans="2:10">
      <c r="B49" s="672"/>
      <c r="C49" s="764" t="s">
        <v>227</v>
      </c>
      <c r="D49" s="671">
        <f>'BDO Prequal'!D101</f>
        <v>8950</v>
      </c>
      <c r="E49" s="671">
        <f>'BDO Prequal'!F101</f>
        <v>1666</v>
      </c>
      <c r="F49" s="671">
        <f>'BDO Prequal'!H101</f>
        <v>745</v>
      </c>
      <c r="G49" s="779">
        <f>'BDO Prequal'!J101</f>
        <v>-7120</v>
      </c>
      <c r="H49" s="756">
        <f>'BDO Prequal'!N101</f>
        <v>180</v>
      </c>
      <c r="I49" s="734">
        <f>'BDO Prequal'!P101</f>
        <v>620</v>
      </c>
      <c r="J49" s="664"/>
    </row>
    <row r="50" spans="2:10">
      <c r="B50" s="672"/>
      <c r="C50" s="764"/>
      <c r="D50" s="765"/>
      <c r="E50" s="765"/>
      <c r="F50" s="765"/>
      <c r="G50" s="780"/>
      <c r="H50" s="673"/>
      <c r="I50" s="673"/>
      <c r="J50" s="664"/>
    </row>
    <row r="51" spans="2:10">
      <c r="B51" s="672"/>
      <c r="C51" s="764" t="s">
        <v>250</v>
      </c>
      <c r="D51" s="671">
        <f>'BDO Prequal'!D128</f>
        <v>800</v>
      </c>
      <c r="E51" s="671">
        <f>'BDO Prequal'!F128</f>
        <v>800</v>
      </c>
      <c r="F51" s="671">
        <f>'BDO Prequal'!H128</f>
        <v>500</v>
      </c>
      <c r="G51" s="779">
        <f>'BDO Prequal'!J128</f>
        <v>5000</v>
      </c>
      <c r="H51" s="756">
        <f>'BDO Prequal'!N128</f>
        <v>6747</v>
      </c>
      <c r="I51" s="734">
        <f>'BDO Prequal'!P128</f>
        <v>7603</v>
      </c>
      <c r="J51" s="664"/>
    </row>
    <row r="52" spans="2:10">
      <c r="B52" s="672"/>
      <c r="C52" s="764"/>
      <c r="D52" s="674"/>
      <c r="E52" s="674"/>
      <c r="F52" s="674"/>
      <c r="G52" s="781"/>
      <c r="H52" s="736"/>
      <c r="I52" s="736"/>
      <c r="J52" s="664"/>
    </row>
    <row r="53" spans="2:10">
      <c r="B53" s="672"/>
      <c r="C53" s="764" t="s">
        <v>251</v>
      </c>
      <c r="D53" s="671">
        <f>'BDO Prequal'!D130</f>
        <v>8150</v>
      </c>
      <c r="E53" s="671">
        <f>'BDO Prequal'!F130</f>
        <v>866</v>
      </c>
      <c r="F53" s="671">
        <f>'BDO Prequal'!H130</f>
        <v>245</v>
      </c>
      <c r="G53" s="779">
        <f>'BDO Prequal'!J128</f>
        <v>5000</v>
      </c>
      <c r="H53" s="756">
        <f>'BDO Prequal'!N130</f>
        <v>-6567</v>
      </c>
      <c r="I53" s="734">
        <f>'BDO Prequal'!P130</f>
        <v>-6983</v>
      </c>
      <c r="J53" s="664"/>
    </row>
    <row r="54" spans="2:10">
      <c r="B54" s="672"/>
      <c r="C54" s="764"/>
      <c r="D54" s="674"/>
      <c r="E54" s="674"/>
      <c r="F54" s="674"/>
      <c r="G54" s="781"/>
      <c r="H54" s="737"/>
      <c r="I54" s="737"/>
      <c r="J54" s="664"/>
    </row>
    <row r="55" spans="2:10">
      <c r="B55" s="672"/>
      <c r="C55" s="764" t="s">
        <v>255</v>
      </c>
      <c r="D55" s="671">
        <f>'BDO Prequal'!D130</f>
        <v>8150</v>
      </c>
      <c r="E55" s="802">
        <f>'BDO Prequal'!F136</f>
        <v>6050</v>
      </c>
      <c r="F55" s="802">
        <f>'BDO Prequal'!H136</f>
        <v>8600</v>
      </c>
      <c r="G55" s="779">
        <f>'BDO Prequal'!J136</f>
        <v>9801</v>
      </c>
      <c r="H55" s="756">
        <f>'BDO Prequal'!N130</f>
        <v>-6567</v>
      </c>
      <c r="I55" s="734">
        <f>'BDO Prequal'!P130</f>
        <v>-6983</v>
      </c>
      <c r="J55" s="664"/>
    </row>
    <row r="56" spans="2:10">
      <c r="B56" s="672"/>
      <c r="C56" s="764"/>
      <c r="D56" s="674"/>
      <c r="E56" s="674"/>
      <c r="F56" s="674"/>
      <c r="G56" s="781"/>
      <c r="H56" s="736"/>
      <c r="I56" s="736"/>
      <c r="J56" s="664"/>
    </row>
    <row r="57" spans="2:10">
      <c r="B57" s="672"/>
      <c r="C57" s="764" t="s">
        <v>256</v>
      </c>
      <c r="D57" s="671">
        <f>'BDO Prequal'!D138</f>
        <v>13200</v>
      </c>
      <c r="E57" s="671">
        <f>'BDO Prequal'!F138</f>
        <v>6916</v>
      </c>
      <c r="F57" s="671">
        <f>'BDO Prequal'!H138</f>
        <v>8845</v>
      </c>
      <c r="G57" s="779">
        <f>'BDO Prequal'!J138</f>
        <v>-2319</v>
      </c>
      <c r="H57" s="756">
        <f>'BDO Prequal'!N138</f>
        <v>-6057</v>
      </c>
      <c r="I57" s="734">
        <f>'BDO Prequal'!P138</f>
        <v>-6483</v>
      </c>
      <c r="J57" s="664"/>
    </row>
    <row r="58" spans="2:10">
      <c r="B58" s="672"/>
      <c r="C58" s="764" t="s">
        <v>257</v>
      </c>
      <c r="D58" s="671">
        <f>'BDO Prequal'!D139</f>
        <v>1</v>
      </c>
      <c r="E58" s="671">
        <f>'BDO Prequal'!F139</f>
        <v>2</v>
      </c>
      <c r="F58" s="671">
        <f>'BDO Prequal'!H139</f>
        <v>3</v>
      </c>
      <c r="G58" s="779">
        <f>'BDO Prequal'!J139</f>
        <v>6</v>
      </c>
      <c r="H58" s="756">
        <f>'BDO Prequal'!N139</f>
        <v>70</v>
      </c>
      <c r="I58" s="734">
        <f>'BDO Prequal'!P139</f>
        <v>63</v>
      </c>
      <c r="J58" s="664"/>
    </row>
    <row r="59" spans="2:10">
      <c r="B59" s="672"/>
      <c r="C59" s="675"/>
      <c r="D59" s="676"/>
      <c r="E59" s="676"/>
      <c r="F59" s="676"/>
      <c r="G59" s="782"/>
      <c r="H59" s="738"/>
      <c r="I59" s="738"/>
      <c r="J59" s="664"/>
    </row>
    <row r="60" spans="2:10">
      <c r="B60" s="672"/>
      <c r="C60" s="764" t="s">
        <v>258</v>
      </c>
      <c r="D60" s="671">
        <f>'BDO Prequal'!D141</f>
        <v>13199</v>
      </c>
      <c r="E60" s="671">
        <f>'BDO Prequal'!F141</f>
        <v>6914</v>
      </c>
      <c r="F60" s="671">
        <f>'BDO Prequal'!H141</f>
        <v>8842</v>
      </c>
      <c r="G60" s="779">
        <f>'BDO Prequal'!J141</f>
        <v>-2325</v>
      </c>
      <c r="H60" s="756">
        <f>'BDO Prequal'!N141</f>
        <v>-6127</v>
      </c>
      <c r="I60" s="734">
        <f>'BDO Prequal'!P141</f>
        <v>-6546</v>
      </c>
      <c r="J60" s="664"/>
    </row>
    <row r="61" spans="2:10">
      <c r="B61" s="672"/>
      <c r="C61" s="761"/>
      <c r="D61" s="676"/>
      <c r="E61" s="676"/>
      <c r="F61" s="676"/>
      <c r="G61" s="782"/>
      <c r="H61" s="677"/>
      <c r="I61" s="677"/>
      <c r="J61" s="664"/>
    </row>
    <row r="62" spans="2:10">
      <c r="B62" s="672"/>
      <c r="C62" s="766" t="s">
        <v>259</v>
      </c>
      <c r="D62" s="678"/>
      <c r="E62" s="678"/>
      <c r="F62" s="678"/>
      <c r="G62" s="783"/>
      <c r="H62" s="679"/>
      <c r="I62" s="679"/>
      <c r="J62" s="664"/>
    </row>
    <row r="63" spans="2:10">
      <c r="B63" s="672"/>
      <c r="C63" s="767" t="s">
        <v>756</v>
      </c>
      <c r="D63" s="680">
        <f>'BDO Prequal'!D144+'BDO Prequal'!D145+'BDO Prequal'!D146+'BDO Prequal'!D147</f>
        <v>9000</v>
      </c>
      <c r="E63" s="680">
        <f>'BDO Prequal'!F144+'BDO Prequal'!F145+'BDO Prequal'!F146+'BDO Prequal'!F147</f>
        <v>4562</v>
      </c>
      <c r="F63" s="680">
        <f>'BDO Prequal'!H144+'BDO Prequal'!H145+'BDO Prequal'!H146+'BDO Prequal'!H147</f>
        <v>461</v>
      </c>
      <c r="G63" s="784">
        <f>'BDO Prequal'!J144+'BDO Prequal'!J145+'BDO Prequal'!J146+'BDO Prequal'!J147</f>
        <v>621</v>
      </c>
      <c r="H63" s="757">
        <f>'BDO Prequal'!N144+'BDO Prequal'!N145+'BDO Prequal'!N146+'BDO Prequal'!N147</f>
        <v>423</v>
      </c>
      <c r="I63" s="735">
        <f>'BDO Prequal'!P144+'BDO Prequal'!P145+'BDO Prequal'!P146+'BDO Prequal'!P147</f>
        <v>1527</v>
      </c>
      <c r="J63" s="664"/>
    </row>
    <row r="64" spans="2:10">
      <c r="B64" s="672"/>
      <c r="C64" s="768" t="s">
        <v>264</v>
      </c>
      <c r="D64" s="680">
        <f>'BDO Prequal'!D148</f>
        <v>45</v>
      </c>
      <c r="E64" s="680">
        <f>'BDO Prequal'!F148</f>
        <v>46</v>
      </c>
      <c r="F64" s="680">
        <f>'BDO Prequal'!H148</f>
        <v>10</v>
      </c>
      <c r="G64" s="784">
        <f>'BDO Prequal'!J148</f>
        <v>11</v>
      </c>
      <c r="H64" s="757">
        <f>'BDO Prequal'!N148</f>
        <v>12</v>
      </c>
      <c r="I64" s="735">
        <f>'BDO Prequal'!P148</f>
        <v>12</v>
      </c>
      <c r="J64" s="739"/>
    </row>
    <row r="65" spans="2:10">
      <c r="B65" s="672"/>
      <c r="C65" s="768" t="s">
        <v>264</v>
      </c>
      <c r="D65" s="680">
        <f>'BDO Prequal'!D149</f>
        <v>21</v>
      </c>
      <c r="E65" s="680">
        <f>'BDO Prequal'!F149</f>
        <v>21</v>
      </c>
      <c r="F65" s="680">
        <f>'BDO Prequal'!H149</f>
        <v>22</v>
      </c>
      <c r="G65" s="784">
        <f>'BDO Prequal'!J149</f>
        <v>23</v>
      </c>
      <c r="H65" s="757">
        <f>'BDO Prequal'!N149</f>
        <v>40</v>
      </c>
      <c r="I65" s="735">
        <f>'BDO Prequal'!P149</f>
        <v>13</v>
      </c>
      <c r="J65" s="739"/>
    </row>
    <row r="66" spans="2:10">
      <c r="B66" s="672"/>
      <c r="C66" s="769" t="s">
        <v>266</v>
      </c>
      <c r="D66" s="681">
        <f>'BDO Prequal'!D151</f>
        <v>900</v>
      </c>
      <c r="E66" s="681">
        <f>'BDO Prequal'!F151</f>
        <v>1000</v>
      </c>
      <c r="F66" s="681">
        <f>'BDO Prequal'!H151</f>
        <v>70</v>
      </c>
      <c r="G66" s="785">
        <f>'BDO Prequal'!J151</f>
        <v>7</v>
      </c>
      <c r="H66" s="758">
        <f>'BDO Prequal'!N151</f>
        <v>70</v>
      </c>
      <c r="I66" s="740">
        <f>'BDO Prequal'!P151</f>
        <v>70</v>
      </c>
      <c r="J66" s="739"/>
    </row>
    <row r="67" spans="2:10">
      <c r="B67" s="672"/>
      <c r="C67" s="769"/>
      <c r="D67" s="682"/>
      <c r="E67" s="682"/>
      <c r="F67" s="682"/>
      <c r="G67" s="786"/>
      <c r="H67" s="741"/>
      <c r="I67" s="741"/>
      <c r="J67" s="739"/>
    </row>
    <row r="68" spans="2:10">
      <c r="B68" s="672"/>
      <c r="C68" s="770" t="s">
        <v>757</v>
      </c>
      <c r="D68" s="682"/>
      <c r="E68" s="682"/>
      <c r="F68" s="682"/>
      <c r="G68" s="786"/>
      <c r="H68" s="741"/>
      <c r="I68" s="741"/>
      <c r="J68" s="739"/>
    </row>
    <row r="69" spans="2:10">
      <c r="B69" s="672"/>
      <c r="C69" s="769" t="s">
        <v>267</v>
      </c>
      <c r="D69" s="683">
        <f>'BDO Prequal'!D153</f>
        <v>23165</v>
      </c>
      <c r="E69" s="683">
        <f>'BDO Prequal'!F153</f>
        <v>12543</v>
      </c>
      <c r="F69" s="683">
        <f>'BDO Prequal'!H153</f>
        <v>9405</v>
      </c>
      <c r="G69" s="787">
        <f>'BDO Prequal'!J153</f>
        <v>-1663</v>
      </c>
      <c r="H69" s="759">
        <f>'BDO Prequal'!N153</f>
        <v>-5582</v>
      </c>
      <c r="I69" s="742">
        <f>'BDO Prequal'!P153</f>
        <v>-4924</v>
      </c>
      <c r="J69" s="739"/>
    </row>
    <row r="70" spans="2:10">
      <c r="B70" s="672"/>
      <c r="C70" s="766"/>
      <c r="D70" s="678"/>
      <c r="E70" s="678"/>
      <c r="F70" s="678"/>
      <c r="G70" s="783"/>
      <c r="H70" s="743"/>
      <c r="I70" s="743"/>
      <c r="J70" s="739"/>
    </row>
    <row r="71" spans="2:10">
      <c r="B71" s="672"/>
      <c r="C71" s="761" t="s">
        <v>758</v>
      </c>
      <c r="D71" s="684">
        <f>'BDO Prequal'!D155</f>
        <v>600</v>
      </c>
      <c r="E71" s="684">
        <f>'BDO Prequal'!F155</f>
        <v>700</v>
      </c>
      <c r="F71" s="684">
        <f>'BDO Prequal'!F155</f>
        <v>700</v>
      </c>
      <c r="G71" s="788">
        <f>'BDO Prequal'!H155</f>
        <v>8000</v>
      </c>
      <c r="H71" s="744">
        <f>'BDO Prequal'!N155</f>
        <v>1</v>
      </c>
      <c r="I71" s="744">
        <f>'BDO Prequal'!P155</f>
        <v>10</v>
      </c>
      <c r="J71" s="739"/>
    </row>
    <row r="72" spans="2:10">
      <c r="B72" s="672"/>
      <c r="C72" s="761"/>
      <c r="D72" s="771"/>
      <c r="E72" s="771"/>
      <c r="F72" s="771"/>
      <c r="G72" s="789"/>
      <c r="H72" s="741"/>
      <c r="I72" s="741"/>
      <c r="J72" s="739"/>
    </row>
    <row r="73" spans="2:10">
      <c r="B73" s="672"/>
      <c r="C73" s="766" t="s">
        <v>759</v>
      </c>
      <c r="D73" s="771"/>
      <c r="E73" s="771"/>
      <c r="F73" s="771"/>
      <c r="G73" s="789"/>
      <c r="H73" s="741"/>
      <c r="I73" s="741"/>
      <c r="J73" s="739"/>
    </row>
    <row r="74" spans="2:10">
      <c r="B74" s="672"/>
      <c r="C74" s="761" t="s">
        <v>760</v>
      </c>
      <c r="D74" s="684">
        <f ca="1">'BDO Prequal'!D156</f>
        <v>152.05897314497585</v>
      </c>
      <c r="E74" s="684">
        <f ca="1">'BDO Prequal'!F156</f>
        <v>152.05897314497585</v>
      </c>
      <c r="F74" s="684">
        <f ca="1">'BDO Prequal'!H156</f>
        <v>152.05897314497585</v>
      </c>
      <c r="G74" s="788">
        <f ca="1">'BDO Prequal'!J156</f>
        <v>38.014743286243963</v>
      </c>
      <c r="H74" s="744">
        <f>'BDO Prequal'!N156</f>
        <v>1000</v>
      </c>
      <c r="I74" s="744">
        <f>'BDO Prequal'!P156</f>
        <v>1000</v>
      </c>
      <c r="J74" s="739"/>
    </row>
    <row r="75" spans="2:10">
      <c r="B75" s="672"/>
      <c r="C75" s="761" t="s">
        <v>761</v>
      </c>
      <c r="D75" s="684"/>
      <c r="E75" s="684"/>
      <c r="F75" s="684"/>
      <c r="G75" s="788"/>
      <c r="H75" s="744"/>
      <c r="I75" s="744"/>
      <c r="J75" s="739"/>
    </row>
    <row r="76" spans="2:10">
      <c r="B76" s="672"/>
      <c r="C76" s="761" t="s">
        <v>762</v>
      </c>
      <c r="D76" s="684"/>
      <c r="E76" s="684"/>
      <c r="F76" s="684"/>
      <c r="G76" s="788"/>
      <c r="H76" s="744"/>
      <c r="I76" s="744"/>
      <c r="J76" s="739"/>
    </row>
    <row r="77" spans="2:10">
      <c r="B77" s="672"/>
      <c r="C77" s="772" t="s">
        <v>35</v>
      </c>
      <c r="D77" s="684">
        <f>'BDO Prequal'!D159</f>
        <v>37443.928045799286</v>
      </c>
      <c r="E77" s="684">
        <f>'BDO Prequal'!F159</f>
        <v>37443.928045799286</v>
      </c>
      <c r="F77" s="684">
        <f>'BDO Prequal'!H159</f>
        <v>37443.928045799286</v>
      </c>
      <c r="G77" s="788">
        <f>'BDO Prequal'!J159</f>
        <v>9360.9820114498216</v>
      </c>
      <c r="H77" s="744">
        <f>'BDO Prequal'!N159</f>
        <v>6000</v>
      </c>
      <c r="I77" s="744">
        <f>'BDO Prequal'!P159</f>
        <v>9000</v>
      </c>
      <c r="J77" s="739"/>
    </row>
    <row r="78" spans="2:10">
      <c r="B78" s="672"/>
      <c r="C78" s="772" t="s">
        <v>36</v>
      </c>
      <c r="D78" s="684">
        <f>'BDO Prequal'!D160</f>
        <v>100</v>
      </c>
      <c r="E78" s="684">
        <f>'BDO Prequal'!F160</f>
        <v>200</v>
      </c>
      <c r="F78" s="684">
        <f>'BDO Prequal'!H160</f>
        <v>1400</v>
      </c>
      <c r="G78" s="788">
        <f>'BDO Prequal'!J160</f>
        <v>3000</v>
      </c>
      <c r="H78" s="744">
        <f>'BDO Prequal'!N160</f>
        <v>15000</v>
      </c>
      <c r="I78" s="744">
        <f>'BDO Prequal'!P160</f>
        <v>6000</v>
      </c>
      <c r="J78" s="739"/>
    </row>
    <row r="79" spans="2:10">
      <c r="B79" s="672"/>
      <c r="C79" s="772" t="s">
        <v>274</v>
      </c>
      <c r="D79" s="684">
        <f ca="1">'BDO Prequal'!D161</f>
        <v>38295.987018944259</v>
      </c>
      <c r="E79" s="684">
        <f ca="1">'BDO Prequal'!F161</f>
        <v>38495.987018944259</v>
      </c>
      <c r="F79" s="684">
        <f ca="1">'BDO Prequal'!H161</f>
        <v>46995.987018944259</v>
      </c>
      <c r="G79" s="788">
        <f ca="1">'BDO Prequal'!J161</f>
        <v>12998.996754736065</v>
      </c>
      <c r="H79" s="744">
        <f>'BDO Prequal'!N161</f>
        <v>22001</v>
      </c>
      <c r="I79" s="744">
        <f>'BDO Prequal'!P161</f>
        <v>16010</v>
      </c>
      <c r="J79" s="739"/>
    </row>
    <row r="80" spans="2:10">
      <c r="B80" s="672"/>
      <c r="C80" s="773"/>
      <c r="D80" s="773"/>
      <c r="E80" s="773"/>
      <c r="F80" s="773"/>
      <c r="G80" s="790"/>
      <c r="H80" s="669"/>
      <c r="I80" s="669"/>
      <c r="J80" s="664"/>
    </row>
    <row r="81" spans="2:11">
      <c r="B81" s="672"/>
      <c r="C81" s="764" t="s">
        <v>275</v>
      </c>
      <c r="D81" s="798">
        <f ca="1">'BDO Prequal'!D163</f>
        <v>0.60489366649672038</v>
      </c>
      <c r="E81" s="798">
        <f ca="1">'BDO Prequal'!F163</f>
        <v>0.32582616972068973</v>
      </c>
      <c r="F81" s="798">
        <f ca="1">'BDO Prequal'!H163</f>
        <v>0.20012347003604392</v>
      </c>
      <c r="G81" s="799">
        <f ca="1">'BDO Prequal'!J163</f>
        <v>-0.12793294985584955</v>
      </c>
      <c r="H81" s="800">
        <f>'BDO Prequal'!N163</f>
        <v>-0.25371574019362758</v>
      </c>
      <c r="I81" s="801">
        <f>'BDO Prequal'!P163</f>
        <v>-0.3075577763897564</v>
      </c>
      <c r="J81" s="664"/>
    </row>
    <row r="82" spans="2:11" ht="15" thickBot="1">
      <c r="B82" s="672"/>
      <c r="C82" s="764"/>
      <c r="D82" s="685"/>
      <c r="E82" s="685"/>
      <c r="F82" s="685"/>
      <c r="G82" s="791"/>
      <c r="H82" s="749"/>
      <c r="I82" s="749"/>
      <c r="J82" s="750"/>
    </row>
    <row r="83" spans="2:11">
      <c r="B83" s="686"/>
      <c r="C83" s="774"/>
      <c r="D83" s="724"/>
      <c r="E83" s="724"/>
      <c r="F83" s="724"/>
      <c r="G83" s="687"/>
    </row>
    <row r="84" spans="2:11">
      <c r="B84" s="686"/>
      <c r="C84" s="774" t="s">
        <v>280</v>
      </c>
      <c r="D84" s="745">
        <f>'BDO Prequal'!D171</f>
        <v>22265</v>
      </c>
      <c r="E84" s="745">
        <f>'BDO Prequal'!F171</f>
        <v>11543</v>
      </c>
      <c r="F84" s="745">
        <f>'BDO Prequal'!H171</f>
        <v>9335</v>
      </c>
      <c r="G84" s="746">
        <f>'BDO Prequal'!J171</f>
        <v>-1670</v>
      </c>
    </row>
    <row r="85" spans="2:11">
      <c r="B85" s="686"/>
      <c r="C85" s="774" t="s">
        <v>281</v>
      </c>
      <c r="D85" s="745">
        <f ca="1">'BDO Prequal'!D172</f>
        <v>38295.987018944259</v>
      </c>
      <c r="E85" s="745">
        <f ca="1">'BDO Prequal'!F172</f>
        <v>38495.987018944259</v>
      </c>
      <c r="F85" s="745">
        <f ca="1">'BDO Prequal'!H172</f>
        <v>46995.987018944259</v>
      </c>
      <c r="G85" s="746">
        <f ca="1">'BDO Prequal'!J172</f>
        <v>12998.996754736065</v>
      </c>
    </row>
    <row r="86" spans="2:11">
      <c r="B86" s="686"/>
      <c r="C86" s="774"/>
      <c r="D86" s="747"/>
      <c r="E86" s="747"/>
      <c r="F86" s="747"/>
      <c r="G86" s="748"/>
    </row>
    <row r="87" spans="2:11">
      <c r="B87" s="686"/>
      <c r="C87" s="774" t="s">
        <v>763</v>
      </c>
      <c r="D87" s="745">
        <f>'BDO Prequal'!D194</f>
        <v>27896</v>
      </c>
      <c r="E87" s="745">
        <f>'BDO Prequal'!F194</f>
        <v>17543</v>
      </c>
      <c r="F87" s="745">
        <f>'BDO Prequal'!H194</f>
        <v>11335</v>
      </c>
      <c r="G87" s="746">
        <f>'BDO Prequal'!J194</f>
        <v>18581</v>
      </c>
    </row>
    <row r="88" spans="2:11">
      <c r="B88" s="686"/>
      <c r="C88" s="774" t="s">
        <v>764</v>
      </c>
      <c r="D88" s="745">
        <f ca="1">'BDO Prequal'!D195</f>
        <v>52408.987018944259</v>
      </c>
      <c r="E88" s="745">
        <f ca="1">'BDO Prequal'!F195</f>
        <v>43495.987018944259</v>
      </c>
      <c r="F88" s="745">
        <f ca="1">'BDO Prequal'!H195</f>
        <v>47045.987018944259</v>
      </c>
      <c r="G88" s="746">
        <f ca="1">'BDO Prequal'!J195</f>
        <v>13118.996754736065</v>
      </c>
    </row>
    <row r="89" spans="2:11">
      <c r="B89" s="686"/>
      <c r="C89" s="774"/>
      <c r="D89" s="747"/>
      <c r="E89" s="747"/>
      <c r="F89" s="747"/>
      <c r="G89" s="748"/>
    </row>
    <row r="90" spans="2:11">
      <c r="B90" s="931"/>
      <c r="C90" s="932"/>
      <c r="D90" s="725"/>
      <c r="E90" s="725"/>
      <c r="F90" s="725"/>
      <c r="G90" s="688"/>
    </row>
    <row r="91" spans="2:11">
      <c r="B91" s="686"/>
      <c r="C91" s="775" t="s">
        <v>299</v>
      </c>
      <c r="D91" s="689">
        <f ca="1">'BDO Prequal'!D198</f>
        <v>0.53227512277458144</v>
      </c>
      <c r="E91" s="689">
        <f ca="1">'BDO Prequal'!F198</f>
        <v>0.40332456399619843</v>
      </c>
      <c r="F91" s="689">
        <f ca="1">'BDO Prequal'!H198</f>
        <v>0.24093447110453173</v>
      </c>
      <c r="G91" s="690">
        <f ca="1">'BDO Prequal'!J198</f>
        <v>1.4163430594105535</v>
      </c>
    </row>
    <row r="92" spans="2:11">
      <c r="B92" s="686"/>
      <c r="C92" s="774"/>
      <c r="D92" s="724"/>
      <c r="E92" s="724"/>
      <c r="F92" s="724"/>
      <c r="G92" s="687"/>
    </row>
    <row r="93" spans="2:11" ht="15" thickBot="1">
      <c r="B93" s="933"/>
      <c r="C93" s="934"/>
      <c r="D93" s="934"/>
      <c r="E93" s="691"/>
      <c r="F93" s="691"/>
      <c r="G93" s="692"/>
    </row>
    <row r="94" spans="2:11" ht="15" thickBot="1">
      <c r="B94" s="633"/>
      <c r="C94" s="633"/>
      <c r="D94" s="633"/>
      <c r="E94" s="633"/>
      <c r="F94" s="633"/>
      <c r="G94" s="633"/>
      <c r="H94" s="633"/>
      <c r="I94" s="633"/>
      <c r="J94" s="633"/>
      <c r="K94" s="633"/>
    </row>
    <row r="95" spans="2:11" ht="15.6">
      <c r="B95" s="935" t="s">
        <v>300</v>
      </c>
      <c r="C95" s="936"/>
      <c r="D95" s="936"/>
      <c r="E95" s="936"/>
      <c r="F95" s="936"/>
      <c r="G95" s="936"/>
      <c r="H95" s="936"/>
      <c r="I95" s="936"/>
      <c r="J95" s="936"/>
      <c r="K95" s="937"/>
    </row>
    <row r="96" spans="2:11">
      <c r="B96" s="693" t="s">
        <v>301</v>
      </c>
      <c r="C96" s="694" t="s">
        <v>302</v>
      </c>
      <c r="D96" s="694" t="s">
        <v>303</v>
      </c>
      <c r="E96" s="694" t="s">
        <v>304</v>
      </c>
      <c r="F96" s="695" t="s">
        <v>305</v>
      </c>
      <c r="G96" s="694" t="s">
        <v>306</v>
      </c>
      <c r="H96" s="694" t="s">
        <v>307</v>
      </c>
      <c r="I96" s="694" t="s">
        <v>308</v>
      </c>
      <c r="J96" s="694" t="s">
        <v>309</v>
      </c>
      <c r="K96" s="696" t="s">
        <v>310</v>
      </c>
    </row>
    <row r="97" spans="2:11">
      <c r="B97" s="697" t="str">
        <f>'BDO Prequal'!B207</f>
        <v xml:space="preserve">tester lending lender loans </v>
      </c>
      <c r="C97" s="698">
        <f>'BDO Prequal'!C207</f>
        <v>6000</v>
      </c>
      <c r="D97" s="698">
        <f>'BDO Prequal'!D207</f>
        <v>60</v>
      </c>
      <c r="E97" s="699">
        <f>'BDO Prequal'!E207</f>
        <v>0</v>
      </c>
      <c r="F97" s="700" t="str">
        <f>'BDO Prequal'!F207</f>
        <v>Yes</v>
      </c>
      <c r="G97" s="701">
        <f>'BDO Prequal'!G207</f>
        <v>-5.1947152430260948E-2</v>
      </c>
      <c r="H97" s="702">
        <f>'BDO Prequal'!H207</f>
        <v>76.005464250149686</v>
      </c>
      <c r="I97" s="703">
        <f>'BDO Prequal'!I207</f>
        <v>-0.26675773750249476</v>
      </c>
      <c r="J97" s="704">
        <f>'BDO Prequal'!J207</f>
        <v>0</v>
      </c>
      <c r="K97" s="705">
        <f>'BDO Prequal'!K207</f>
        <v>0</v>
      </c>
    </row>
    <row r="98" spans="2:11">
      <c r="B98" s="697">
        <f>'BDO Prequal'!B208</f>
        <v>0</v>
      </c>
      <c r="C98" s="698">
        <f>'BDO Prequal'!C208</f>
        <v>0</v>
      </c>
      <c r="D98" s="698">
        <f>'BDO Prequal'!D208</f>
        <v>0</v>
      </c>
      <c r="E98" s="699">
        <f>'BDO Prequal'!E208</f>
        <v>0</v>
      </c>
      <c r="F98" s="700">
        <f>'BDO Prequal'!F208</f>
        <v>0</v>
      </c>
      <c r="G98" s="701">
        <f>'BDO Prequal'!G208</f>
        <v>0</v>
      </c>
      <c r="H98" s="702">
        <f>'BDO Prequal'!H208</f>
        <v>0</v>
      </c>
      <c r="I98" s="703">
        <f>'BDO Prequal'!I208</f>
        <v>0</v>
      </c>
      <c r="J98" s="704">
        <f>'BDO Prequal'!J208</f>
        <v>0</v>
      </c>
      <c r="K98" s="706"/>
    </row>
    <row r="99" spans="2:11">
      <c r="B99" s="697">
        <f>'BDO Prequal'!B209</f>
        <v>0</v>
      </c>
      <c r="C99" s="698">
        <f>'BDO Prequal'!C209</f>
        <v>0</v>
      </c>
      <c r="D99" s="698">
        <f>'BDO Prequal'!D209</f>
        <v>0</v>
      </c>
      <c r="E99" s="699">
        <f>'BDO Prequal'!E209</f>
        <v>0</v>
      </c>
      <c r="F99" s="700">
        <f>'BDO Prequal'!F209</f>
        <v>0</v>
      </c>
      <c r="G99" s="701">
        <f>'BDO Prequal'!G209</f>
        <v>0</v>
      </c>
      <c r="H99" s="702">
        <f>'BDO Prequal'!H209</f>
        <v>0</v>
      </c>
      <c r="I99" s="703">
        <f>'BDO Prequal'!I209</f>
        <v>0</v>
      </c>
      <c r="J99" s="704">
        <f>'BDO Prequal'!J209</f>
        <v>0</v>
      </c>
      <c r="K99" s="706"/>
    </row>
    <row r="100" spans="2:11">
      <c r="B100" s="697">
        <f>'BDO Prequal'!B210</f>
        <v>0</v>
      </c>
      <c r="C100" s="698">
        <f>'BDO Prequal'!C210</f>
        <v>0</v>
      </c>
      <c r="D100" s="698">
        <f>'BDO Prequal'!D210</f>
        <v>0</v>
      </c>
      <c r="E100" s="699">
        <f>'BDO Prequal'!E210</f>
        <v>0</v>
      </c>
      <c r="F100" s="700">
        <f>'BDO Prequal'!F210</f>
        <v>0</v>
      </c>
      <c r="G100" s="701">
        <f>'BDO Prequal'!G210</f>
        <v>0</v>
      </c>
      <c r="H100" s="702">
        <f>'BDO Prequal'!H210</f>
        <v>0</v>
      </c>
      <c r="I100" s="703">
        <f>'BDO Prequal'!I210</f>
        <v>0</v>
      </c>
      <c r="J100" s="704">
        <f>'BDO Prequal'!J210</f>
        <v>0</v>
      </c>
      <c r="K100" s="706"/>
    </row>
    <row r="101" spans="2:11">
      <c r="B101" s="697">
        <f>'BDO Prequal'!B211</f>
        <v>0</v>
      </c>
      <c r="C101" s="698">
        <f>'BDO Prequal'!C211</f>
        <v>0</v>
      </c>
      <c r="D101" s="698">
        <f>'BDO Prequal'!D211</f>
        <v>0</v>
      </c>
      <c r="E101" s="699">
        <f>'BDO Prequal'!E211</f>
        <v>0</v>
      </c>
      <c r="F101" s="700">
        <f>'BDO Prequal'!F211</f>
        <v>0</v>
      </c>
      <c r="G101" s="701">
        <f>'BDO Prequal'!G211</f>
        <v>0</v>
      </c>
      <c r="H101" s="702">
        <f>'BDO Prequal'!H211</f>
        <v>0</v>
      </c>
      <c r="I101" s="703">
        <f>'BDO Prequal'!I211</f>
        <v>0</v>
      </c>
      <c r="J101" s="704">
        <f>'BDO Prequal'!J211</f>
        <v>0</v>
      </c>
      <c r="K101" s="706"/>
    </row>
    <row r="102" spans="2:11">
      <c r="B102" s="697">
        <f>'BDO Prequal'!B212</f>
        <v>0</v>
      </c>
      <c r="C102" s="698">
        <f>'BDO Prequal'!C212</f>
        <v>0</v>
      </c>
      <c r="D102" s="698">
        <f>'BDO Prequal'!D212</f>
        <v>0</v>
      </c>
      <c r="E102" s="699">
        <f>'BDO Prequal'!E212</f>
        <v>0</v>
      </c>
      <c r="F102" s="700">
        <f>'BDO Prequal'!F212</f>
        <v>0</v>
      </c>
      <c r="G102" s="701">
        <f>'BDO Prequal'!G212</f>
        <v>0</v>
      </c>
      <c r="H102" s="702">
        <f>'BDO Prequal'!H212</f>
        <v>0</v>
      </c>
      <c r="I102" s="703">
        <f>'BDO Prequal'!I212</f>
        <v>0</v>
      </c>
      <c r="J102" s="704">
        <f>'BDO Prequal'!J212</f>
        <v>0</v>
      </c>
      <c r="K102" s="706"/>
    </row>
    <row r="103" spans="2:11">
      <c r="B103" s="697">
        <f>'BDO Prequal'!B213</f>
        <v>0</v>
      </c>
      <c r="C103" s="698">
        <f>'BDO Prequal'!C213</f>
        <v>0</v>
      </c>
      <c r="D103" s="698">
        <f>'BDO Prequal'!D213</f>
        <v>0</v>
      </c>
      <c r="E103" s="699">
        <f>'BDO Prequal'!E213</f>
        <v>0</v>
      </c>
      <c r="F103" s="700">
        <f>'BDO Prequal'!F213</f>
        <v>0</v>
      </c>
      <c r="G103" s="701">
        <f>'BDO Prequal'!G213</f>
        <v>0</v>
      </c>
      <c r="H103" s="702">
        <f>'BDO Prequal'!H213</f>
        <v>0</v>
      </c>
      <c r="I103" s="703">
        <f>'BDO Prequal'!I213</f>
        <v>0</v>
      </c>
      <c r="J103" s="704">
        <f>'BDO Prequal'!J213</f>
        <v>0</v>
      </c>
      <c r="K103" s="706"/>
    </row>
    <row r="104" spans="2:11">
      <c r="B104" s="697">
        <f>'BDO Prequal'!B214</f>
        <v>0</v>
      </c>
      <c r="C104" s="698">
        <f>'BDO Prequal'!C214</f>
        <v>0</v>
      </c>
      <c r="D104" s="698">
        <f>'BDO Prequal'!D214</f>
        <v>0</v>
      </c>
      <c r="E104" s="699">
        <f>'BDO Prequal'!E214</f>
        <v>0</v>
      </c>
      <c r="F104" s="700">
        <f>'BDO Prequal'!F214</f>
        <v>0</v>
      </c>
      <c r="G104" s="701">
        <f>'BDO Prequal'!G214</f>
        <v>0</v>
      </c>
      <c r="H104" s="702">
        <f>'BDO Prequal'!H214</f>
        <v>0</v>
      </c>
      <c r="I104" s="703">
        <f>'BDO Prequal'!I214</f>
        <v>0</v>
      </c>
      <c r="J104" s="704">
        <f>'BDO Prequal'!J214</f>
        <v>0</v>
      </c>
      <c r="K104" s="706"/>
    </row>
    <row r="105" spans="2:11">
      <c r="B105" s="697">
        <f>'BDO Prequal'!B215</f>
        <v>0</v>
      </c>
      <c r="C105" s="698">
        <f>'BDO Prequal'!C215</f>
        <v>0</v>
      </c>
      <c r="D105" s="698">
        <f>'BDO Prequal'!D215</f>
        <v>0</v>
      </c>
      <c r="E105" s="699">
        <f>'BDO Prequal'!E215</f>
        <v>0</v>
      </c>
      <c r="F105" s="700">
        <f>'BDO Prequal'!F215</f>
        <v>0</v>
      </c>
      <c r="G105" s="701">
        <f>'BDO Prequal'!G215</f>
        <v>0</v>
      </c>
      <c r="H105" s="702">
        <f>'BDO Prequal'!H215</f>
        <v>0</v>
      </c>
      <c r="I105" s="703">
        <f>'BDO Prequal'!I215</f>
        <v>0</v>
      </c>
      <c r="J105" s="704">
        <f>'BDO Prequal'!J215</f>
        <v>0</v>
      </c>
      <c r="K105" s="706"/>
    </row>
    <row r="106" spans="2:11">
      <c r="B106" s="697">
        <f>'BDO Prequal'!B216</f>
        <v>0</v>
      </c>
      <c r="C106" s="698">
        <f>'BDO Prequal'!C216</f>
        <v>0</v>
      </c>
      <c r="D106" s="698">
        <f>'BDO Prequal'!D216</f>
        <v>0</v>
      </c>
      <c r="E106" s="699">
        <f>'BDO Prequal'!E216</f>
        <v>0</v>
      </c>
      <c r="F106" s="700">
        <f>'BDO Prequal'!F216</f>
        <v>0</v>
      </c>
      <c r="G106" s="701">
        <f>'BDO Prequal'!G216</f>
        <v>0</v>
      </c>
      <c r="H106" s="702">
        <f>'BDO Prequal'!H216</f>
        <v>0</v>
      </c>
      <c r="I106" s="703">
        <f>'BDO Prequal'!I216</f>
        <v>0</v>
      </c>
      <c r="J106" s="704">
        <f>'BDO Prequal'!J216</f>
        <v>0</v>
      </c>
      <c r="K106" s="707"/>
    </row>
    <row r="107" spans="2:11">
      <c r="B107" s="708" t="e">
        <f>[1]!Table2[[#Totals],[Lender]]</f>
        <v>#REF!</v>
      </c>
      <c r="C107" s="709">
        <f>Table2[[#Totals],[Current Balance]]</f>
        <v>6000</v>
      </c>
      <c r="D107" s="709">
        <f>Table2[[#Totals],[Mthly Pmt]]</f>
        <v>60</v>
      </c>
      <c r="E107" s="709">
        <f>Table2[[#Totals],[Collateral]]</f>
        <v>0</v>
      </c>
      <c r="F107" s="731">
        <f>Table2[[#Totals],[Refinance?]]</f>
        <v>0</v>
      </c>
      <c r="G107" s="733">
        <f>Table2[[#Totals],[% of Loan]]</f>
        <v>-5.1947152430260948E-2</v>
      </c>
      <c r="H107" s="709">
        <f>Table2[[#Totals],[Refi Pmt]]</f>
        <v>76.005464250149686</v>
      </c>
      <c r="I107" s="732">
        <f>Table2[[#Totals],[% Chg]]</f>
        <v>-0.26675773750249476</v>
      </c>
      <c r="J107" s="731">
        <f>Table2[[#Totals],[CF Debt Svc]]</f>
        <v>0</v>
      </c>
      <c r="K107" s="710" t="e">
        <f>[1]!Table2[[#Totals],[Reserved]]</f>
        <v>#REF!</v>
      </c>
    </row>
    <row r="108" spans="2:11">
      <c r="B108" s="711"/>
      <c r="C108" s="712"/>
      <c r="D108" s="712"/>
      <c r="E108" s="712"/>
      <c r="F108" s="712"/>
      <c r="G108" s="712"/>
      <c r="H108" s="712"/>
      <c r="I108" s="712"/>
      <c r="J108" s="712"/>
      <c r="K108" s="713"/>
    </row>
    <row r="109" spans="2:11">
      <c r="B109" s="708" t="s">
        <v>311</v>
      </c>
      <c r="C109" s="714">
        <f>'BDO Prequal'!C219</f>
        <v>60</v>
      </c>
      <c r="D109" s="715" t="s">
        <v>312</v>
      </c>
      <c r="E109" s="714">
        <f>'BDO Prequal'!E219</f>
        <v>76.005464250149686</v>
      </c>
      <c r="F109" s="715" t="s">
        <v>313</v>
      </c>
      <c r="G109" s="716">
        <f>'BDO Prequal'!G219</f>
        <v>-0.26675773750249476</v>
      </c>
      <c r="H109" s="717"/>
      <c r="I109" s="718"/>
      <c r="J109" s="719"/>
      <c r="K109" s="720"/>
    </row>
    <row r="110" spans="2:11" ht="15" thickBot="1">
      <c r="B110" s="721"/>
      <c r="C110" s="722"/>
      <c r="D110" s="722"/>
      <c r="E110" s="722"/>
      <c r="F110" s="722"/>
      <c r="G110" s="722"/>
      <c r="H110" s="722"/>
      <c r="I110" s="722"/>
      <c r="J110" s="722"/>
      <c r="K110" s="723"/>
    </row>
  </sheetData>
  <mergeCells count="9">
    <mergeCell ref="B4:J4"/>
    <mergeCell ref="B18:K18"/>
    <mergeCell ref="B90:C90"/>
    <mergeCell ref="B93:D93"/>
    <mergeCell ref="B95:K95"/>
    <mergeCell ref="B39:G39"/>
    <mergeCell ref="H39:I39"/>
    <mergeCell ref="B40:G40"/>
    <mergeCell ref="H40:I40"/>
  </mergeCells>
  <phoneticPr fontId="9" type="noConversion"/>
  <conditionalFormatting sqref="G109">
    <cfRule type="cellIs" dxfId="31" priority="1" operator="greaterThanOrEqual">
      <formula>0.1</formula>
    </cfRule>
    <cfRule type="cellIs" dxfId="30" priority="2" operator="lessThan">
      <formula>0.1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687"/>
  <sheetViews>
    <sheetView showGridLines="0" tabSelected="1" topLeftCell="C29" workbookViewId="0">
      <selection activeCell="E32" sqref="E32"/>
    </sheetView>
  </sheetViews>
  <sheetFormatPr defaultRowHeight="16.95" customHeight="1" outlineLevelRow="2" outlineLevelCol="1"/>
  <cols>
    <col min="1" max="1" width="2.6640625"/>
    <col min="2" max="2" width="43.6640625"/>
    <col min="3" max="3" width="16.5546875" customWidth="1"/>
    <col min="4" max="10" width="17.44140625"/>
    <col min="11" max="11" width="13.77734375" customWidth="1"/>
    <col min="12" max="12" width="13.109375" bestFit="1" customWidth="1"/>
    <col min="13" max="13" width="31.109375" bestFit="1" customWidth="1"/>
    <col min="14" max="14" width="15.5546875" customWidth="1"/>
    <col min="15" max="15" width="31" customWidth="1"/>
    <col min="16" max="16" width="13.44140625" customWidth="1"/>
    <col min="17" max="17" width="31" bestFit="1" customWidth="1"/>
    <col min="18" max="18" width="9.33203125" bestFit="1" customWidth="1"/>
    <col min="19" max="19" width="8.21875" bestFit="1" customWidth="1"/>
    <col min="20" max="20" width="10.44140625" bestFit="1" customWidth="1"/>
    <col min="21" max="24" width="8.77734375" customWidth="1"/>
    <col min="25" max="25" width="3.77734375" bestFit="1" customWidth="1"/>
    <col min="26" max="26" width="8.77734375" customWidth="1"/>
    <col min="27" max="53" width="9.109375"/>
    <col min="54" max="54" width="10.88671875"/>
    <col min="55" max="55" width="22.88671875" outlineLevel="1"/>
    <col min="56" max="56" width="12.6640625" outlineLevel="1"/>
    <col min="57" max="57" width="12.44140625" outlineLevel="1"/>
    <col min="58" max="58" width="14.77734375" outlineLevel="1"/>
    <col min="59" max="59" width="22.88671875" outlineLevel="1"/>
    <col min="60" max="60" width="11.33203125" outlineLevel="1"/>
    <col min="61" max="61" width="10.5546875" outlineLevel="1"/>
    <col min="62" max="62" width="22.88671875" outlineLevel="1"/>
    <col min="63" max="63" width="23.33203125" outlineLevel="1"/>
    <col min="64" max="64" width="14.77734375" outlineLevel="1"/>
    <col min="65" max="65" width="9.109375"/>
    <col min="66" max="2048" width="10.88671875"/>
  </cols>
  <sheetData>
    <row r="1" spans="1:11" ht="15" thickBot="1">
      <c r="A1" t="s">
        <v>0</v>
      </c>
    </row>
    <row r="2" spans="1:11" ht="15" customHeight="1">
      <c r="B2" s="915" t="s">
        <v>1</v>
      </c>
      <c r="C2" s="1"/>
      <c r="D2" s="1"/>
      <c r="E2" s="1"/>
      <c r="F2" s="1"/>
      <c r="G2" s="1"/>
      <c r="H2" s="1"/>
      <c r="I2" s="1"/>
      <c r="J2" s="1"/>
      <c r="K2" s="2"/>
    </row>
    <row r="3" spans="1:11" ht="15" customHeight="1">
      <c r="B3" s="916"/>
      <c r="C3" s="3"/>
      <c r="D3" s="3"/>
      <c r="E3" s="3"/>
      <c r="F3" s="3"/>
      <c r="G3" s="3"/>
      <c r="H3" s="3"/>
      <c r="I3" s="3"/>
      <c r="J3" s="3"/>
      <c r="K3" s="4"/>
    </row>
    <row r="4" spans="1:11" ht="15" customHeight="1">
      <c r="B4" s="916"/>
      <c r="C4" s="3"/>
      <c r="D4" s="3"/>
      <c r="E4" s="3"/>
      <c r="F4" s="3"/>
      <c r="G4" s="3"/>
      <c r="H4" s="3"/>
      <c r="I4" s="3"/>
      <c r="J4" s="3"/>
      <c r="K4" s="4"/>
    </row>
    <row r="5" spans="1:11" ht="16.05" customHeight="1" thickBot="1">
      <c r="B5" s="5"/>
      <c r="C5" s="6"/>
      <c r="D5" s="6"/>
      <c r="E5" s="6"/>
      <c r="F5" s="6"/>
      <c r="G5" s="6"/>
      <c r="H5" s="6"/>
      <c r="I5" s="6"/>
      <c r="J5" s="6"/>
      <c r="K5" s="7"/>
    </row>
    <row r="6" spans="1:11" ht="15" thickBot="1">
      <c r="B6" s="8"/>
      <c r="C6" s="9"/>
      <c r="D6" s="9"/>
      <c r="E6" s="9"/>
      <c r="F6" s="9"/>
      <c r="G6" s="9"/>
      <c r="H6" s="9"/>
      <c r="I6" s="9"/>
      <c r="J6" s="9"/>
      <c r="K6" s="10"/>
    </row>
    <row r="7" spans="1:11" ht="16.2" thickBot="1">
      <c r="B7" s="860" t="s">
        <v>2</v>
      </c>
      <c r="C7" s="861"/>
      <c r="D7" s="861"/>
      <c r="E7" s="861"/>
      <c r="F7" s="861"/>
      <c r="G7" s="861"/>
      <c r="H7" s="861"/>
      <c r="I7" s="861"/>
      <c r="J7" s="861"/>
      <c r="K7" s="862"/>
    </row>
    <row r="8" spans="1:11" ht="16.2" thickBot="1">
      <c r="B8" s="917" t="s">
        <v>3</v>
      </c>
      <c r="C8" s="918"/>
      <c r="D8" s="918"/>
      <c r="E8" s="919"/>
      <c r="F8" s="11"/>
      <c r="G8" s="12"/>
      <c r="H8" s="13"/>
      <c r="I8" s="12"/>
      <c r="J8" s="12"/>
      <c r="K8" s="14"/>
    </row>
    <row r="9" spans="1:11" ht="15.6">
      <c r="B9" s="15"/>
      <c r="C9" s="12"/>
      <c r="D9" s="12"/>
      <c r="E9" s="12"/>
      <c r="F9" s="12"/>
      <c r="G9" s="12"/>
      <c r="H9" s="12"/>
      <c r="I9" s="12"/>
      <c r="J9" s="12"/>
      <c r="K9" s="14"/>
    </row>
    <row r="10" spans="1:11" ht="14.4">
      <c r="B10" s="16"/>
      <c r="C10" s="17"/>
      <c r="D10" s="17"/>
      <c r="E10" s="17"/>
      <c r="F10" s="17"/>
      <c r="G10" s="17"/>
      <c r="H10" s="17"/>
      <c r="I10" s="17"/>
      <c r="J10" s="17"/>
      <c r="K10" s="18"/>
    </row>
    <row r="11" spans="1:11" ht="14.4">
      <c r="B11" s="19" t="s">
        <v>4</v>
      </c>
      <c r="C11" s="20"/>
      <c r="D11" s="921" t="s">
        <v>5</v>
      </c>
      <c r="E11" s="921"/>
      <c r="F11" s="21" t="s">
        <v>6</v>
      </c>
      <c r="G11" s="21" t="s">
        <v>7</v>
      </c>
      <c r="H11" s="13"/>
      <c r="I11" s="13"/>
      <c r="J11" s="13"/>
      <c r="K11" s="18"/>
    </row>
    <row r="12" spans="1:11" ht="14.4">
      <c r="B12" s="909"/>
      <c r="C12" s="910"/>
      <c r="D12" s="899"/>
      <c r="E12" s="900"/>
      <c r="F12" s="24"/>
      <c r="G12" s="25"/>
      <c r="H12" s="13"/>
      <c r="I12" s="26" t="s">
        <v>8</v>
      </c>
      <c r="J12" s="905"/>
      <c r="K12" s="906"/>
    </row>
    <row r="13" spans="1:11" ht="14.4">
      <c r="B13" s="908"/>
      <c r="C13" s="904"/>
      <c r="D13" s="899"/>
      <c r="E13" s="900"/>
      <c r="F13" s="24"/>
      <c r="G13" s="25"/>
      <c r="H13" s="13"/>
      <c r="I13" s="26" t="s">
        <v>9</v>
      </c>
      <c r="J13" s="905"/>
      <c r="K13" s="906"/>
    </row>
    <row r="14" spans="1:11" ht="14.4">
      <c r="B14" s="909"/>
      <c r="C14" s="910"/>
      <c r="D14" s="899"/>
      <c r="E14" s="900"/>
      <c r="F14" s="24"/>
      <c r="G14" s="25"/>
      <c r="H14" s="13"/>
      <c r="I14" s="26" t="s">
        <v>10</v>
      </c>
      <c r="J14" s="902"/>
      <c r="K14" s="907"/>
    </row>
    <row r="15" spans="1:11" ht="14.4">
      <c r="B15" s="908"/>
      <c r="C15" s="904"/>
      <c r="D15" s="899"/>
      <c r="E15" s="900"/>
      <c r="F15" s="24"/>
      <c r="G15" s="25"/>
      <c r="H15" s="13"/>
      <c r="I15" s="26" t="s">
        <v>11</v>
      </c>
      <c r="J15" s="27"/>
      <c r="K15" s="18"/>
    </row>
    <row r="16" spans="1:11" ht="14.4">
      <c r="B16" s="909"/>
      <c r="C16" s="910"/>
      <c r="D16" s="899"/>
      <c r="E16" s="900"/>
      <c r="F16" s="24"/>
      <c r="G16" s="25"/>
      <c r="H16" s="13"/>
      <c r="I16" s="13"/>
      <c r="J16" s="13"/>
      <c r="K16" s="18"/>
    </row>
    <row r="17" spans="2:32" ht="14.4">
      <c r="B17" s="28" t="s">
        <v>12</v>
      </c>
      <c r="C17" s="13"/>
      <c r="D17" s="29"/>
      <c r="E17" s="29"/>
      <c r="F17" s="29"/>
      <c r="G17" s="29"/>
      <c r="H17" s="13"/>
      <c r="I17" s="13"/>
      <c r="J17" s="13"/>
      <c r="K17" s="18"/>
    </row>
    <row r="18" spans="2:32" ht="28.8">
      <c r="B18" s="19" t="s">
        <v>13</v>
      </c>
      <c r="C18" s="30" t="s">
        <v>14</v>
      </c>
      <c r="D18" s="30" t="s">
        <v>15</v>
      </c>
      <c r="E18" s="30" t="s">
        <v>16</v>
      </c>
      <c r="F18" s="31" t="s">
        <v>17</v>
      </c>
      <c r="G18" s="30" t="s">
        <v>18</v>
      </c>
      <c r="H18" s="30" t="s">
        <v>19</v>
      </c>
      <c r="I18" s="30" t="s">
        <v>20</v>
      </c>
      <c r="J18" s="30" t="s">
        <v>21</v>
      </c>
      <c r="K18" s="18"/>
    </row>
    <row r="19" spans="2:32" ht="14.4">
      <c r="B19" s="22"/>
      <c r="C19" s="24"/>
      <c r="D19" s="27"/>
      <c r="E19" s="24"/>
      <c r="F19" s="25"/>
      <c r="G19" s="25"/>
      <c r="H19" s="25"/>
      <c r="I19" s="25"/>
      <c r="J19" s="25"/>
      <c r="K19" s="18"/>
    </row>
    <row r="20" spans="2:32" ht="14.4">
      <c r="B20" s="22"/>
      <c r="C20" s="24"/>
      <c r="D20" s="27"/>
      <c r="E20" s="24"/>
      <c r="F20" s="25"/>
      <c r="G20" s="25"/>
      <c r="H20" s="25"/>
      <c r="I20" s="25"/>
      <c r="J20" s="25"/>
      <c r="K20" s="18"/>
    </row>
    <row r="21" spans="2:32" ht="14.4">
      <c r="B21" s="22"/>
      <c r="C21" s="24"/>
      <c r="D21" s="27"/>
      <c r="E21" s="24"/>
      <c r="F21" s="25"/>
      <c r="G21" s="25"/>
      <c r="H21" s="25"/>
      <c r="I21" s="25"/>
      <c r="J21" s="25"/>
      <c r="K21" s="18"/>
    </row>
    <row r="22" spans="2:32" ht="14.4">
      <c r="B22" s="22"/>
      <c r="C22" s="24"/>
      <c r="D22" s="27"/>
      <c r="E22" s="24"/>
      <c r="F22" s="25"/>
      <c r="G22" s="25"/>
      <c r="H22" s="25"/>
      <c r="I22" s="25"/>
      <c r="J22" s="25"/>
      <c r="K22" s="18"/>
    </row>
    <row r="23" spans="2:32" ht="14.4">
      <c r="B23" s="22"/>
      <c r="C23" s="24"/>
      <c r="D23" s="27"/>
      <c r="E23" s="24"/>
      <c r="F23" s="25"/>
      <c r="G23" s="25"/>
      <c r="H23" s="25"/>
      <c r="I23" s="25"/>
      <c r="J23" s="25"/>
      <c r="K23" s="18"/>
    </row>
    <row r="24" spans="2:32" ht="14.4">
      <c r="B24" s="22"/>
      <c r="C24" s="24"/>
      <c r="D24" s="27"/>
      <c r="E24" s="24"/>
      <c r="F24" s="25"/>
      <c r="G24" s="25"/>
      <c r="H24" s="25"/>
      <c r="I24" s="25"/>
      <c r="J24" s="25"/>
      <c r="K24" s="18"/>
    </row>
    <row r="25" spans="2:32" ht="14.4">
      <c r="B25" s="32"/>
      <c r="C25" s="13"/>
      <c r="D25" s="13"/>
      <c r="E25" s="13"/>
      <c r="F25" s="13"/>
      <c r="G25" s="13"/>
      <c r="H25" s="13"/>
      <c r="I25" s="13"/>
      <c r="J25" s="13"/>
      <c r="K25" s="18"/>
    </row>
    <row r="26" spans="2:32" ht="14.4">
      <c r="B26" s="19" t="s">
        <v>22</v>
      </c>
      <c r="C26" s="902"/>
      <c r="D26" s="903"/>
      <c r="E26" s="904"/>
      <c r="F26" s="902"/>
      <c r="G26" s="903"/>
      <c r="H26" s="903"/>
      <c r="I26" s="904"/>
      <c r="J26" s="29"/>
      <c r="K26" s="18"/>
    </row>
    <row r="27" spans="2:32" ht="15" thickBot="1">
      <c r="B27" s="33"/>
      <c r="C27" s="920" t="s">
        <v>23</v>
      </c>
      <c r="D27" s="920"/>
      <c r="E27" s="920"/>
      <c r="F27" s="824" t="s">
        <v>24</v>
      </c>
      <c r="G27" s="824"/>
      <c r="H27" s="824"/>
      <c r="I27" s="824"/>
      <c r="J27" s="34"/>
      <c r="K27" s="35"/>
    </row>
    <row r="28" spans="2:32" ht="15" thickBot="1">
      <c r="F28" s="901"/>
      <c r="G28" s="901"/>
      <c r="H28" s="36"/>
      <c r="I28" s="36"/>
    </row>
    <row r="29" spans="2:32" ht="16.95" customHeight="1">
      <c r="B29" s="911" t="s">
        <v>25</v>
      </c>
      <c r="C29" s="912"/>
      <c r="D29" s="912"/>
      <c r="E29" s="912"/>
      <c r="F29" s="912"/>
      <c r="G29" s="912"/>
      <c r="H29" s="912"/>
      <c r="I29" s="912"/>
      <c r="J29" s="912"/>
      <c r="K29" s="912"/>
      <c r="L29" s="912"/>
      <c r="M29" s="912"/>
      <c r="N29" s="912"/>
      <c r="O29" s="912"/>
      <c r="Q29" s="37" t="s">
        <v>26</v>
      </c>
      <c r="R29" s="38" t="s">
        <v>27</v>
      </c>
      <c r="S29" s="38" t="s">
        <v>28</v>
      </c>
      <c r="T29" s="39" t="s">
        <v>29</v>
      </c>
      <c r="U29" s="872"/>
      <c r="V29" s="872"/>
      <c r="W29" s="872"/>
      <c r="X29" s="873"/>
      <c r="Y29" s="726" t="s">
        <v>30</v>
      </c>
      <c r="Z29" s="41"/>
      <c r="AA29" s="41"/>
      <c r="AB29" s="41"/>
      <c r="AC29" s="41"/>
      <c r="AD29" s="41"/>
    </row>
    <row r="30" spans="2:32" ht="14.4">
      <c r="B30" s="16"/>
      <c r="C30" s="17"/>
      <c r="D30" s="17"/>
      <c r="E30" s="17"/>
      <c r="F30" s="17"/>
      <c r="G30" s="13"/>
      <c r="H30" s="17"/>
      <c r="I30" s="17"/>
      <c r="J30" s="17"/>
      <c r="K30" s="17"/>
      <c r="L30" s="17"/>
      <c r="M30" s="17"/>
      <c r="N30" s="17"/>
      <c r="O30" s="18"/>
      <c r="S30" s="42" t="s">
        <v>31</v>
      </c>
      <c r="T30" s="43">
        <v>2500</v>
      </c>
      <c r="U30" s="44">
        <v>1</v>
      </c>
      <c r="V30" s="45">
        <f t="shared" ref="T30:V44" si="0">T30*U30</f>
        <v>2500</v>
      </c>
      <c r="W30" s="819" t="s">
        <v>32</v>
      </c>
      <c r="X30" s="819"/>
      <c r="Y30" s="819"/>
      <c r="Z30" s="820"/>
      <c r="AA30" s="727"/>
      <c r="AB30" s="41"/>
      <c r="AC30" s="41"/>
      <c r="AD30" s="41"/>
      <c r="AE30" s="41"/>
      <c r="AF30" s="41"/>
    </row>
    <row r="31" spans="2:32" ht="14.4">
      <c r="B31" s="46"/>
      <c r="C31" s="47" t="s">
        <v>33</v>
      </c>
      <c r="D31" s="47" t="s">
        <v>33</v>
      </c>
      <c r="E31" s="47" t="s">
        <v>770</v>
      </c>
      <c r="F31" s="47" t="s">
        <v>33</v>
      </c>
      <c r="G31" s="47" t="s">
        <v>33</v>
      </c>
      <c r="H31" s="48" t="s">
        <v>696</v>
      </c>
      <c r="I31" s="47" t="s">
        <v>35</v>
      </c>
      <c r="J31" s="48" t="s">
        <v>36</v>
      </c>
      <c r="K31" s="17"/>
      <c r="L31" s="13"/>
      <c r="M31" s="13"/>
      <c r="N31" s="13"/>
      <c r="O31" s="18"/>
      <c r="Q31" s="42" t="s">
        <v>37</v>
      </c>
      <c r="R31" s="43">
        <v>0</v>
      </c>
      <c r="S31" s="44">
        <v>0</v>
      </c>
      <c r="T31" s="45">
        <f t="shared" si="0"/>
        <v>0</v>
      </c>
      <c r="U31" s="819" t="s">
        <v>38</v>
      </c>
      <c r="V31" s="819"/>
      <c r="W31" s="819"/>
      <c r="X31" s="820"/>
      <c r="Y31" s="727"/>
      <c r="Z31" s="41"/>
      <c r="AA31" s="41"/>
      <c r="AB31" s="41"/>
      <c r="AC31" s="41"/>
      <c r="AD31" s="41"/>
    </row>
    <row r="32" spans="2:32" ht="14.4">
      <c r="B32" s="49" t="s">
        <v>39</v>
      </c>
      <c r="C32" s="50" t="s">
        <v>497</v>
      </c>
      <c r="D32" s="50" t="s">
        <v>492</v>
      </c>
      <c r="E32" s="50" t="s">
        <v>501</v>
      </c>
      <c r="F32" s="50" t="s">
        <v>768</v>
      </c>
      <c r="G32" s="50" t="s">
        <v>769</v>
      </c>
      <c r="H32" s="51"/>
      <c r="I32" s="51"/>
      <c r="J32" s="52"/>
      <c r="K32" s="13"/>
      <c r="L32" s="13"/>
      <c r="M32" s="26" t="s">
        <v>40</v>
      </c>
      <c r="N32" s="913">
        <v>0.75</v>
      </c>
      <c r="O32" s="914"/>
      <c r="Q32" s="42" t="s">
        <v>41</v>
      </c>
      <c r="R32" s="43">
        <v>0</v>
      </c>
      <c r="S32" s="44">
        <v>0</v>
      </c>
      <c r="T32" s="45">
        <f t="shared" si="0"/>
        <v>0</v>
      </c>
      <c r="U32" s="819" t="s">
        <v>42</v>
      </c>
      <c r="V32" s="819"/>
      <c r="W32" s="819"/>
      <c r="X32" s="820"/>
      <c r="Y32" s="727"/>
      <c r="Z32" s="41"/>
      <c r="AA32" s="41"/>
      <c r="AB32" s="41"/>
      <c r="AC32" s="41"/>
      <c r="AD32" s="41"/>
    </row>
    <row r="33" spans="2:64" ht="14.4">
      <c r="B33" s="49" t="s">
        <v>43</v>
      </c>
      <c r="C33" s="53">
        <v>1000</v>
      </c>
      <c r="D33" s="53">
        <v>20000</v>
      </c>
      <c r="E33" s="53">
        <v>30000</v>
      </c>
      <c r="F33" s="53">
        <v>4</v>
      </c>
      <c r="G33" s="53">
        <v>5</v>
      </c>
      <c r="H33" s="53">
        <v>6</v>
      </c>
      <c r="I33" s="53">
        <v>7</v>
      </c>
      <c r="J33" s="53">
        <v>8</v>
      </c>
      <c r="K33" s="13"/>
      <c r="L33" s="13"/>
      <c r="M33" s="26" t="s">
        <v>44</v>
      </c>
      <c r="N33" s="885">
        <f>SUM(T34,T35,T36,T40)</f>
        <v>0</v>
      </c>
      <c r="O33" s="886"/>
      <c r="Q33" s="42" t="s">
        <v>45</v>
      </c>
      <c r="R33" s="43">
        <v>3000</v>
      </c>
      <c r="S33" s="44">
        <v>0</v>
      </c>
      <c r="T33" s="45">
        <f t="shared" si="0"/>
        <v>0</v>
      </c>
      <c r="U33" s="819" t="s">
        <v>46</v>
      </c>
      <c r="V33" s="819"/>
      <c r="W33" s="819"/>
      <c r="X33" s="820"/>
      <c r="Y33" s="727"/>
      <c r="Z33" s="41"/>
      <c r="AA33" s="41"/>
      <c r="AB33" s="41"/>
      <c r="AC33" s="41"/>
      <c r="AD33" s="41"/>
    </row>
    <row r="34" spans="2:64" ht="14.4">
      <c r="B34" s="49" t="s">
        <v>47</v>
      </c>
      <c r="C34" s="27">
        <v>7.4999999999999997E-2</v>
      </c>
      <c r="D34" s="27">
        <v>7.4999999999999997E-2</v>
      </c>
      <c r="E34" s="27">
        <v>7.4999999999999997E-2</v>
      </c>
      <c r="F34" s="27">
        <v>7.4999999999999997E-2</v>
      </c>
      <c r="G34" s="27"/>
      <c r="H34" s="54"/>
      <c r="I34" s="27">
        <v>0.08</v>
      </c>
      <c r="J34" s="27">
        <v>6.2399999999999997E-2</v>
      </c>
      <c r="K34" s="55"/>
      <c r="L34" s="13"/>
      <c r="M34" s="26" t="s">
        <v>48</v>
      </c>
      <c r="N34" s="885">
        <f>SUM(T37,T38)</f>
        <v>0</v>
      </c>
      <c r="O34" s="886"/>
      <c r="Q34" s="42" t="s">
        <v>49</v>
      </c>
      <c r="R34" s="43">
        <v>3500</v>
      </c>
      <c r="S34" s="44">
        <v>0</v>
      </c>
      <c r="T34" s="45">
        <f t="shared" si="0"/>
        <v>0</v>
      </c>
      <c r="U34" s="819" t="s">
        <v>50</v>
      </c>
      <c r="V34" s="819"/>
      <c r="W34" s="819"/>
      <c r="X34" s="820"/>
      <c r="Y34" s="727"/>
      <c r="Z34" s="41"/>
      <c r="AA34" s="41"/>
      <c r="AB34" s="41"/>
      <c r="AC34" s="41"/>
      <c r="AD34" s="41"/>
    </row>
    <row r="35" spans="2:64" ht="14.4">
      <c r="B35" s="49" t="s">
        <v>51</v>
      </c>
      <c r="C35" s="27">
        <v>1.4999999999999999E-2</v>
      </c>
      <c r="D35" s="27">
        <v>1.4999999999999999E-2</v>
      </c>
      <c r="E35" s="27">
        <v>1.4999999999999999E-2</v>
      </c>
      <c r="F35" s="27">
        <v>1.4999999999999999E-2</v>
      </c>
      <c r="G35" s="27"/>
      <c r="H35" s="56"/>
      <c r="I35" s="27">
        <v>0</v>
      </c>
      <c r="J35" s="27">
        <v>0</v>
      </c>
      <c r="K35" s="55"/>
      <c r="L35" s="13"/>
      <c r="M35" s="26" t="s">
        <v>52</v>
      </c>
      <c r="N35" s="885">
        <f>SUM(V30)</f>
        <v>2500</v>
      </c>
      <c r="O35" s="886"/>
      <c r="Q35" s="42" t="s">
        <v>53</v>
      </c>
      <c r="R35" s="43">
        <v>0</v>
      </c>
      <c r="S35" s="44">
        <v>0</v>
      </c>
      <c r="T35" s="45">
        <f t="shared" si="0"/>
        <v>0</v>
      </c>
      <c r="U35" s="819" t="s">
        <v>54</v>
      </c>
      <c r="V35" s="819"/>
      <c r="W35" s="819"/>
      <c r="X35" s="820"/>
      <c r="Y35" s="727"/>
      <c r="Z35" s="41"/>
      <c r="AA35" s="41"/>
      <c r="AB35" s="41"/>
      <c r="AC35" s="41"/>
      <c r="AD35" s="41"/>
    </row>
    <row r="36" spans="2:64" ht="14.4">
      <c r="B36" s="49" t="s">
        <v>55</v>
      </c>
      <c r="C36" s="57">
        <f>C34+C35</f>
        <v>0.09</v>
      </c>
      <c r="D36" s="57">
        <f>D34+D35</f>
        <v>0.09</v>
      </c>
      <c r="E36" s="57">
        <f>E34+E35</f>
        <v>0.09</v>
      </c>
      <c r="F36" s="57">
        <f t="shared" ref="F36" si="1">F34+F35</f>
        <v>0.09</v>
      </c>
      <c r="G36" s="57"/>
      <c r="H36" s="56"/>
      <c r="I36" s="57">
        <f>I34+I35</f>
        <v>0.08</v>
      </c>
      <c r="J36" s="57">
        <f>J34+J35</f>
        <v>6.2399999999999997E-2</v>
      </c>
      <c r="K36" s="13"/>
      <c r="L36" s="13"/>
      <c r="M36" s="26" t="s">
        <v>56</v>
      </c>
      <c r="N36" s="885">
        <f>SUM(T33)</f>
        <v>0</v>
      </c>
      <c r="O36" s="886"/>
      <c r="Q36" s="42" t="s">
        <v>57</v>
      </c>
      <c r="R36" s="43">
        <v>0</v>
      </c>
      <c r="S36" s="44">
        <v>0</v>
      </c>
      <c r="T36" s="45">
        <f t="shared" si="0"/>
        <v>0</v>
      </c>
      <c r="U36" s="819" t="s">
        <v>58</v>
      </c>
      <c r="V36" s="819"/>
      <c r="W36" s="819"/>
      <c r="X36" s="820"/>
      <c r="Y36" s="727"/>
      <c r="Z36" s="41"/>
      <c r="AA36" s="41"/>
      <c r="AB36" s="41"/>
      <c r="AC36" s="41"/>
      <c r="AD36" s="41"/>
    </row>
    <row r="37" spans="2:64" ht="14.4">
      <c r="B37" s="49" t="s">
        <v>59</v>
      </c>
      <c r="C37" s="58" t="s">
        <v>60</v>
      </c>
      <c r="D37" s="58" t="s">
        <v>60</v>
      </c>
      <c r="E37" s="58" t="s">
        <v>60</v>
      </c>
      <c r="F37" s="58" t="s">
        <v>767</v>
      </c>
      <c r="G37" s="58"/>
      <c r="H37" s="56"/>
      <c r="I37" s="59"/>
      <c r="J37" s="51"/>
      <c r="K37" s="13"/>
      <c r="L37" s="13"/>
      <c r="M37" s="26" t="s">
        <v>61</v>
      </c>
      <c r="N37" s="885">
        <f>SUM(T39)</f>
        <v>0</v>
      </c>
      <c r="O37" s="886"/>
      <c r="Q37" s="42" t="s">
        <v>62</v>
      </c>
      <c r="R37" s="43">
        <v>350</v>
      </c>
      <c r="S37" s="44">
        <v>0</v>
      </c>
      <c r="T37" s="45">
        <f t="shared" si="0"/>
        <v>0</v>
      </c>
      <c r="U37" s="880">
        <v>200</v>
      </c>
      <c r="V37" s="880"/>
      <c r="W37" s="880"/>
      <c r="X37" s="881"/>
      <c r="Y37" s="727"/>
      <c r="Z37" s="41"/>
      <c r="AA37" s="41"/>
      <c r="AB37" s="41"/>
      <c r="AC37" s="41"/>
      <c r="AD37" s="41"/>
    </row>
    <row r="38" spans="2:64" ht="14.4">
      <c r="B38" s="49" t="s">
        <v>63</v>
      </c>
      <c r="C38" s="60">
        <v>10</v>
      </c>
      <c r="D38" s="60">
        <v>10</v>
      </c>
      <c r="E38" s="60">
        <v>10</v>
      </c>
      <c r="F38" s="60">
        <v>10</v>
      </c>
      <c r="G38" s="60"/>
      <c r="H38" s="61"/>
      <c r="I38" s="60">
        <v>10</v>
      </c>
      <c r="J38" s="60">
        <v>25</v>
      </c>
      <c r="K38" s="13"/>
      <c r="L38" s="13"/>
      <c r="M38" s="26" t="s">
        <v>64</v>
      </c>
      <c r="N38" s="885">
        <f>SUM(T31,T32)</f>
        <v>0</v>
      </c>
      <c r="O38" s="886"/>
      <c r="Q38" s="42" t="s">
        <v>65</v>
      </c>
      <c r="R38" s="43">
        <v>2500</v>
      </c>
      <c r="S38" s="44">
        <v>0</v>
      </c>
      <c r="T38" s="45">
        <f t="shared" si="0"/>
        <v>0</v>
      </c>
      <c r="U38" s="819" t="s">
        <v>66</v>
      </c>
      <c r="V38" s="819"/>
      <c r="W38" s="819"/>
      <c r="X38" s="820"/>
      <c r="Y38" s="727"/>
      <c r="Z38" s="41"/>
      <c r="AA38" s="41"/>
      <c r="AB38" s="41"/>
      <c r="AC38" s="41"/>
      <c r="AD38" s="41"/>
    </row>
    <row r="39" spans="2:64" ht="14.4">
      <c r="B39" s="49" t="s">
        <v>67</v>
      </c>
      <c r="C39" s="60">
        <f>C38*12</f>
        <v>120</v>
      </c>
      <c r="D39" s="60">
        <f>D38*12</f>
        <v>120</v>
      </c>
      <c r="E39" s="60">
        <f>E38*12</f>
        <v>120</v>
      </c>
      <c r="F39" s="60">
        <f t="shared" ref="F39" si="2">F38*12</f>
        <v>120</v>
      </c>
      <c r="G39" s="60"/>
      <c r="H39" s="61"/>
      <c r="I39" s="60">
        <f>I38*12</f>
        <v>120</v>
      </c>
      <c r="J39" s="60">
        <f>J38*12</f>
        <v>300</v>
      </c>
      <c r="K39" s="13"/>
      <c r="L39" s="13"/>
      <c r="M39" s="26" t="s">
        <v>68</v>
      </c>
      <c r="N39" s="889">
        <f>BE56</f>
        <v>0</v>
      </c>
      <c r="O39" s="890"/>
      <c r="Q39" s="42" t="s">
        <v>61</v>
      </c>
      <c r="R39" s="43">
        <v>2500</v>
      </c>
      <c r="S39" s="44">
        <v>0</v>
      </c>
      <c r="T39" s="45">
        <f t="shared" si="0"/>
        <v>0</v>
      </c>
      <c r="U39" s="819" t="s">
        <v>69</v>
      </c>
      <c r="V39" s="819"/>
      <c r="W39" s="819"/>
      <c r="X39" s="820"/>
      <c r="Y39" s="727"/>
      <c r="Z39" s="41"/>
      <c r="AA39" s="41"/>
      <c r="AB39" s="41"/>
      <c r="AC39" s="41"/>
      <c r="AD39" s="41"/>
    </row>
    <row r="40" spans="2:64" ht="14.4">
      <c r="B40" s="62" t="s">
        <v>70</v>
      </c>
      <c r="C40" s="63">
        <f ca="1">IFERROR(INDEX($BL$82:$BL$84,MATCH($C$37,$BC$82:$BC$84,0)),0)</f>
        <v>12.671581095414654</v>
      </c>
      <c r="D40" s="63">
        <f ca="1">IFERROR(INDEX($BL$82:$BL$84,MATCH($C$37,$BC$82:$BC$84,0)),0)</f>
        <v>12.671581095414654</v>
      </c>
      <c r="E40" s="63">
        <f ca="1">IFERROR(INDEX($BL$82:$BL$84,MATCH($C$37,$BC$82:$BC$84,0)),0)</f>
        <v>12.671581095414654</v>
      </c>
      <c r="F40" s="63">
        <f t="shared" ref="F40" ca="1" si="3">IFERROR(INDEX($BL$82:$BL$84,MATCH($C$37,$BC$82:$BC$84,0)),0)</f>
        <v>12.671581095414654</v>
      </c>
      <c r="G40" s="63"/>
      <c r="H40" s="64"/>
      <c r="I40" s="63">
        <f>IFERROR(PMT(I36/12,I39,-I33),0)</f>
        <v>8.4929316048749842E-2</v>
      </c>
      <c r="J40" s="63">
        <f>IFERROR(PMT(J36/12,J39,-J33),0)</f>
        <v>5.2724110213487586E-2</v>
      </c>
      <c r="K40" s="13"/>
      <c r="L40" s="13"/>
      <c r="M40" s="26" t="s">
        <v>71</v>
      </c>
      <c r="N40" s="887">
        <f>T46-SUM(N33:O38)</f>
        <v>-2500</v>
      </c>
      <c r="O40" s="888"/>
      <c r="Q40" s="42" t="s">
        <v>72</v>
      </c>
      <c r="R40" s="43">
        <v>0</v>
      </c>
      <c r="S40" s="44">
        <v>0</v>
      </c>
      <c r="T40" s="45">
        <f t="shared" si="0"/>
        <v>0</v>
      </c>
      <c r="U40" s="819" t="s">
        <v>73</v>
      </c>
      <c r="V40" s="819"/>
      <c r="W40" s="819"/>
      <c r="X40" s="820"/>
      <c r="Y40" s="727"/>
      <c r="Z40" s="41"/>
      <c r="AA40" s="41"/>
      <c r="AB40" s="41"/>
      <c r="AC40" s="41"/>
      <c r="AD40" s="41"/>
    </row>
    <row r="41" spans="2:64" ht="14.4">
      <c r="B41" s="49" t="s">
        <v>74</v>
      </c>
      <c r="C41" s="65">
        <v>120</v>
      </c>
      <c r="D41" s="65">
        <v>0</v>
      </c>
      <c r="E41" s="65">
        <v>0</v>
      </c>
      <c r="F41" s="65">
        <v>0</v>
      </c>
      <c r="G41" s="65"/>
      <c r="H41" s="66"/>
      <c r="I41" s="67"/>
      <c r="J41" s="68"/>
      <c r="K41" s="13"/>
      <c r="L41" s="13"/>
      <c r="M41" s="26" t="s">
        <v>75</v>
      </c>
      <c r="N41" s="885">
        <f>SUM(N33:O40)</f>
        <v>0</v>
      </c>
      <c r="O41" s="886"/>
      <c r="Q41" s="42" t="s">
        <v>76</v>
      </c>
      <c r="R41" s="43">
        <v>6000</v>
      </c>
      <c r="S41" s="44">
        <v>1</v>
      </c>
      <c r="T41" s="45">
        <f t="shared" si="0"/>
        <v>6000</v>
      </c>
      <c r="U41" s="819" t="s">
        <v>77</v>
      </c>
      <c r="V41" s="819"/>
      <c r="W41" s="819"/>
      <c r="X41" s="820"/>
      <c r="Y41" s="727"/>
      <c r="Z41" s="41"/>
      <c r="AA41" s="41"/>
      <c r="AB41" s="41"/>
      <c r="AC41" s="41"/>
      <c r="AD41" s="41"/>
    </row>
    <row r="42" spans="2:64" ht="14.4">
      <c r="B42" s="49" t="s">
        <v>78</v>
      </c>
      <c r="C42" s="69" t="s">
        <v>79</v>
      </c>
      <c r="D42" s="69" t="s">
        <v>79</v>
      </c>
      <c r="E42" s="69" t="s">
        <v>79</v>
      </c>
      <c r="F42" s="69" t="s">
        <v>79</v>
      </c>
      <c r="G42" s="69"/>
      <c r="H42" s="66" t="s">
        <v>80</v>
      </c>
      <c r="I42" s="70">
        <v>0</v>
      </c>
      <c r="J42" s="71" t="s">
        <v>81</v>
      </c>
      <c r="K42" s="27">
        <v>0</v>
      </c>
      <c r="L42" s="13"/>
      <c r="M42" s="26"/>
      <c r="N42" s="72"/>
      <c r="O42" s="73"/>
      <c r="Q42" s="42" t="s">
        <v>82</v>
      </c>
      <c r="R42" s="43">
        <v>0</v>
      </c>
      <c r="S42" s="44">
        <v>1</v>
      </c>
      <c r="T42" s="45">
        <f t="shared" si="0"/>
        <v>0</v>
      </c>
      <c r="U42" s="819" t="s">
        <v>83</v>
      </c>
      <c r="V42" s="819"/>
      <c r="W42" s="819"/>
      <c r="X42" s="820"/>
      <c r="Y42" s="727"/>
      <c r="Z42" s="41"/>
      <c r="AA42" s="41"/>
      <c r="AB42" s="41"/>
      <c r="AC42" s="41"/>
      <c r="AD42" s="41"/>
    </row>
    <row r="43" spans="2:64" ht="15" thickBot="1">
      <c r="B43" s="74"/>
      <c r="C43" s="75"/>
      <c r="D43" s="75"/>
      <c r="E43" s="75"/>
      <c r="F43" s="75"/>
      <c r="G43" s="75"/>
      <c r="H43" s="75"/>
      <c r="I43" s="891"/>
      <c r="J43" s="891"/>
      <c r="K43" s="76"/>
      <c r="L43" s="76"/>
      <c r="M43" s="76"/>
      <c r="N43" s="76"/>
      <c r="O43" s="35"/>
      <c r="Q43" s="42" t="s">
        <v>84</v>
      </c>
      <c r="R43" s="43">
        <v>0</v>
      </c>
      <c r="S43" s="44">
        <v>1</v>
      </c>
      <c r="T43" s="45">
        <f t="shared" si="0"/>
        <v>0</v>
      </c>
      <c r="U43" s="819" t="s">
        <v>85</v>
      </c>
      <c r="V43" s="819"/>
      <c r="W43" s="819"/>
      <c r="X43" s="820"/>
      <c r="Y43" s="727"/>
      <c r="Z43" s="41"/>
      <c r="AA43" s="41"/>
      <c r="AB43" s="41"/>
      <c r="AC43" s="41"/>
      <c r="AD43" s="41"/>
    </row>
    <row r="44" spans="2:64" ht="15" thickBot="1">
      <c r="I44" s="77"/>
      <c r="J44" s="77"/>
      <c r="K44" s="77"/>
      <c r="L44" s="77"/>
      <c r="Q44" s="42" t="s">
        <v>86</v>
      </c>
      <c r="R44" s="43">
        <v>700</v>
      </c>
      <c r="S44" s="44">
        <v>1</v>
      </c>
      <c r="T44" s="45">
        <f t="shared" si="0"/>
        <v>700</v>
      </c>
      <c r="U44" s="853" t="str">
        <f>_xlfn.CONCAT("&lt;--- To round to next $100, input $",ROUNDUP(T46,-2)-T46)</f>
        <v>&lt;--- To round to next $100, input $0</v>
      </c>
      <c r="V44" s="853"/>
      <c r="W44" s="853"/>
      <c r="X44" s="854"/>
      <c r="Y44" s="727"/>
      <c r="Z44" s="41"/>
      <c r="AA44" s="41"/>
      <c r="AB44" s="41"/>
      <c r="AC44" s="41"/>
      <c r="AD44" s="41"/>
    </row>
    <row r="45" spans="2:64" ht="16.2" thickBot="1">
      <c r="B45" s="860" t="s">
        <v>87</v>
      </c>
      <c r="C45" s="861"/>
      <c r="D45" s="861"/>
      <c r="E45" s="861"/>
      <c r="F45" s="861"/>
      <c r="G45" s="861"/>
      <c r="H45" s="861"/>
      <c r="I45" s="861"/>
      <c r="J45" s="861"/>
      <c r="K45" s="861"/>
      <c r="L45" s="861"/>
      <c r="M45" s="861"/>
      <c r="N45" s="861"/>
      <c r="O45" s="862"/>
      <c r="Q45" s="78" t="s">
        <v>88</v>
      </c>
      <c r="R45" s="79"/>
      <c r="S45" s="80"/>
      <c r="T45" s="81">
        <f>T58</f>
        <v>800</v>
      </c>
      <c r="U45" s="855"/>
      <c r="V45" s="855"/>
      <c r="W45" s="855"/>
      <c r="X45" s="856"/>
      <c r="Y45" s="727"/>
      <c r="Z45" s="41"/>
      <c r="AA45" s="41"/>
      <c r="AB45" s="41"/>
      <c r="AC45" s="41"/>
      <c r="AD45" s="41"/>
      <c r="BC45" s="832" t="str">
        <f>IF(C32="SBA 7a","SBA 7a","Not 7a, Guaranty Calculation not applicable")</f>
        <v>Not 7a, Guaranty Calculation not applicable</v>
      </c>
      <c r="BD45" s="833"/>
      <c r="BE45" s="833"/>
      <c r="BF45" s="833"/>
      <c r="BG45" s="833"/>
      <c r="BH45" s="833"/>
      <c r="BI45" s="833"/>
      <c r="BJ45" s="833"/>
      <c r="BK45" s="833"/>
      <c r="BL45" s="834"/>
    </row>
    <row r="46" spans="2:64" ht="15.6" thickTop="1" thickBot="1">
      <c r="B46" s="32"/>
      <c r="C46" s="13"/>
      <c r="D46" s="13"/>
      <c r="E46" s="13"/>
      <c r="F46" s="83"/>
      <c r="G46" s="13"/>
      <c r="H46" s="13"/>
      <c r="I46" s="13"/>
      <c r="J46" s="13"/>
      <c r="K46" s="13"/>
      <c r="L46" s="13"/>
      <c r="M46" s="13"/>
      <c r="N46" s="13"/>
      <c r="O46" s="18"/>
      <c r="Q46" s="84" t="s">
        <v>89</v>
      </c>
      <c r="R46" s="85"/>
      <c r="S46" s="85"/>
      <c r="T46" s="86">
        <f>SUM(P30:P45)</f>
        <v>0</v>
      </c>
      <c r="U46" s="82"/>
      <c r="V46" s="82"/>
      <c r="W46" s="82"/>
      <c r="X46" s="87"/>
      <c r="Y46" s="727"/>
      <c r="Z46" s="41"/>
      <c r="AA46" s="41"/>
      <c r="AB46" s="41"/>
      <c r="AC46" s="41"/>
      <c r="AD46" s="41"/>
      <c r="BC46" s="88"/>
      <c r="BD46" s="89"/>
      <c r="BE46" s="89"/>
      <c r="BF46" s="845" t="s">
        <v>90</v>
      </c>
      <c r="BG46" s="846"/>
      <c r="BH46" s="90">
        <f>N32</f>
        <v>0.75</v>
      </c>
      <c r="BI46" s="91"/>
      <c r="BJ46" s="91"/>
      <c r="BK46" s="91"/>
      <c r="BL46" s="92"/>
    </row>
    <row r="47" spans="2:64" ht="15" thickBot="1">
      <c r="B47" s="93"/>
      <c r="C47" s="47" t="str">
        <f>IF(C32=0,"",C32)</f>
        <v>P&amp;E</v>
      </c>
      <c r="D47" s="47" t="str">
        <f>IF(D32=0,"",D32)</f>
        <v>USDA</v>
      </c>
      <c r="E47" s="47" t="str">
        <f>IF(E32=0,"",E32)</f>
        <v>Conventional</v>
      </c>
      <c r="F47" s="47" t="str">
        <f>IF(F32=0,"",F32)</f>
        <v>7A Express</v>
      </c>
      <c r="G47" s="47" t="str">
        <f>IF(G32=0,"",G32)</f>
        <v>CAPLine</v>
      </c>
      <c r="H47" s="48" t="str">
        <f>H31</f>
        <v>Equity</v>
      </c>
      <c r="I47" s="47" t="str">
        <f>I31</f>
        <v>Seller Note</v>
      </c>
      <c r="J47" s="47" t="str">
        <f>J31</f>
        <v>3rd Party</v>
      </c>
      <c r="K47" s="48" t="s">
        <v>29</v>
      </c>
      <c r="L47" s="48" t="s">
        <v>91</v>
      </c>
      <c r="M47" s="48" t="s">
        <v>92</v>
      </c>
      <c r="N47" s="94" t="s">
        <v>93</v>
      </c>
      <c r="O47" s="18"/>
      <c r="Q47" s="41"/>
      <c r="R47" s="41"/>
      <c r="S47" s="41"/>
      <c r="T47" s="41"/>
      <c r="U47" s="41"/>
      <c r="V47" s="41"/>
      <c r="W47" s="41"/>
      <c r="X47" s="87"/>
      <c r="Y47" s="727"/>
      <c r="Z47" s="41"/>
      <c r="AA47" s="41"/>
      <c r="AB47" s="41"/>
      <c r="AC47" s="41"/>
      <c r="AD47" s="41"/>
      <c r="BC47" s="839" t="s">
        <v>94</v>
      </c>
      <c r="BD47" s="840"/>
      <c r="BE47" s="840"/>
      <c r="BF47" s="840"/>
      <c r="BG47" s="840"/>
      <c r="BH47" s="840"/>
      <c r="BI47" s="840"/>
      <c r="BJ47" s="840"/>
      <c r="BK47" s="840"/>
      <c r="BL47" s="841"/>
    </row>
    <row r="48" spans="2:64" ht="14.4">
      <c r="B48" s="95" t="s">
        <v>95</v>
      </c>
      <c r="C48" s="96"/>
      <c r="D48" s="96"/>
      <c r="E48" s="96"/>
      <c r="F48" s="96"/>
      <c r="G48" s="96"/>
      <c r="H48" s="96"/>
      <c r="I48" s="96"/>
      <c r="J48" s="96"/>
      <c r="K48" s="96"/>
      <c r="L48" s="97"/>
      <c r="M48" s="97"/>
      <c r="N48" s="98"/>
      <c r="O48" s="18"/>
      <c r="Q48" s="37" t="s">
        <v>96</v>
      </c>
      <c r="R48" s="99" t="s">
        <v>27</v>
      </c>
      <c r="S48" s="38" t="s">
        <v>28</v>
      </c>
      <c r="T48" s="39" t="s">
        <v>29</v>
      </c>
      <c r="U48" s="41"/>
      <c r="V48" s="40"/>
      <c r="W48" s="40"/>
      <c r="X48" s="87"/>
      <c r="Y48" s="727"/>
      <c r="Z48" s="41"/>
      <c r="AA48" s="41"/>
      <c r="AB48" s="41"/>
      <c r="AC48" s="41"/>
      <c r="AD48" s="41"/>
      <c r="BC48" s="830" t="s">
        <v>97</v>
      </c>
      <c r="BD48" s="831"/>
      <c r="BE48" s="831"/>
      <c r="BF48" s="831"/>
      <c r="BG48" s="100">
        <f>I42</f>
        <v>0</v>
      </c>
      <c r="BH48" s="101"/>
      <c r="BI48" s="102"/>
      <c r="BJ48" s="103"/>
      <c r="BK48" s="103"/>
      <c r="BL48" s="104"/>
    </row>
    <row r="49" spans="2:64" ht="14.4">
      <c r="B49" s="105" t="s">
        <v>98</v>
      </c>
      <c r="C49" s="106">
        <f>$K49-SUM($H49:$J49)</f>
        <v>896000</v>
      </c>
      <c r="D49" s="106">
        <f>$K49-SUM($H49:$J49)</f>
        <v>896000</v>
      </c>
      <c r="E49" s="106">
        <f t="shared" ref="E49:G59" si="4">$K49-SUM($H49:$J49)</f>
        <v>896000</v>
      </c>
      <c r="F49" s="106">
        <f t="shared" si="4"/>
        <v>896000</v>
      </c>
      <c r="G49" s="106">
        <f t="shared" si="4"/>
        <v>896000</v>
      </c>
      <c r="H49" s="107">
        <v>8000</v>
      </c>
      <c r="I49" s="107">
        <v>80000</v>
      </c>
      <c r="J49" s="107">
        <v>16000</v>
      </c>
      <c r="K49" s="107">
        <v>1000000</v>
      </c>
      <c r="L49" s="108">
        <v>25</v>
      </c>
      <c r="M49" s="109">
        <f t="shared" ref="M49:M64" si="5">IF($C$65=0,0,C49/$C$65)</f>
        <v>-7.7574414295856347</v>
      </c>
      <c r="N49" s="110">
        <f t="shared" ref="N49:N64" si="6">L49*M49</f>
        <v>-193.93603573964086</v>
      </c>
      <c r="O49" s="18"/>
      <c r="Q49" s="42" t="s">
        <v>99</v>
      </c>
      <c r="R49" s="43">
        <v>35</v>
      </c>
      <c r="S49" s="43">
        <v>1</v>
      </c>
      <c r="T49" s="45">
        <f t="shared" ref="T49:T57" si="7">R49*S49</f>
        <v>35</v>
      </c>
      <c r="U49" s="41"/>
      <c r="V49" s="111"/>
      <c r="W49" s="111"/>
      <c r="X49" s="87"/>
      <c r="Y49" s="727"/>
      <c r="Z49" s="41"/>
      <c r="AA49" s="41"/>
      <c r="AB49" s="41"/>
      <c r="AC49" s="41"/>
      <c r="AD49" s="41"/>
      <c r="BC49" s="830" t="s">
        <v>100</v>
      </c>
      <c r="BD49" s="831"/>
      <c r="BE49" s="831"/>
      <c r="BF49" s="831"/>
      <c r="BG49" s="112">
        <f>K42</f>
        <v>0</v>
      </c>
      <c r="BH49" s="113"/>
      <c r="BI49" s="114"/>
      <c r="BJ49" s="89"/>
      <c r="BK49" s="103"/>
      <c r="BL49" s="104"/>
    </row>
    <row r="50" spans="2:64" ht="14.4">
      <c r="B50" s="105" t="s">
        <v>101</v>
      </c>
      <c r="C50" s="106">
        <f t="shared" ref="C50:D59" si="8">$K50-SUM($H50:$J50)</f>
        <v>5387</v>
      </c>
      <c r="D50" s="106">
        <f t="shared" si="8"/>
        <v>5387</v>
      </c>
      <c r="E50" s="106">
        <f t="shared" si="4"/>
        <v>5387</v>
      </c>
      <c r="F50" s="106">
        <f t="shared" si="4"/>
        <v>5387</v>
      </c>
      <c r="G50" s="106">
        <f t="shared" si="4"/>
        <v>5387</v>
      </c>
      <c r="H50" s="107">
        <v>10</v>
      </c>
      <c r="I50" s="107">
        <v>1</v>
      </c>
      <c r="J50" s="107">
        <v>2</v>
      </c>
      <c r="K50" s="107">
        <v>5400</v>
      </c>
      <c r="L50" s="108">
        <v>25</v>
      </c>
      <c r="M50" s="109">
        <f t="shared" si="5"/>
        <v>-4.6639885023635953E-2</v>
      </c>
      <c r="N50" s="110">
        <f t="shared" si="6"/>
        <v>-1.1659971255908987</v>
      </c>
      <c r="O50" s="18"/>
      <c r="Q50" s="42" t="s">
        <v>102</v>
      </c>
      <c r="R50" s="43">
        <v>25</v>
      </c>
      <c r="S50" s="43">
        <v>2</v>
      </c>
      <c r="T50" s="45">
        <f t="shared" si="7"/>
        <v>50</v>
      </c>
      <c r="U50" s="41"/>
      <c r="V50" s="111"/>
      <c r="W50" s="111"/>
      <c r="X50" s="87"/>
      <c r="Y50" s="727"/>
      <c r="Z50" s="41"/>
      <c r="AA50" s="41"/>
      <c r="AB50" s="41"/>
      <c r="AC50" s="41"/>
      <c r="AD50" s="41"/>
      <c r="BC50" s="826" t="s">
        <v>103</v>
      </c>
      <c r="BD50" s="827"/>
      <c r="BE50" s="828"/>
      <c r="BF50" s="828"/>
      <c r="BG50" s="828"/>
      <c r="BH50" s="828"/>
      <c r="BI50" s="828"/>
      <c r="BJ50" s="828"/>
      <c r="BK50" s="828"/>
      <c r="BL50" s="829"/>
    </row>
    <row r="51" spans="2:64" ht="14.4">
      <c r="B51" s="105" t="s">
        <v>104</v>
      </c>
      <c r="C51" s="106">
        <f t="shared" si="8"/>
        <v>55987</v>
      </c>
      <c r="D51" s="106">
        <f t="shared" si="8"/>
        <v>55987</v>
      </c>
      <c r="E51" s="106">
        <f t="shared" si="4"/>
        <v>55987</v>
      </c>
      <c r="F51" s="106">
        <f t="shared" si="4"/>
        <v>55987</v>
      </c>
      <c r="G51" s="106">
        <f t="shared" si="4"/>
        <v>55987</v>
      </c>
      <c r="H51" s="107">
        <v>10</v>
      </c>
      <c r="I51" s="107">
        <v>1</v>
      </c>
      <c r="J51" s="107">
        <v>2</v>
      </c>
      <c r="K51" s="107">
        <v>56000</v>
      </c>
      <c r="L51" s="108">
        <v>10</v>
      </c>
      <c r="M51" s="109">
        <f t="shared" si="5"/>
        <v>-0.48472753718550327</v>
      </c>
      <c r="N51" s="110">
        <f t="shared" si="6"/>
        <v>-4.8472753718550328</v>
      </c>
      <c r="O51" s="18"/>
      <c r="Q51" s="42" t="s">
        <v>105</v>
      </c>
      <c r="R51" s="43">
        <v>65</v>
      </c>
      <c r="S51" s="43">
        <v>2</v>
      </c>
      <c r="T51" s="45">
        <f t="shared" si="7"/>
        <v>130</v>
      </c>
      <c r="U51" s="41"/>
      <c r="V51" s="111"/>
      <c r="W51" s="111"/>
      <c r="X51" s="87"/>
      <c r="Y51" s="727"/>
      <c r="Z51" s="41"/>
      <c r="AA51" s="41"/>
      <c r="AB51" s="41"/>
      <c r="AC51" s="41"/>
      <c r="AD51" s="41"/>
      <c r="BC51" s="835" t="s">
        <v>106</v>
      </c>
      <c r="BD51" s="836"/>
      <c r="BE51" s="837"/>
      <c r="BF51" s="838"/>
      <c r="BG51" s="836" t="s">
        <v>107</v>
      </c>
      <c r="BH51" s="837"/>
      <c r="BI51" s="838"/>
      <c r="BJ51" s="836" t="s">
        <v>108</v>
      </c>
      <c r="BK51" s="837"/>
      <c r="BL51" s="865"/>
    </row>
    <row r="52" spans="2:64" ht="14.4">
      <c r="B52" s="105" t="s">
        <v>109</v>
      </c>
      <c r="C52" s="106">
        <f t="shared" si="8"/>
        <v>4499</v>
      </c>
      <c r="D52" s="106">
        <f t="shared" si="8"/>
        <v>4499</v>
      </c>
      <c r="E52" s="106">
        <f t="shared" si="4"/>
        <v>4499</v>
      </c>
      <c r="F52" s="106">
        <f t="shared" si="4"/>
        <v>4499</v>
      </c>
      <c r="G52" s="106">
        <f t="shared" si="4"/>
        <v>4499</v>
      </c>
      <c r="H52" s="107">
        <v>10</v>
      </c>
      <c r="I52" s="107">
        <v>1</v>
      </c>
      <c r="J52" s="107">
        <v>2</v>
      </c>
      <c r="K52" s="107">
        <v>4512</v>
      </c>
      <c r="L52" s="108">
        <v>10</v>
      </c>
      <c r="M52" s="109">
        <f t="shared" si="5"/>
        <v>-3.8951706463957333E-2</v>
      </c>
      <c r="N52" s="110">
        <f t="shared" si="6"/>
        <v>-0.38951706463957336</v>
      </c>
      <c r="O52" s="18"/>
      <c r="Q52" s="42" t="s">
        <v>110</v>
      </c>
      <c r="R52" s="43">
        <v>300</v>
      </c>
      <c r="S52" s="43">
        <v>1</v>
      </c>
      <c r="T52" s="45">
        <f t="shared" si="7"/>
        <v>300</v>
      </c>
      <c r="U52" s="41"/>
      <c r="V52" s="111"/>
      <c r="W52" s="111"/>
      <c r="X52" s="87"/>
      <c r="Y52" s="727"/>
      <c r="Z52" s="41"/>
      <c r="AA52" s="41"/>
      <c r="AB52" s="41"/>
      <c r="AC52" s="41"/>
      <c r="AD52" s="41"/>
      <c r="BC52" s="88" t="s">
        <v>111</v>
      </c>
      <c r="BD52" s="89"/>
      <c r="BE52" s="115"/>
      <c r="BF52" s="116">
        <f>IF(BC45="SBA 7a",C65,0)</f>
        <v>0</v>
      </c>
      <c r="BG52" s="117" t="s">
        <v>111</v>
      </c>
      <c r="BH52" s="89"/>
      <c r="BI52" s="118">
        <f>BG48</f>
        <v>0</v>
      </c>
      <c r="BJ52" s="117" t="s">
        <v>111</v>
      </c>
      <c r="BK52" s="89"/>
      <c r="BL52" s="119">
        <f>BI52+BF52</f>
        <v>0</v>
      </c>
    </row>
    <row r="53" spans="2:64" ht="14.4">
      <c r="B53" s="105" t="s">
        <v>112</v>
      </c>
      <c r="C53" s="106">
        <f t="shared" si="8"/>
        <v>2499</v>
      </c>
      <c r="D53" s="106">
        <f t="shared" si="8"/>
        <v>2499</v>
      </c>
      <c r="E53" s="106">
        <f t="shared" si="4"/>
        <v>2499</v>
      </c>
      <c r="F53" s="106">
        <f t="shared" si="4"/>
        <v>2499</v>
      </c>
      <c r="G53" s="106">
        <f t="shared" si="4"/>
        <v>2499</v>
      </c>
      <c r="H53" s="107">
        <v>10</v>
      </c>
      <c r="I53" s="107">
        <v>1</v>
      </c>
      <c r="J53" s="107">
        <v>2</v>
      </c>
      <c r="K53" s="107">
        <v>2512</v>
      </c>
      <c r="L53" s="108">
        <v>10</v>
      </c>
      <c r="M53" s="109">
        <f t="shared" si="5"/>
        <v>-2.1635988987203685E-2</v>
      </c>
      <c r="N53" s="110">
        <f t="shared" si="6"/>
        <v>-0.21635988987203686</v>
      </c>
      <c r="O53" s="18"/>
      <c r="Q53" s="42" t="s">
        <v>113</v>
      </c>
      <c r="R53" s="43">
        <v>20</v>
      </c>
      <c r="S53" s="43">
        <v>1</v>
      </c>
      <c r="T53" s="45">
        <f t="shared" si="7"/>
        <v>20</v>
      </c>
      <c r="U53" s="41"/>
      <c r="V53" s="111"/>
      <c r="W53" s="111"/>
      <c r="X53" s="87"/>
      <c r="Y53" s="727"/>
      <c r="Z53" s="41"/>
      <c r="AA53" s="41"/>
      <c r="AB53" s="41"/>
      <c r="AC53" s="41"/>
      <c r="AD53" s="41"/>
      <c r="BC53" s="88" t="s">
        <v>114</v>
      </c>
      <c r="BD53" s="89"/>
      <c r="BE53" s="120"/>
      <c r="BF53" s="118">
        <f>BF52*BH46</f>
        <v>0</v>
      </c>
      <c r="BG53" s="117" t="s">
        <v>114</v>
      </c>
      <c r="BH53" s="89"/>
      <c r="BI53" s="118">
        <f>BI52*BG49</f>
        <v>0</v>
      </c>
      <c r="BJ53" s="117" t="s">
        <v>114</v>
      </c>
      <c r="BK53" s="89"/>
      <c r="BL53" s="119">
        <f>BF53+BI53</f>
        <v>0</v>
      </c>
    </row>
    <row r="54" spans="2:64" ht="14.4">
      <c r="B54" s="105" t="s">
        <v>115</v>
      </c>
      <c r="C54" s="106">
        <f t="shared" si="8"/>
        <v>4202</v>
      </c>
      <c r="D54" s="106">
        <f t="shared" si="8"/>
        <v>4202</v>
      </c>
      <c r="E54" s="106">
        <f t="shared" si="4"/>
        <v>4202</v>
      </c>
      <c r="F54" s="106">
        <f t="shared" si="4"/>
        <v>4202</v>
      </c>
      <c r="G54" s="106">
        <f t="shared" si="4"/>
        <v>4202</v>
      </c>
      <c r="H54" s="107">
        <v>10</v>
      </c>
      <c r="I54" s="107">
        <v>1</v>
      </c>
      <c r="J54" s="107">
        <v>2</v>
      </c>
      <c r="K54" s="107">
        <v>4215</v>
      </c>
      <c r="L54" s="108">
        <v>10</v>
      </c>
      <c r="M54" s="109">
        <f t="shared" si="5"/>
        <v>-3.6380322418659419E-2</v>
      </c>
      <c r="N54" s="110">
        <f t="shared" si="6"/>
        <v>-0.36380322418659417</v>
      </c>
      <c r="O54" s="18"/>
      <c r="Q54" s="42" t="s">
        <v>116</v>
      </c>
      <c r="R54" s="43">
        <v>18</v>
      </c>
      <c r="S54" s="43">
        <v>1</v>
      </c>
      <c r="T54" s="45">
        <f t="shared" si="7"/>
        <v>18</v>
      </c>
      <c r="U54" s="41"/>
      <c r="V54" s="111"/>
      <c r="W54" s="111"/>
      <c r="X54" s="87"/>
      <c r="Y54" s="727"/>
      <c r="Z54" s="41"/>
      <c r="AA54" s="41"/>
      <c r="AB54" s="41"/>
      <c r="AC54" s="41"/>
      <c r="AD54" s="41"/>
      <c r="BC54" s="88" t="s">
        <v>117</v>
      </c>
      <c r="BD54" s="89"/>
      <c r="BE54" s="120"/>
      <c r="BF54" s="118">
        <f>SUM(BF59:BF63)</f>
        <v>0</v>
      </c>
      <c r="BG54" s="117" t="s">
        <v>117</v>
      </c>
      <c r="BH54" s="89"/>
      <c r="BI54" s="118">
        <f>SUM(BG59:BH63)</f>
        <v>0</v>
      </c>
      <c r="BJ54" s="117" t="s">
        <v>117</v>
      </c>
      <c r="BK54" s="89"/>
      <c r="BL54" s="119">
        <f>SUM(BK59:BK63)</f>
        <v>0</v>
      </c>
    </row>
    <row r="55" spans="2:64" ht="14.4">
      <c r="B55" s="105" t="s">
        <v>118</v>
      </c>
      <c r="C55" s="106">
        <f t="shared" si="8"/>
        <v>84348</v>
      </c>
      <c r="D55" s="106">
        <f t="shared" si="8"/>
        <v>84348</v>
      </c>
      <c r="E55" s="106">
        <f t="shared" si="4"/>
        <v>84348</v>
      </c>
      <c r="F55" s="106">
        <f t="shared" si="4"/>
        <v>84348</v>
      </c>
      <c r="G55" s="106">
        <f t="shared" si="4"/>
        <v>84348</v>
      </c>
      <c r="H55" s="107">
        <v>10</v>
      </c>
      <c r="I55" s="107">
        <v>1</v>
      </c>
      <c r="J55" s="107">
        <v>2</v>
      </c>
      <c r="K55" s="107">
        <v>84361</v>
      </c>
      <c r="L55" s="108">
        <v>10</v>
      </c>
      <c r="M55" s="109">
        <f t="shared" si="5"/>
        <v>-0.73027306886460841</v>
      </c>
      <c r="N55" s="110">
        <f t="shared" si="6"/>
        <v>-7.3027306886460845</v>
      </c>
      <c r="O55" s="18"/>
      <c r="Q55" s="42" t="s">
        <v>119</v>
      </c>
      <c r="R55" s="43">
        <v>100</v>
      </c>
      <c r="S55" s="43">
        <v>1</v>
      </c>
      <c r="T55" s="45">
        <f t="shared" si="7"/>
        <v>100</v>
      </c>
      <c r="U55" s="819" t="s">
        <v>120</v>
      </c>
      <c r="V55" s="819"/>
      <c r="W55" s="819"/>
      <c r="X55" s="820"/>
      <c r="Y55" s="727"/>
      <c r="Z55" s="41"/>
      <c r="AA55" s="41"/>
      <c r="AB55" s="41"/>
      <c r="AC55" s="41"/>
      <c r="AD55" s="41"/>
      <c r="BC55" s="121" t="s">
        <v>121</v>
      </c>
      <c r="BD55" s="122"/>
      <c r="BE55" s="123"/>
      <c r="BF55" s="124">
        <f>IF(BG48&gt;0,BL54-BI54-BF54,0)</f>
        <v>0</v>
      </c>
      <c r="BG55" s="125"/>
      <c r="BH55" s="122"/>
      <c r="BI55" s="126"/>
      <c r="BJ55" s="125"/>
      <c r="BK55" s="122"/>
      <c r="BL55" s="127"/>
    </row>
    <row r="56" spans="2:64" ht="15" thickBot="1">
      <c r="B56" s="105" t="s">
        <v>122</v>
      </c>
      <c r="C56" s="106">
        <f t="shared" si="8"/>
        <v>58397</v>
      </c>
      <c r="D56" s="106">
        <f t="shared" si="8"/>
        <v>58397</v>
      </c>
      <c r="E56" s="106">
        <f t="shared" si="4"/>
        <v>58397</v>
      </c>
      <c r="F56" s="106">
        <f t="shared" si="4"/>
        <v>58397</v>
      </c>
      <c r="G56" s="106">
        <f t="shared" si="4"/>
        <v>58397</v>
      </c>
      <c r="H56" s="107">
        <v>10</v>
      </c>
      <c r="I56" s="107">
        <v>1</v>
      </c>
      <c r="J56" s="107">
        <v>2</v>
      </c>
      <c r="K56" s="107">
        <v>58410</v>
      </c>
      <c r="L56" s="108">
        <v>10</v>
      </c>
      <c r="M56" s="109">
        <f t="shared" si="5"/>
        <v>-0.50559297674499137</v>
      </c>
      <c r="N56" s="110">
        <f t="shared" si="6"/>
        <v>-5.0559297674499142</v>
      </c>
      <c r="O56" s="18"/>
      <c r="Q56" s="42" t="s">
        <v>123</v>
      </c>
      <c r="R56" s="43">
        <v>50</v>
      </c>
      <c r="S56" s="43">
        <v>1</v>
      </c>
      <c r="T56" s="45">
        <f t="shared" si="7"/>
        <v>50</v>
      </c>
      <c r="U56" s="819" t="s">
        <v>124</v>
      </c>
      <c r="V56" s="819"/>
      <c r="W56" s="819"/>
      <c r="X56" s="820"/>
      <c r="Y56" s="727"/>
      <c r="Z56" s="41"/>
      <c r="AA56" s="41"/>
      <c r="AB56" s="41"/>
      <c r="AC56" s="41"/>
      <c r="AD56" s="41"/>
      <c r="BC56" s="128" t="s">
        <v>125</v>
      </c>
      <c r="BD56" s="129"/>
      <c r="BE56" s="847">
        <f>ROUNDUP(BF54+BF55,-0.1)</f>
        <v>0</v>
      </c>
      <c r="BF56" s="848"/>
      <c r="BG56" s="130" t="s">
        <v>125</v>
      </c>
      <c r="BH56" s="129"/>
      <c r="BI56" s="131">
        <f>ROUNDUP(BI54+BI55,-0.1)</f>
        <v>0</v>
      </c>
      <c r="BJ56" s="130" t="s">
        <v>125</v>
      </c>
      <c r="BK56" s="129"/>
      <c r="BL56" s="132">
        <f>ROUNDUP(BL54+BL55,-0.1)</f>
        <v>0</v>
      </c>
    </row>
    <row r="57" spans="2:64" ht="16.2" thickBot="1">
      <c r="B57" s="105" t="s">
        <v>126</v>
      </c>
      <c r="C57" s="106">
        <f t="shared" si="8"/>
        <v>2919</v>
      </c>
      <c r="D57" s="106">
        <f t="shared" si="8"/>
        <v>2919</v>
      </c>
      <c r="E57" s="106">
        <f t="shared" si="4"/>
        <v>2919</v>
      </c>
      <c r="F57" s="106">
        <f t="shared" si="4"/>
        <v>2919</v>
      </c>
      <c r="G57" s="106">
        <f t="shared" si="4"/>
        <v>2919</v>
      </c>
      <c r="H57" s="107">
        <v>10</v>
      </c>
      <c r="I57" s="107">
        <v>1</v>
      </c>
      <c r="J57" s="107">
        <v>2</v>
      </c>
      <c r="K57" s="107">
        <v>2932</v>
      </c>
      <c r="L57" s="108">
        <v>10</v>
      </c>
      <c r="M57" s="109">
        <f t="shared" si="5"/>
        <v>-2.527228965732195E-2</v>
      </c>
      <c r="N57" s="110">
        <f t="shared" si="6"/>
        <v>-0.2527228965732195</v>
      </c>
      <c r="O57" s="18"/>
      <c r="Q57" s="78" t="s">
        <v>127</v>
      </c>
      <c r="R57" s="43">
        <v>97</v>
      </c>
      <c r="S57" s="43">
        <v>1</v>
      </c>
      <c r="T57" s="45">
        <f t="shared" si="7"/>
        <v>97</v>
      </c>
      <c r="U57" s="876" t="str">
        <f>_xlfn.CONCAT("&lt;--- To round to next $100, input $",ROUNDUP(R58,-2)-R45)</f>
        <v>&lt;--- To round to next $100, input $0</v>
      </c>
      <c r="V57" s="876"/>
      <c r="W57" s="876"/>
      <c r="X57" s="877"/>
      <c r="Y57" s="727"/>
      <c r="Z57" s="41"/>
      <c r="AA57" s="41"/>
      <c r="AB57" s="41"/>
      <c r="AC57" s="41"/>
      <c r="AD57" s="41"/>
      <c r="BC57" s="842"/>
      <c r="BD57" s="843"/>
      <c r="BE57" s="843"/>
      <c r="BF57" s="843"/>
      <c r="BG57" s="843"/>
      <c r="BH57" s="843"/>
      <c r="BI57" s="843"/>
      <c r="BJ57" s="843"/>
      <c r="BK57" s="843"/>
      <c r="BL57" s="844"/>
    </row>
    <row r="58" spans="2:64" ht="15.6" thickTop="1" thickBot="1">
      <c r="B58" s="105" t="s">
        <v>128</v>
      </c>
      <c r="C58" s="106">
        <f t="shared" si="8"/>
        <v>3593</v>
      </c>
      <c r="D58" s="106">
        <f t="shared" si="8"/>
        <v>3593</v>
      </c>
      <c r="E58" s="106">
        <f t="shared" si="4"/>
        <v>3593</v>
      </c>
      <c r="F58" s="106">
        <f t="shared" si="4"/>
        <v>3593</v>
      </c>
      <c r="G58" s="106">
        <f t="shared" si="4"/>
        <v>3593</v>
      </c>
      <c r="H58" s="107">
        <v>10</v>
      </c>
      <c r="I58" s="107">
        <v>1</v>
      </c>
      <c r="J58" s="107">
        <v>2</v>
      </c>
      <c r="K58" s="107">
        <v>3606</v>
      </c>
      <c r="L58" s="108">
        <v>10</v>
      </c>
      <c r="M58" s="109">
        <f t="shared" si="5"/>
        <v>-3.1107686446987932E-2</v>
      </c>
      <c r="N58" s="110">
        <f t="shared" si="6"/>
        <v>-0.31107686446987931</v>
      </c>
      <c r="O58" s="18"/>
      <c r="Q58" s="84" t="s">
        <v>129</v>
      </c>
      <c r="R58" s="133"/>
      <c r="S58" s="85"/>
      <c r="T58" s="134">
        <f>SUM(T49:T57)</f>
        <v>800</v>
      </c>
      <c r="U58" s="878"/>
      <c r="V58" s="878"/>
      <c r="W58" s="878"/>
      <c r="X58" s="879"/>
      <c r="Y58" s="727"/>
      <c r="Z58" s="41"/>
      <c r="AA58" s="41"/>
      <c r="AB58" s="41"/>
      <c r="AC58" s="41"/>
      <c r="AD58" s="41"/>
      <c r="BC58" s="135" t="s">
        <v>130</v>
      </c>
      <c r="BD58" s="136" t="s">
        <v>131</v>
      </c>
      <c r="BE58" s="136"/>
      <c r="BF58" s="136"/>
      <c r="BG58" s="852" t="s">
        <v>132</v>
      </c>
      <c r="BH58" s="852"/>
      <c r="BI58" s="136"/>
      <c r="BJ58" s="136" t="s">
        <v>133</v>
      </c>
      <c r="BK58" s="136" t="s">
        <v>131</v>
      </c>
      <c r="BL58" s="137"/>
    </row>
    <row r="59" spans="2:64" ht="15" thickBot="1">
      <c r="B59" s="138" t="s">
        <v>134</v>
      </c>
      <c r="C59" s="106">
        <f t="shared" si="8"/>
        <v>45097</v>
      </c>
      <c r="D59" s="106">
        <f t="shared" si="8"/>
        <v>45097</v>
      </c>
      <c r="E59" s="106">
        <f t="shared" si="4"/>
        <v>45097</v>
      </c>
      <c r="F59" s="106">
        <f t="shared" si="4"/>
        <v>45097</v>
      </c>
      <c r="G59" s="106">
        <f t="shared" si="4"/>
        <v>45097</v>
      </c>
      <c r="H59" s="107">
        <v>10</v>
      </c>
      <c r="I59" s="107">
        <v>1</v>
      </c>
      <c r="J59" s="107">
        <v>2</v>
      </c>
      <c r="K59" s="107">
        <v>45110</v>
      </c>
      <c r="L59" s="108">
        <v>25</v>
      </c>
      <c r="M59" s="109">
        <f t="shared" si="5"/>
        <v>-0.39044345552457965</v>
      </c>
      <c r="N59" s="110">
        <f t="shared" si="6"/>
        <v>-9.7610863881144905</v>
      </c>
      <c r="O59" s="18"/>
      <c r="Q59" s="41"/>
      <c r="R59" s="41"/>
      <c r="S59" s="41"/>
      <c r="T59" s="41"/>
      <c r="U59" s="41"/>
      <c r="V59" s="41"/>
      <c r="W59" s="41"/>
      <c r="X59" s="41"/>
      <c r="Y59" s="41"/>
      <c r="Z59" s="41"/>
      <c r="AA59" s="41"/>
      <c r="AB59" s="41"/>
      <c r="AC59" s="41"/>
      <c r="AD59" s="41"/>
      <c r="BC59" s="139" t="s">
        <v>135</v>
      </c>
      <c r="BD59" s="140">
        <v>150000</v>
      </c>
      <c r="BE59" s="141">
        <v>0.02</v>
      </c>
      <c r="BF59" s="142">
        <f>IF(BF52&lt;=$BD$59,BF53*$BE$59,0)</f>
        <v>0</v>
      </c>
      <c r="BG59" s="849">
        <f>IF(BI52&lt;=$BD$59,BI53*$BE$59,0)</f>
        <v>0</v>
      </c>
      <c r="BH59" s="849"/>
      <c r="BI59" s="89"/>
      <c r="BJ59" s="143"/>
      <c r="BK59" s="143">
        <f>IF(BL52&lt;=$BD$59,BL53*$BE$59,0)</f>
        <v>0</v>
      </c>
      <c r="BL59" s="144"/>
    </row>
    <row r="60" spans="2:64" ht="14.4">
      <c r="B60" s="105" t="s">
        <v>136</v>
      </c>
      <c r="C60" s="107">
        <v>8000</v>
      </c>
      <c r="D60" s="107">
        <v>200</v>
      </c>
      <c r="E60" s="107">
        <v>2230</v>
      </c>
      <c r="F60" s="107">
        <v>2000</v>
      </c>
      <c r="G60" s="107">
        <v>0</v>
      </c>
      <c r="H60" s="106">
        <f>K60-C60</f>
        <v>373817</v>
      </c>
      <c r="I60" s="107">
        <v>8000</v>
      </c>
      <c r="J60" s="107">
        <v>800</v>
      </c>
      <c r="K60" s="792">
        <f>ROUND(((C49+J49)*C36/12)*C41+((C65-C49+J65-J49)*C36*0.6/12)*C41,0)</f>
        <v>381817</v>
      </c>
      <c r="L60" s="108">
        <v>25</v>
      </c>
      <c r="M60" s="109">
        <f t="shared" si="5"/>
        <v>-6.9262869907014593E-2</v>
      </c>
      <c r="N60" s="110">
        <f t="shared" si="6"/>
        <v>-1.7315717476753649</v>
      </c>
      <c r="O60" s="145" t="s">
        <v>137</v>
      </c>
      <c r="Q60" s="37" t="s">
        <v>138</v>
      </c>
      <c r="R60" s="146">
        <f>SUM(R61:R63)</f>
        <v>1</v>
      </c>
      <c r="S60" s="147">
        <f>K65</f>
        <v>1684367</v>
      </c>
      <c r="T60" s="148" t="s">
        <v>139</v>
      </c>
      <c r="U60" s="149"/>
      <c r="V60" s="40"/>
      <c r="W60" s="40"/>
      <c r="X60" s="40"/>
      <c r="Y60" s="41"/>
      <c r="Z60" s="41"/>
      <c r="AA60" s="41"/>
      <c r="AB60" s="41"/>
      <c r="AC60" s="41"/>
      <c r="AD60" s="41"/>
      <c r="BC60" s="150">
        <v>150001</v>
      </c>
      <c r="BD60" s="151">
        <v>700000</v>
      </c>
      <c r="BE60" s="141">
        <v>0.03</v>
      </c>
      <c r="BF60" s="142">
        <f>IF($BF$52&gt;=$BD$60+1,0,IF($BF$52&gt;=$BC$60,$BF$53*$BE$60,0))</f>
        <v>0</v>
      </c>
      <c r="BG60" s="849">
        <f>IF($BI$52&gt;=$BD$60+1,0,IF($BI$52&gt;=$BC$60,$BI$53*$BE$60,0))</f>
        <v>0</v>
      </c>
      <c r="BH60" s="849">
        <f>IF($BF$52&gt;=$BD$60+1,0,IF($BF$52&gt;=$BC$60,$BF$53*$BE$60,0))</f>
        <v>0</v>
      </c>
      <c r="BI60" s="89"/>
      <c r="BJ60" s="143"/>
      <c r="BK60" s="142">
        <f>IF($BL$52&gt;=$BD$60+1,0,IF($BL$52&gt;=$BC$60,$BL$53*$BE$60,0))</f>
        <v>0</v>
      </c>
      <c r="BL60" s="144"/>
    </row>
    <row r="61" spans="2:64" ht="14.4">
      <c r="B61" s="105" t="s">
        <v>140</v>
      </c>
      <c r="C61" s="106">
        <f>K61-H61-I61-J61</f>
        <v>-115579</v>
      </c>
      <c r="D61" s="106">
        <f>K61-H61-I61-J61</f>
        <v>-115579</v>
      </c>
      <c r="E61" s="106">
        <f>K61-H61-I61-J61</f>
        <v>-115579</v>
      </c>
      <c r="F61" s="106">
        <f>K61-H61-I61-J61</f>
        <v>-115579</v>
      </c>
      <c r="G61" s="106">
        <f>K61-H61-I61-J61</f>
        <v>-115579</v>
      </c>
      <c r="H61" s="107">
        <v>60000</v>
      </c>
      <c r="I61" s="107">
        <v>51210</v>
      </c>
      <c r="J61" s="107">
        <v>8880</v>
      </c>
      <c r="K61" s="106">
        <f>ROUND(K59*O61,0)</f>
        <v>4511</v>
      </c>
      <c r="L61" s="108">
        <v>25</v>
      </c>
      <c r="M61" s="109">
        <f t="shared" si="5"/>
        <v>1.0006666551228549</v>
      </c>
      <c r="N61" s="110">
        <f t="shared" si="6"/>
        <v>25.016666378071374</v>
      </c>
      <c r="O61" s="152">
        <v>0.1</v>
      </c>
      <c r="Q61" s="42" t="s">
        <v>141</v>
      </c>
      <c r="R61" s="153">
        <v>0.5</v>
      </c>
      <c r="S61" s="154">
        <f>S60*R61</f>
        <v>842183.5</v>
      </c>
      <c r="T61" s="155">
        <f>C65-S61</f>
        <v>-957685.5</v>
      </c>
      <c r="U61" s="149"/>
      <c r="V61" s="40"/>
      <c r="W61" s="40"/>
      <c r="X61" s="41"/>
      <c r="Y61" s="41"/>
      <c r="Z61" s="41"/>
      <c r="AA61" s="41"/>
      <c r="AB61" s="41"/>
      <c r="AC61" s="41"/>
      <c r="AD61" s="41"/>
      <c r="BC61" s="156"/>
      <c r="BD61" s="157"/>
      <c r="BE61" s="158">
        <v>0</v>
      </c>
      <c r="BF61" s="159">
        <f>IF(BF52&gt;=$BD$60+1,0,IF(BF52&gt;=$BC$60,IF(BF53&gt;1000000,(BF53-1000000)*$BE$61,0),0))</f>
        <v>0</v>
      </c>
      <c r="BG61" s="850">
        <f>IF(BI52&gt;=$BD$60+1,0,IF(BI52&gt;=$BC$60,IF(BI53&gt;1000000,(BI53-1000000)*$BE$61,0),0))</f>
        <v>0</v>
      </c>
      <c r="BH61" s="850"/>
      <c r="BI61" s="160"/>
      <c r="BJ61" s="161"/>
      <c r="BK61" s="161">
        <f>IF(BL52&gt;=$BD$60+1,0,IF(BL52&gt;=$BC$60,IF(BL53&gt;1000000,(BL53-1000000)*$BE$61,0),0))</f>
        <v>0</v>
      </c>
      <c r="BL61" s="162"/>
    </row>
    <row r="62" spans="2:64" ht="14.4">
      <c r="B62" s="138" t="s">
        <v>142</v>
      </c>
      <c r="C62" s="106">
        <f>K62-SUM(H62:J62)</f>
        <v>-1095120</v>
      </c>
      <c r="D62" s="106">
        <f t="shared" ref="D62:G63" si="9">$K62-SUM($H62:$J62)</f>
        <v>-1095120</v>
      </c>
      <c r="E62" s="106">
        <f t="shared" si="9"/>
        <v>-1095120</v>
      </c>
      <c r="F62" s="106">
        <f t="shared" si="9"/>
        <v>-1095120</v>
      </c>
      <c r="G62" s="106">
        <f t="shared" si="9"/>
        <v>-1095120</v>
      </c>
      <c r="H62" s="107">
        <v>900000</v>
      </c>
      <c r="I62" s="107">
        <v>112121</v>
      </c>
      <c r="J62" s="107">
        <v>88880</v>
      </c>
      <c r="K62" s="107">
        <v>5881</v>
      </c>
      <c r="L62" s="108">
        <v>25</v>
      </c>
      <c r="M62" s="109">
        <f t="shared" si="5"/>
        <v>9.4813942615712286</v>
      </c>
      <c r="N62" s="110">
        <f t="shared" si="6"/>
        <v>237.03485653928072</v>
      </c>
      <c r="O62" s="18"/>
      <c r="Q62" s="42" t="s">
        <v>143</v>
      </c>
      <c r="R62" s="153">
        <v>0.4</v>
      </c>
      <c r="S62" s="154">
        <f>S60*R62</f>
        <v>673746.8</v>
      </c>
      <c r="T62" s="155">
        <f>J65-S62</f>
        <v>-459176.80000000005</v>
      </c>
      <c r="U62" s="149"/>
      <c r="V62" s="40"/>
      <c r="W62" s="40"/>
      <c r="X62" s="41"/>
      <c r="Y62" s="41"/>
      <c r="Z62" s="41"/>
      <c r="AA62" s="41"/>
      <c r="AB62" s="41"/>
      <c r="AC62" s="41"/>
      <c r="AD62" s="41"/>
      <c r="BC62" s="150">
        <v>700001</v>
      </c>
      <c r="BD62" s="151">
        <v>5000000</v>
      </c>
      <c r="BE62" s="141">
        <v>3.5000000000000003E-2</v>
      </c>
      <c r="BF62" s="142">
        <f>IF(BF52&gt;=$BC$62,1000000*$BE$62,0)</f>
        <v>0</v>
      </c>
      <c r="BG62" s="849">
        <f>MIN(35000,IF(BI52&gt;=$BD$62+1,1000000*$BE$62,0))</f>
        <v>0</v>
      </c>
      <c r="BH62" s="849"/>
      <c r="BI62" s="89"/>
      <c r="BJ62" s="143"/>
      <c r="BK62" s="143">
        <f>MIN(35000,IF(BL52&gt;=$BD$62+1,1000000*$BE$62,0))</f>
        <v>0</v>
      </c>
      <c r="BL62" s="144"/>
    </row>
    <row r="63" spans="2:64" ht="15" thickBot="1">
      <c r="B63" s="163" t="s">
        <v>26</v>
      </c>
      <c r="C63" s="106">
        <f>K63-SUM(H63:J63)</f>
        <v>-80781</v>
      </c>
      <c r="D63" s="106">
        <f t="shared" si="9"/>
        <v>-80781</v>
      </c>
      <c r="E63" s="106">
        <f t="shared" si="9"/>
        <v>-80781</v>
      </c>
      <c r="F63" s="106">
        <f t="shared" si="9"/>
        <v>-80781</v>
      </c>
      <c r="G63" s="106">
        <f t="shared" si="9"/>
        <v>-80781</v>
      </c>
      <c r="H63" s="107">
        <v>50</v>
      </c>
      <c r="I63" s="107">
        <v>5841</v>
      </c>
      <c r="J63" s="107">
        <v>99990</v>
      </c>
      <c r="K63" s="107">
        <v>25100</v>
      </c>
      <c r="L63" s="108">
        <v>10</v>
      </c>
      <c r="M63" s="109">
        <f t="shared" si="5"/>
        <v>0.6993904867448183</v>
      </c>
      <c r="N63" s="110">
        <f t="shared" si="6"/>
        <v>6.9939048674481832</v>
      </c>
      <c r="O63" s="18"/>
      <c r="Q63" s="42" t="s">
        <v>144</v>
      </c>
      <c r="R63" s="153">
        <v>0.1</v>
      </c>
      <c r="S63" s="154">
        <f>S60*R63</f>
        <v>168436.7</v>
      </c>
      <c r="T63" s="155">
        <f>H65-S63</f>
        <v>1168480.3</v>
      </c>
      <c r="U63" s="149"/>
      <c r="V63" s="40"/>
      <c r="W63" s="231"/>
      <c r="X63" s="41"/>
      <c r="Y63" s="41"/>
      <c r="Z63" s="41"/>
      <c r="AA63" s="41"/>
      <c r="AB63" s="41"/>
      <c r="AC63" s="41"/>
      <c r="AD63" s="41"/>
      <c r="BC63" s="164"/>
      <c r="BD63" s="165"/>
      <c r="BE63" s="166">
        <v>3.7499999999999999E-2</v>
      </c>
      <c r="BF63" s="167">
        <f>IF(BF52&gt;=$BC$62,(BF53-1000000)*$BE$63,0)</f>
        <v>0</v>
      </c>
      <c r="BG63" s="851">
        <f>IF((BI53-$BC$62)*$BE$63&lt;=0,0,(BI53-1000000)*$BE$63)</f>
        <v>0</v>
      </c>
      <c r="BH63" s="851"/>
      <c r="BI63" s="168"/>
      <c r="BJ63" s="169"/>
      <c r="BK63" s="169">
        <f>IF((BL53-$BC$62)*$BE$63&lt;=0,0,(BL53-1000000)*$BE$63)</f>
        <v>0</v>
      </c>
      <c r="BL63" s="170"/>
    </row>
    <row r="64" spans="2:64" ht="15" thickBot="1">
      <c r="B64" s="163" t="s">
        <v>145</v>
      </c>
      <c r="C64" s="107">
        <v>5050</v>
      </c>
      <c r="D64" s="107">
        <v>80</v>
      </c>
      <c r="E64" s="107">
        <v>800</v>
      </c>
      <c r="F64" s="107">
        <v>80</v>
      </c>
      <c r="G64" s="107">
        <v>0</v>
      </c>
      <c r="H64" s="106">
        <f>K64-C64</f>
        <v>-5050</v>
      </c>
      <c r="I64" s="51"/>
      <c r="J64" s="51"/>
      <c r="K64" s="106">
        <f>BE56</f>
        <v>0</v>
      </c>
      <c r="L64" s="108">
        <v>10</v>
      </c>
      <c r="M64" s="109">
        <f t="shared" si="5"/>
        <v>-4.3722186628802964E-2</v>
      </c>
      <c r="N64" s="171">
        <f t="shared" si="6"/>
        <v>-0.43722186628802961</v>
      </c>
      <c r="O64" s="18"/>
      <c r="Q64" s="42"/>
      <c r="R64" s="172"/>
      <c r="S64" s="173"/>
      <c r="T64" s="174"/>
      <c r="U64" s="149"/>
      <c r="V64" s="40"/>
      <c r="W64" s="40"/>
      <c r="X64" s="41"/>
      <c r="Y64" s="41"/>
      <c r="Z64" s="41"/>
      <c r="AA64" s="41"/>
      <c r="AB64" s="41"/>
      <c r="AC64" s="41"/>
      <c r="AD64" s="41"/>
    </row>
    <row r="65" spans="2:65" ht="15" thickBot="1">
      <c r="B65" s="175"/>
      <c r="C65" s="176">
        <f>SUM(C49:C64)</f>
        <v>-115502</v>
      </c>
      <c r="D65" s="176">
        <f>SUM(D49:D64)</f>
        <v>-128272</v>
      </c>
      <c r="E65" s="176">
        <f t="shared" ref="E65:F65" si="10">SUM(E49:E64)</f>
        <v>-125522</v>
      </c>
      <c r="F65" s="176">
        <f t="shared" si="10"/>
        <v>-126472</v>
      </c>
      <c r="G65" s="176">
        <f t="shared" ref="G65" si="11">SUM(G49:G64)</f>
        <v>-128552</v>
      </c>
      <c r="H65" s="176">
        <f>SUM(H49:H64)</f>
        <v>1336917</v>
      </c>
      <c r="I65" s="176">
        <f>SUM(I49:I64)</f>
        <v>257182</v>
      </c>
      <c r="J65" s="176">
        <f>SUM(J49:J64)</f>
        <v>214570</v>
      </c>
      <c r="K65" s="176">
        <f>SUM(K49:K64)</f>
        <v>1684367</v>
      </c>
      <c r="L65" s="177"/>
      <c r="M65" s="178" t="s">
        <v>146</v>
      </c>
      <c r="N65" s="179">
        <f>SUM(N49:N64)</f>
        <v>43.274099149798317</v>
      </c>
      <c r="O65" s="18"/>
      <c r="Q65" s="42" t="s">
        <v>147</v>
      </c>
      <c r="R65" s="180">
        <v>1.4999999999999999E-2</v>
      </c>
      <c r="S65" s="154">
        <f>S61*R65</f>
        <v>12632.752499999999</v>
      </c>
      <c r="T65" s="172"/>
      <c r="U65" s="181"/>
      <c r="V65" s="182"/>
      <c r="W65" s="40"/>
      <c r="X65" s="41"/>
      <c r="Y65" s="41"/>
      <c r="Z65" s="41"/>
      <c r="AA65" s="41"/>
      <c r="AB65" s="41"/>
      <c r="AC65" s="41"/>
      <c r="AD65" s="41"/>
    </row>
    <row r="66" spans="2:65" ht="14.4">
      <c r="B66" s="32"/>
      <c r="C66" s="109">
        <f>IFERROR(C65/$K$65,0)</f>
        <v>-6.8572941645140287E-2</v>
      </c>
      <c r="D66" s="109">
        <f>IFERROR(D65/$K$65,0)</f>
        <v>-7.6154424777972976E-2</v>
      </c>
      <c r="E66" s="109">
        <f t="shared" ref="E66:F66" si="12">IFERROR(E65/$K$65,0)</f>
        <v>-7.4521763962366872E-2</v>
      </c>
      <c r="F66" s="109">
        <f t="shared" si="12"/>
        <v>-7.5085774062303517E-2</v>
      </c>
      <c r="G66" s="109">
        <f>IFERROR(G65/$K$65,0)</f>
        <v>-7.6320659333743768E-2</v>
      </c>
      <c r="H66" s="109">
        <f>IFERROR(H65/$K$65,0)</f>
        <v>0.79372072713369468</v>
      </c>
      <c r="I66" s="109">
        <f>IFERROR(I65/$K$65,0)</f>
        <v>0.15268762686516657</v>
      </c>
      <c r="J66" s="109">
        <f>IFERROR(J65/$K$65,0)</f>
        <v>0.12738910225621849</v>
      </c>
      <c r="K66" s="109">
        <f>IFERROR(K65/$K$65,0)</f>
        <v>1</v>
      </c>
      <c r="L66" s="13"/>
      <c r="M66" s="13"/>
      <c r="N66" s="13"/>
      <c r="O66" s="18"/>
      <c r="Q66" s="42" t="s">
        <v>148</v>
      </c>
      <c r="R66" s="180">
        <v>5.0000000000000001E-3</v>
      </c>
      <c r="S66" s="154">
        <f>S61*R66</f>
        <v>4210.9175000000005</v>
      </c>
      <c r="T66" s="172"/>
      <c r="U66" s="149"/>
      <c r="V66" s="40"/>
      <c r="W66" s="40"/>
      <c r="X66" s="41"/>
      <c r="Y66" s="41"/>
      <c r="Z66" s="41"/>
      <c r="AA66" s="41"/>
      <c r="AB66" s="41"/>
      <c r="AC66" s="41"/>
      <c r="AD66" s="41"/>
    </row>
    <row r="67" spans="2:65" ht="15" thickBot="1">
      <c r="B67" s="74"/>
      <c r="C67" s="75"/>
      <c r="D67" s="75"/>
      <c r="E67" s="75"/>
      <c r="F67" s="75"/>
      <c r="G67" s="75"/>
      <c r="H67" s="75"/>
      <c r="I67" s="75"/>
      <c r="J67" s="75"/>
      <c r="K67" s="75"/>
      <c r="L67" s="75"/>
      <c r="M67" s="75"/>
      <c r="N67" s="75"/>
      <c r="O67" s="35"/>
      <c r="Q67" s="183" t="s">
        <v>149</v>
      </c>
      <c r="R67" s="180">
        <v>0.01</v>
      </c>
      <c r="S67" s="154">
        <f>S61*R67</f>
        <v>8421.8350000000009</v>
      </c>
      <c r="T67" s="172"/>
      <c r="U67" s="181"/>
      <c r="V67" s="182"/>
      <c r="Z67" s="41"/>
      <c r="AA67" s="41"/>
      <c r="AB67" s="41"/>
      <c r="AC67" s="41"/>
      <c r="AD67" s="41"/>
    </row>
    <row r="68" spans="2:65" ht="15" thickBot="1">
      <c r="B68" s="184"/>
      <c r="C68" s="184"/>
      <c r="D68" s="184"/>
      <c r="E68" s="184"/>
      <c r="F68" s="184"/>
      <c r="G68" s="184"/>
      <c r="H68" s="184"/>
      <c r="I68" s="184"/>
      <c r="J68" s="184"/>
      <c r="K68" s="184"/>
      <c r="L68" s="601"/>
      <c r="M68" s="601"/>
      <c r="N68" s="601"/>
      <c r="O68" s="601"/>
      <c r="Q68" s="185" t="s">
        <v>150</v>
      </c>
      <c r="R68" s="186">
        <v>0</v>
      </c>
      <c r="S68" s="187">
        <f>R68*C65</f>
        <v>0</v>
      </c>
      <c r="T68" s="172"/>
      <c r="U68" s="181"/>
      <c r="V68" s="182"/>
      <c r="Z68" s="41"/>
      <c r="AA68" s="41"/>
      <c r="AB68" s="41"/>
      <c r="AC68" s="41"/>
      <c r="AD68" s="41"/>
    </row>
    <row r="69" spans="2:65" ht="16.2" thickBot="1">
      <c r="B69" s="860" t="s">
        <v>151</v>
      </c>
      <c r="C69" s="861"/>
      <c r="D69" s="861"/>
      <c r="E69" s="861"/>
      <c r="F69" s="861"/>
      <c r="G69" s="861"/>
      <c r="H69" s="861"/>
      <c r="I69" s="861"/>
      <c r="J69" s="861"/>
      <c r="K69" s="862"/>
      <c r="L69" s="601"/>
      <c r="M69" s="601"/>
      <c r="N69" s="601"/>
      <c r="Q69" s="42" t="s">
        <v>152</v>
      </c>
      <c r="R69" s="188">
        <f>SUM(N65:N68)</f>
        <v>43.274099149798317</v>
      </c>
      <c r="S69" s="189">
        <f>SUM(O65:O68)</f>
        <v>0</v>
      </c>
      <c r="T69" s="172"/>
      <c r="U69" s="181"/>
      <c r="V69" s="182"/>
      <c r="Z69" s="41"/>
      <c r="AA69" s="41"/>
      <c r="AB69" s="41"/>
      <c r="AC69" s="41"/>
      <c r="AD69" s="41"/>
    </row>
    <row r="70" spans="2:65" ht="14.4" outlineLevel="1">
      <c r="B70" s="190"/>
      <c r="C70" s="191"/>
      <c r="D70" s="191"/>
      <c r="E70" s="191"/>
      <c r="F70" s="191"/>
      <c r="G70" s="191"/>
      <c r="H70" s="191"/>
      <c r="I70" s="191"/>
      <c r="J70" s="191"/>
      <c r="K70" s="192"/>
      <c r="L70" s="601"/>
      <c r="M70" s="601"/>
      <c r="N70" s="601"/>
      <c r="Q70" s="42"/>
      <c r="R70" s="172"/>
      <c r="S70" s="174"/>
      <c r="T70" s="193"/>
      <c r="Z70" s="41"/>
      <c r="AA70" s="41"/>
      <c r="AB70" s="41"/>
      <c r="AC70" s="41"/>
      <c r="AD70" s="41"/>
    </row>
    <row r="71" spans="2:65" ht="14.4" outlineLevel="1">
      <c r="B71" s="32"/>
      <c r="C71" s="29" t="s">
        <v>153</v>
      </c>
      <c r="D71" s="29" t="s">
        <v>154</v>
      </c>
      <c r="E71" s="13"/>
      <c r="F71" s="13"/>
      <c r="G71" s="29" t="s">
        <v>153</v>
      </c>
      <c r="H71" s="29" t="s">
        <v>154</v>
      </c>
      <c r="I71" s="13"/>
      <c r="J71" s="13"/>
      <c r="K71" s="18"/>
      <c r="L71" s="601"/>
      <c r="M71" s="601"/>
      <c r="N71" s="601"/>
      <c r="Q71" s="42" t="s">
        <v>155</v>
      </c>
      <c r="R71" s="43">
        <f>C65+J65</f>
        <v>99068</v>
      </c>
      <c r="S71" s="194"/>
      <c r="T71" s="193"/>
      <c r="U71" s="41"/>
      <c r="V71" s="41"/>
      <c r="W71" s="41"/>
      <c r="X71" s="41"/>
      <c r="Y71" s="41"/>
      <c r="Z71" s="41"/>
      <c r="AA71" s="41"/>
      <c r="AB71" s="41"/>
      <c r="AC71" s="41"/>
      <c r="AD71" s="41"/>
    </row>
    <row r="72" spans="2:65" ht="14.4" outlineLevel="1">
      <c r="B72" s="49" t="s">
        <v>156</v>
      </c>
      <c r="C72" s="195">
        <v>0</v>
      </c>
      <c r="D72" s="196"/>
      <c r="E72" s="13"/>
      <c r="F72" s="66" t="s">
        <v>157</v>
      </c>
      <c r="G72" s="195">
        <v>0</v>
      </c>
      <c r="H72" s="196"/>
      <c r="I72" s="13"/>
      <c r="J72" s="13"/>
      <c r="K72" s="18"/>
      <c r="L72" s="601"/>
      <c r="M72" s="601"/>
      <c r="N72" s="601"/>
      <c r="Q72" s="42" t="s">
        <v>158</v>
      </c>
      <c r="R72" s="43">
        <f>ROUNDUP(S69,-3)</f>
        <v>0</v>
      </c>
      <c r="S72" s="194"/>
      <c r="T72" s="193"/>
      <c r="U72" s="41"/>
      <c r="V72" s="41"/>
      <c r="W72" s="41"/>
      <c r="X72" s="41"/>
      <c r="Y72" s="41"/>
      <c r="Z72" s="41"/>
    </row>
    <row r="73" spans="2:65" ht="14.4" outlineLevel="1">
      <c r="B73" s="49" t="s">
        <v>159</v>
      </c>
      <c r="C73" s="197">
        <f>C622</f>
        <v>0</v>
      </c>
      <c r="D73" s="196"/>
      <c r="E73" s="13"/>
      <c r="F73" s="66" t="s">
        <v>160</v>
      </c>
      <c r="G73" s="195">
        <v>0</v>
      </c>
      <c r="H73" s="196"/>
      <c r="I73" s="13"/>
      <c r="J73" s="13"/>
      <c r="K73" s="18"/>
      <c r="L73" s="601"/>
      <c r="M73" s="601"/>
      <c r="N73" s="601"/>
      <c r="Q73" s="183" t="s">
        <v>161</v>
      </c>
      <c r="R73" s="198">
        <f>R72/R71</f>
        <v>0</v>
      </c>
      <c r="S73" s="194"/>
      <c r="T73" s="193"/>
      <c r="U73" s="41"/>
      <c r="V73" s="41"/>
      <c r="W73" s="41"/>
      <c r="X73" s="41"/>
      <c r="Y73" s="41"/>
      <c r="Z73" s="41"/>
    </row>
    <row r="74" spans="2:65" ht="14.4" outlineLevel="1">
      <c r="B74" s="49" t="s">
        <v>162</v>
      </c>
      <c r="C74" s="197">
        <f>E622</f>
        <v>0</v>
      </c>
      <c r="D74" s="196"/>
      <c r="E74" s="13"/>
      <c r="F74" s="66" t="s">
        <v>163</v>
      </c>
      <c r="G74" s="195">
        <v>0</v>
      </c>
      <c r="H74" s="196"/>
      <c r="I74" s="13"/>
      <c r="J74" s="13"/>
      <c r="K74" s="18"/>
      <c r="L74" s="601"/>
      <c r="M74" s="601"/>
      <c r="N74" s="601"/>
      <c r="Q74" s="183" t="s">
        <v>164</v>
      </c>
      <c r="R74" s="198">
        <f>(C65*C36+J65*J36)/SUM(C33+J33)</f>
        <v>2.9702261904761897</v>
      </c>
      <c r="S74" s="194"/>
      <c r="T74" s="193"/>
      <c r="U74" s="41"/>
      <c r="V74" s="41"/>
      <c r="W74" s="41"/>
      <c r="X74" s="41"/>
      <c r="Y74" s="41"/>
      <c r="Z74" s="41"/>
    </row>
    <row r="75" spans="2:65" ht="14.4" outlineLevel="1">
      <c r="B75" s="49" t="s">
        <v>165</v>
      </c>
      <c r="C75" s="197">
        <f>G622</f>
        <v>0</v>
      </c>
      <c r="D75" s="196"/>
      <c r="E75" s="13"/>
      <c r="F75" s="66" t="s">
        <v>166</v>
      </c>
      <c r="G75" s="195">
        <v>0</v>
      </c>
      <c r="H75" s="196"/>
      <c r="I75" s="13"/>
      <c r="J75" s="13"/>
      <c r="K75" s="18"/>
      <c r="L75" s="601"/>
      <c r="M75" s="601"/>
      <c r="N75" s="601"/>
      <c r="Q75" s="42"/>
      <c r="R75" s="172"/>
      <c r="S75" s="172"/>
      <c r="T75" s="193"/>
      <c r="U75" s="41"/>
      <c r="V75" s="41"/>
      <c r="W75" s="41"/>
    </row>
    <row r="76" spans="2:65" ht="14.4" outlineLevel="1">
      <c r="B76" s="49" t="s">
        <v>167</v>
      </c>
      <c r="C76" s="197">
        <f>I622</f>
        <v>0</v>
      </c>
      <c r="D76" s="196"/>
      <c r="E76" s="13"/>
      <c r="F76" s="66" t="s">
        <v>168</v>
      </c>
      <c r="G76" s="195">
        <v>0</v>
      </c>
      <c r="H76" s="196"/>
      <c r="I76" s="13"/>
      <c r="J76" s="13"/>
      <c r="K76" s="18"/>
      <c r="L76" s="601"/>
      <c r="M76" s="601"/>
      <c r="N76" s="601"/>
      <c r="Q76" s="42"/>
      <c r="R76" s="199" t="s">
        <v>169</v>
      </c>
      <c r="S76" s="200">
        <v>0.8</v>
      </c>
      <c r="T76" s="201" t="s">
        <v>170</v>
      </c>
    </row>
    <row r="77" spans="2:65" ht="14.4" outlineLevel="1">
      <c r="B77" s="32"/>
      <c r="C77" s="13"/>
      <c r="D77" s="13"/>
      <c r="E77" s="13"/>
      <c r="F77" s="13"/>
      <c r="G77" s="13"/>
      <c r="H77" s="13"/>
      <c r="I77" s="13"/>
      <c r="J77" s="13"/>
      <c r="K77" s="18"/>
      <c r="L77" s="601"/>
      <c r="M77" s="601"/>
      <c r="N77" s="601"/>
      <c r="Q77" s="42" t="s">
        <v>171</v>
      </c>
      <c r="R77" s="202">
        <f>C65-C59-C61</f>
        <v>-45020</v>
      </c>
      <c r="S77" s="203">
        <f>R77*S76</f>
        <v>-36016</v>
      </c>
      <c r="T77" s="204">
        <f>S77*0.03</f>
        <v>-1080.48</v>
      </c>
    </row>
    <row r="78" spans="2:65" ht="15" outlineLevel="1" thickBot="1">
      <c r="B78" s="32"/>
      <c r="C78" s="66" t="s">
        <v>172</v>
      </c>
      <c r="D78" s="195">
        <f>SUM(C72:C76,G72:G76)</f>
        <v>0</v>
      </c>
      <c r="E78" s="66" t="s">
        <v>173</v>
      </c>
      <c r="F78" s="195">
        <f>H65</f>
        <v>1336917</v>
      </c>
      <c r="G78" s="66" t="s">
        <v>174</v>
      </c>
      <c r="H78" s="195">
        <f>D78-F78</f>
        <v>-1336917</v>
      </c>
      <c r="I78" s="13"/>
      <c r="J78" s="13"/>
      <c r="K78" s="18"/>
      <c r="L78" s="601"/>
      <c r="M78" s="601"/>
      <c r="N78" s="601"/>
      <c r="Q78" s="185" t="s">
        <v>175</v>
      </c>
      <c r="R78" s="205">
        <f>C59+C61</f>
        <v>-70482</v>
      </c>
      <c r="S78" s="206">
        <f>R78*S76</f>
        <v>-56385.600000000006</v>
      </c>
      <c r="T78" s="207">
        <f>S78*0.035</f>
        <v>-1973.4960000000003</v>
      </c>
    </row>
    <row r="79" spans="2:65" ht="15" outlineLevel="1" thickBot="1">
      <c r="B79" s="32"/>
      <c r="C79" s="13"/>
      <c r="D79" s="66"/>
      <c r="E79" s="208"/>
      <c r="F79" s="13"/>
      <c r="G79" s="13"/>
      <c r="H79" s="13"/>
      <c r="I79" s="13"/>
      <c r="J79" s="13"/>
      <c r="K79" s="18"/>
      <c r="L79" s="601"/>
      <c r="M79" s="601"/>
      <c r="N79" s="601"/>
      <c r="Q79" s="42" t="s">
        <v>176</v>
      </c>
      <c r="R79" s="209"/>
      <c r="S79" s="210"/>
      <c r="T79" s="211">
        <f>ROUNDUP(T77+T78,0)</f>
        <v>-3054</v>
      </c>
    </row>
    <row r="80" spans="2:65" ht="15.6" thickTop="1" thickBot="1">
      <c r="B80" s="897" t="s">
        <v>177</v>
      </c>
      <c r="C80" s="891"/>
      <c r="D80" s="75"/>
      <c r="E80" s="75"/>
      <c r="F80" s="75"/>
      <c r="G80" s="75"/>
      <c r="H80" s="75"/>
      <c r="I80" s="75"/>
      <c r="J80" s="75"/>
      <c r="K80" s="35"/>
      <c r="L80" s="601"/>
      <c r="M80" s="601"/>
      <c r="N80" s="601"/>
      <c r="Q80" s="84" t="s">
        <v>178</v>
      </c>
      <c r="R80" s="85"/>
      <c r="S80" s="85"/>
      <c r="T80" s="212"/>
      <c r="U80" s="213"/>
      <c r="V80" s="213"/>
      <c r="W80" s="213"/>
      <c r="BC80" s="214" t="s">
        <v>179</v>
      </c>
      <c r="BD80" s="136"/>
      <c r="BE80" s="215" t="s">
        <v>180</v>
      </c>
      <c r="BF80" s="216"/>
      <c r="BG80" s="136"/>
      <c r="BH80" s="136"/>
      <c r="BI80" s="136"/>
      <c r="BJ80" s="136"/>
      <c r="BK80" s="136"/>
      <c r="BL80" s="136"/>
      <c r="BM80" s="137"/>
    </row>
    <row r="81" spans="2:65" ht="15" thickBot="1">
      <c r="B81" s="217"/>
      <c r="C81" s="217"/>
      <c r="D81" s="217"/>
      <c r="E81" s="217"/>
      <c r="F81" s="217"/>
      <c r="G81" s="217"/>
      <c r="H81" s="217"/>
      <c r="I81" s="217"/>
      <c r="J81" s="217"/>
      <c r="K81" s="217"/>
      <c r="BC81" s="88" t="s">
        <v>181</v>
      </c>
      <c r="BD81" s="89" t="s">
        <v>111</v>
      </c>
      <c r="BE81" s="89" t="s">
        <v>182</v>
      </c>
      <c r="BF81" s="89" t="s">
        <v>183</v>
      </c>
      <c r="BG81" s="89" t="s">
        <v>184</v>
      </c>
      <c r="BH81" s="89" t="s">
        <v>185</v>
      </c>
      <c r="BI81" s="89" t="s">
        <v>186</v>
      </c>
      <c r="BJ81" s="89" t="s">
        <v>187</v>
      </c>
      <c r="BK81" s="89" t="s">
        <v>188</v>
      </c>
      <c r="BL81" s="89" t="s">
        <v>189</v>
      </c>
      <c r="BM81" s="104"/>
    </row>
    <row r="82" spans="2:65" ht="16.2" thickBot="1">
      <c r="B82" s="860" t="s">
        <v>190</v>
      </c>
      <c r="C82" s="861"/>
      <c r="D82" s="861"/>
      <c r="E82" s="861"/>
      <c r="F82" s="861"/>
      <c r="G82" s="861"/>
      <c r="H82" s="861"/>
      <c r="I82" s="861"/>
      <c r="J82" s="861"/>
      <c r="K82" s="862"/>
      <c r="M82" s="863"/>
      <c r="N82" s="863"/>
      <c r="O82" s="863"/>
      <c r="P82" s="863"/>
      <c r="Q82" s="863"/>
      <c r="R82" s="863"/>
      <c r="S82" s="863"/>
      <c r="T82" s="864"/>
      <c r="BC82" s="88" t="s">
        <v>191</v>
      </c>
      <c r="BD82" s="218">
        <f>IF($BF$80&gt;0,$BF$80,IF($C$65&gt;0,$C$65,$C$33))</f>
        <v>1000</v>
      </c>
      <c r="BE82" s="219">
        <f t="shared" ref="BE82:BE84" si="13">$C$36</f>
        <v>0.09</v>
      </c>
      <c r="BF82" s="220">
        <f t="shared" ref="BF82:BF84" si="14">$C$38*12</f>
        <v>120</v>
      </c>
      <c r="BG82" s="221">
        <f t="shared" ref="BG82:BG84" si="15">$C$39</f>
        <v>120</v>
      </c>
      <c r="BH82" s="222">
        <f t="shared" ref="BH82:BH84" ca="1" si="16">TODAY()+45</f>
        <v>46170</v>
      </c>
      <c r="BI82" s="222">
        <f t="shared" ref="BI82:BI84" ca="1" si="17">DATE(YEAR(BH82)+BG82/12,MONTH(BH82),DAY(BH82))</f>
        <v>49823</v>
      </c>
      <c r="BJ82" s="220">
        <f t="shared" ref="BJ82:BJ84" ca="1" si="18">BI82-BH82</f>
        <v>3653</v>
      </c>
      <c r="BK82" s="223">
        <f>IFERROR((BE82/360)*30*12,0)</f>
        <v>0.09</v>
      </c>
      <c r="BL82" s="224">
        <f t="shared" ref="BL82:BL84" si="19">IFERROR(PMT(BK82/12,BG82,-BD82),"Incomplete Data")</f>
        <v>12.667577375024948</v>
      </c>
      <c r="BM82" s="104"/>
    </row>
    <row r="83" spans="2:65" ht="16.2" thickBot="1">
      <c r="B83" s="857" t="s">
        <v>192</v>
      </c>
      <c r="C83" s="898"/>
      <c r="D83" s="858"/>
      <c r="E83" s="858"/>
      <c r="F83" s="858"/>
      <c r="G83" s="858"/>
      <c r="H83" s="858"/>
      <c r="I83" s="858"/>
      <c r="J83" s="858"/>
      <c r="K83" s="859"/>
      <c r="M83" s="225"/>
      <c r="N83" s="225"/>
      <c r="O83" s="225"/>
      <c r="P83" s="225"/>
      <c r="Q83" s="225"/>
      <c r="R83" s="225"/>
      <c r="S83" s="225"/>
      <c r="T83" s="226"/>
      <c r="BC83" s="88" t="s">
        <v>60</v>
      </c>
      <c r="BD83" s="218">
        <f>IF($BF$80&gt;0,$BF$80,IF($C$65&gt;0,$C$65,$C$33))</f>
        <v>1000</v>
      </c>
      <c r="BE83" s="219">
        <f t="shared" si="13"/>
        <v>0.09</v>
      </c>
      <c r="BF83" s="220">
        <f t="shared" si="14"/>
        <v>120</v>
      </c>
      <c r="BG83" s="221">
        <f t="shared" si="15"/>
        <v>120</v>
      </c>
      <c r="BH83" s="222">
        <f t="shared" ca="1" si="16"/>
        <v>46170</v>
      </c>
      <c r="BI83" s="222">
        <f t="shared" ca="1" si="17"/>
        <v>49823</v>
      </c>
      <c r="BJ83" s="220">
        <f t="shared" ca="1" si="18"/>
        <v>3653</v>
      </c>
      <c r="BK83" s="223">
        <f ca="1">IFERROR((BE83/(365*BG83/12))*BJ83,0)</f>
        <v>9.0073972602739721E-2</v>
      </c>
      <c r="BL83" s="224">
        <f t="shared" ca="1" si="19"/>
        <v>12.671581095414654</v>
      </c>
      <c r="BM83" s="104"/>
    </row>
    <row r="84" spans="2:65" ht="15" thickBot="1">
      <c r="B84" s="227" t="s">
        <v>193</v>
      </c>
      <c r="C84" s="228" t="s">
        <v>194</v>
      </c>
      <c r="D84" s="21"/>
      <c r="E84" s="21"/>
      <c r="F84" s="21"/>
      <c r="G84" s="21"/>
      <c r="H84" s="21"/>
      <c r="I84" s="21"/>
      <c r="J84" s="21"/>
      <c r="K84" s="229"/>
      <c r="M84" s="225"/>
      <c r="N84" s="225"/>
      <c r="O84" s="225"/>
      <c r="P84" s="225"/>
      <c r="Q84" s="225"/>
      <c r="R84" s="225"/>
      <c r="S84" s="225"/>
      <c r="T84" s="226"/>
      <c r="BC84" s="88" t="s">
        <v>195</v>
      </c>
      <c r="BD84" s="218">
        <f>IF($BF$80&gt;0,$BF$80,IF($C$65&gt;0,$C$65,$C$33))</f>
        <v>1000</v>
      </c>
      <c r="BE84" s="219">
        <f t="shared" si="13"/>
        <v>0.09</v>
      </c>
      <c r="BF84" s="220">
        <f t="shared" si="14"/>
        <v>120</v>
      </c>
      <c r="BG84" s="221">
        <f t="shared" si="15"/>
        <v>120</v>
      </c>
      <c r="BH84" s="222">
        <f t="shared" ca="1" si="16"/>
        <v>46170</v>
      </c>
      <c r="BI84" s="222">
        <f t="shared" ca="1" si="17"/>
        <v>49823</v>
      </c>
      <c r="BJ84" s="220">
        <f t="shared" ca="1" si="18"/>
        <v>3653</v>
      </c>
      <c r="BK84" s="223">
        <f ca="1">IFERROR((BE84/(360*BG84/12))*BJ84,0)</f>
        <v>9.132499999999999E-2</v>
      </c>
      <c r="BL84" s="224">
        <f t="shared" ca="1" si="19"/>
        <v>12.739397163027977</v>
      </c>
      <c r="BM84" s="104"/>
    </row>
    <row r="85" spans="2:65" ht="14.4">
      <c r="B85" s="230" t="s">
        <v>196</v>
      </c>
      <c r="C85" s="66"/>
      <c r="D85" s="231">
        <v>44926</v>
      </c>
      <c r="E85" s="29"/>
      <c r="F85" s="231">
        <f>EOMONTH(D85,F86)</f>
        <v>45291</v>
      </c>
      <c r="G85" s="29"/>
      <c r="H85" s="231">
        <f>EOMONTH(F85,H86)</f>
        <v>45657</v>
      </c>
      <c r="I85" s="29"/>
      <c r="J85" s="231">
        <f>EOMONTH(H85,J86)</f>
        <v>45747</v>
      </c>
      <c r="K85" s="18"/>
      <c r="M85" s="225"/>
      <c r="N85" s="232" t="s">
        <v>197</v>
      </c>
      <c r="O85" s="225"/>
      <c r="P85" s="232" t="s">
        <v>197</v>
      </c>
      <c r="Q85" s="225"/>
      <c r="R85" s="225"/>
      <c r="S85" s="225"/>
      <c r="T85" s="226"/>
      <c r="BC85" s="233"/>
      <c r="BD85" s="218"/>
      <c r="BE85" s="219"/>
      <c r="BF85" s="220"/>
      <c r="BG85" s="220"/>
      <c r="BH85" s="220"/>
      <c r="BI85" s="222"/>
      <c r="BJ85" s="220"/>
      <c r="BK85" s="223"/>
      <c r="BL85" s="224"/>
      <c r="BM85" s="104"/>
    </row>
    <row r="86" spans="2:65" ht="14.4">
      <c r="B86" s="230" t="s">
        <v>198</v>
      </c>
      <c r="C86" s="66"/>
      <c r="D86" s="234">
        <v>12</v>
      </c>
      <c r="E86" s="235"/>
      <c r="F86" s="234">
        <v>12</v>
      </c>
      <c r="G86" s="235"/>
      <c r="H86" s="234">
        <v>12</v>
      </c>
      <c r="I86" s="235"/>
      <c r="J86" s="234">
        <v>3</v>
      </c>
      <c r="K86" s="236"/>
      <c r="M86" s="225"/>
      <c r="N86" s="234" t="s">
        <v>199</v>
      </c>
      <c r="O86" s="225"/>
      <c r="P86" s="234" t="s">
        <v>199</v>
      </c>
      <c r="Q86" s="225"/>
      <c r="R86" s="225"/>
      <c r="S86" s="225"/>
      <c r="T86" s="226"/>
      <c r="BC86" s="233" t="s">
        <v>200</v>
      </c>
      <c r="BD86" s="218"/>
      <c r="BE86" s="219"/>
      <c r="BF86" s="220"/>
      <c r="BG86" s="220"/>
      <c r="BH86" s="220"/>
      <c r="BI86" s="222"/>
      <c r="BJ86" s="220"/>
      <c r="BK86" s="223"/>
      <c r="BL86" s="224"/>
      <c r="BM86" s="104"/>
    </row>
    <row r="87" spans="2:65" ht="14.4">
      <c r="B87" s="230" t="s">
        <v>201</v>
      </c>
      <c r="C87" s="66"/>
      <c r="D87" s="237" t="s">
        <v>202</v>
      </c>
      <c r="E87" s="238"/>
      <c r="F87" s="237" t="s">
        <v>202</v>
      </c>
      <c r="G87" s="238"/>
      <c r="H87" s="237" t="s">
        <v>543</v>
      </c>
      <c r="I87" s="238"/>
      <c r="J87" s="237" t="s">
        <v>203</v>
      </c>
      <c r="K87" s="236"/>
      <c r="M87" s="225"/>
      <c r="N87" s="239" t="s">
        <v>204</v>
      </c>
      <c r="O87" s="225"/>
      <c r="P87" s="239" t="s">
        <v>204</v>
      </c>
      <c r="Q87" s="225"/>
      <c r="R87" s="225"/>
      <c r="S87" s="225"/>
      <c r="T87" s="226"/>
      <c r="BC87" s="88" t="s">
        <v>181</v>
      </c>
      <c r="BD87" s="89" t="s">
        <v>111</v>
      </c>
      <c r="BE87" s="89" t="s">
        <v>182</v>
      </c>
      <c r="BF87" s="89" t="s">
        <v>183</v>
      </c>
      <c r="BG87" s="89" t="s">
        <v>184</v>
      </c>
      <c r="BH87" s="89" t="s">
        <v>185</v>
      </c>
      <c r="BI87" s="89" t="s">
        <v>186</v>
      </c>
      <c r="BJ87" s="89" t="s">
        <v>187</v>
      </c>
      <c r="BK87" s="89" t="s">
        <v>188</v>
      </c>
      <c r="BL87" s="89" t="s">
        <v>189</v>
      </c>
      <c r="BM87" s="104"/>
    </row>
    <row r="88" spans="2:65" ht="14.4">
      <c r="B88" s="230" t="s">
        <v>205</v>
      </c>
      <c r="C88" s="66"/>
      <c r="D88" s="237" t="s">
        <v>531</v>
      </c>
      <c r="E88" s="238"/>
      <c r="F88" s="237" t="s">
        <v>531</v>
      </c>
      <c r="G88" s="238"/>
      <c r="H88" s="237" t="s">
        <v>526</v>
      </c>
      <c r="I88" s="238"/>
      <c r="J88" s="237" t="s">
        <v>526</v>
      </c>
      <c r="K88" s="236"/>
      <c r="M88" s="225"/>
      <c r="N88" s="240">
        <v>1</v>
      </c>
      <c r="O88" s="225"/>
      <c r="P88" s="240">
        <v>2</v>
      </c>
      <c r="Q88" s="225"/>
      <c r="R88" s="225"/>
      <c r="S88" s="225"/>
      <c r="T88" s="226"/>
      <c r="BC88" s="88" t="s">
        <v>191</v>
      </c>
      <c r="BD88" s="218">
        <f>IF($BF$80&gt;0,$BF$80,IF($C$65&gt;0,$C$65,$C$33))</f>
        <v>1000</v>
      </c>
      <c r="BE88" s="219">
        <f t="shared" ref="BE88:BE90" si="20">$C$36+1%</f>
        <v>9.9999999999999992E-2</v>
      </c>
      <c r="BF88" s="220">
        <f t="shared" ref="BF88:BF90" si="21">$C$38*12</f>
        <v>120</v>
      </c>
      <c r="BG88" s="221">
        <f t="shared" ref="BG88:BG90" si="22">$C$39</f>
        <v>120</v>
      </c>
      <c r="BH88" s="222">
        <f t="shared" ref="BH88:BH90" ca="1" si="23">TODAY()+45</f>
        <v>46170</v>
      </c>
      <c r="BI88" s="222">
        <f t="shared" ref="BI88:BI90" ca="1" si="24">DATE(YEAR(BH88)+BG88/12,MONTH(BH88),DAY(BH88))</f>
        <v>49823</v>
      </c>
      <c r="BJ88" s="220">
        <f t="shared" ref="BJ88:BJ90" ca="1" si="25">BI88-BH88</f>
        <v>3653</v>
      </c>
      <c r="BK88" s="223">
        <f>IFERROR((BE88/360)*30*12,0)</f>
        <v>0.1</v>
      </c>
      <c r="BL88" s="224">
        <f t="shared" ref="BL88:BL90" si="26">IFERROR(PMT(BK88/12,BG88,-BD88),"Incomplete Data")</f>
        <v>13.215073688176167</v>
      </c>
      <c r="BM88" s="104"/>
    </row>
    <row r="89" spans="2:65" ht="14.4">
      <c r="B89" s="19" t="s">
        <v>206</v>
      </c>
      <c r="C89" s="20"/>
      <c r="D89" s="241"/>
      <c r="E89" s="241"/>
      <c r="F89" s="241"/>
      <c r="G89" s="241"/>
      <c r="H89" s="241"/>
      <c r="I89" s="241"/>
      <c r="J89" s="242">
        <f>(J90/J86)*12</f>
        <v>0</v>
      </c>
      <c r="K89" s="243"/>
      <c r="M89" s="225"/>
      <c r="N89" s="225"/>
      <c r="O89" s="225"/>
      <c r="P89" s="225"/>
      <c r="Q89" s="225"/>
      <c r="R89" s="225"/>
      <c r="S89" s="225"/>
      <c r="T89" s="226"/>
      <c r="BC89" s="88" t="s">
        <v>60</v>
      </c>
      <c r="BD89" s="218">
        <f>IF($BF$80&gt;0,$BF$80,IF($C$65&gt;0,$C$65,$C$33))</f>
        <v>1000</v>
      </c>
      <c r="BE89" s="219">
        <f t="shared" si="20"/>
        <v>9.9999999999999992E-2</v>
      </c>
      <c r="BF89" s="220">
        <f t="shared" si="21"/>
        <v>120</v>
      </c>
      <c r="BG89" s="221">
        <f t="shared" si="22"/>
        <v>120</v>
      </c>
      <c r="BH89" s="222">
        <f t="shared" ca="1" si="23"/>
        <v>46170</v>
      </c>
      <c r="BI89" s="222">
        <f t="shared" ca="1" si="24"/>
        <v>49823</v>
      </c>
      <c r="BJ89" s="220">
        <f t="shared" ca="1" si="25"/>
        <v>3653</v>
      </c>
      <c r="BK89" s="223">
        <f ca="1">IFERROR((BE89/(365*BG89/12))*BJ89,0)</f>
        <v>0.10008219178082191</v>
      </c>
      <c r="BL89" s="224">
        <f t="shared" ca="1" si="26"/>
        <v>13.219625515816896</v>
      </c>
      <c r="BM89" s="104"/>
    </row>
    <row r="90" spans="2:65" ht="14.4">
      <c r="B90" s="49" t="s">
        <v>207</v>
      </c>
      <c r="C90" s="244" t="s">
        <v>208</v>
      </c>
      <c r="D90" s="245">
        <v>6000</v>
      </c>
      <c r="E90" s="246">
        <f t="shared" ref="E90:E101" si="27">IF(D$99=0,0,D90/D$99)</f>
        <v>0.66666666666666663</v>
      </c>
      <c r="F90" s="245">
        <v>700</v>
      </c>
      <c r="G90" s="246">
        <f t="shared" ref="G90:G101" si="28">IF(F$99=0,0,F90/F$99)</f>
        <v>0.32317636195752542</v>
      </c>
      <c r="H90" s="245">
        <v>700</v>
      </c>
      <c r="I90" s="246">
        <f t="shared" ref="I90:I101" si="29">IF(H$99=0,0,H90/H$99)</f>
        <v>0.611353711790393</v>
      </c>
      <c r="J90" s="245">
        <v>0</v>
      </c>
      <c r="K90" s="247">
        <f t="shared" ref="K90:K101" si="30">IF(J$99=0,0,J90/J$99)</f>
        <v>0</v>
      </c>
      <c r="M90" s="248" t="s">
        <v>209</v>
      </c>
      <c r="N90" s="245">
        <v>10</v>
      </c>
      <c r="O90" s="249">
        <f t="shared" ref="O90:O101" si="31">IF(N$99=0,0,N90/N$99)</f>
        <v>4.7619047619047616E-2</v>
      </c>
      <c r="P90" s="245">
        <v>20</v>
      </c>
      <c r="Q90" s="249">
        <f t="shared" ref="Q90:Q101" si="32">IF(P$99=0,0,P90/P$99)</f>
        <v>3.2258064516129031E-2</v>
      </c>
      <c r="R90" s="225"/>
      <c r="S90" s="225"/>
      <c r="T90" s="226"/>
      <c r="BC90" s="88" t="s">
        <v>195</v>
      </c>
      <c r="BD90" s="218">
        <f>IF($BF$80&gt;0,$BF$80,IF($C$65&gt;0,$C$65,$C$33))</f>
        <v>1000</v>
      </c>
      <c r="BE90" s="219">
        <f t="shared" si="20"/>
        <v>9.9999999999999992E-2</v>
      </c>
      <c r="BF90" s="220">
        <f t="shared" si="21"/>
        <v>120</v>
      </c>
      <c r="BG90" s="221">
        <f t="shared" si="22"/>
        <v>120</v>
      </c>
      <c r="BH90" s="222">
        <f t="shared" ca="1" si="23"/>
        <v>46170</v>
      </c>
      <c r="BI90" s="222">
        <f t="shared" ca="1" si="24"/>
        <v>49823</v>
      </c>
      <c r="BJ90" s="220">
        <f t="shared" ca="1" si="25"/>
        <v>3653</v>
      </c>
      <c r="BK90" s="223">
        <f ca="1">IFERROR((BE90/(360*BG90/12))*BJ90,0)</f>
        <v>0.10147222222222221</v>
      </c>
      <c r="BL90" s="224">
        <f t="shared" ca="1" si="26"/>
        <v>13.296733269574423</v>
      </c>
      <c r="BM90" s="104"/>
    </row>
    <row r="91" spans="2:65" ht="14.4">
      <c r="B91" s="49" t="s">
        <v>210</v>
      </c>
      <c r="C91" s="250" t="s">
        <v>208</v>
      </c>
      <c r="D91" s="251"/>
      <c r="E91" s="246">
        <f t="shared" si="27"/>
        <v>0</v>
      </c>
      <c r="F91" s="251">
        <v>0</v>
      </c>
      <c r="G91" s="246">
        <f t="shared" si="28"/>
        <v>0</v>
      </c>
      <c r="H91" s="251">
        <v>400</v>
      </c>
      <c r="I91" s="246">
        <f t="shared" si="29"/>
        <v>0.34934497816593885</v>
      </c>
      <c r="J91" s="251">
        <v>0</v>
      </c>
      <c r="K91" s="247">
        <f t="shared" si="30"/>
        <v>0</v>
      </c>
      <c r="M91" s="248" t="s">
        <v>211</v>
      </c>
      <c r="N91" s="251">
        <v>30</v>
      </c>
      <c r="O91" s="249">
        <f t="shared" si="31"/>
        <v>0.14285714285714285</v>
      </c>
      <c r="P91" s="251">
        <v>0</v>
      </c>
      <c r="Q91" s="249">
        <f t="shared" si="32"/>
        <v>0</v>
      </c>
      <c r="R91" s="225"/>
      <c r="S91" s="225"/>
      <c r="T91" s="226"/>
      <c r="BC91" s="233"/>
      <c r="BD91" s="218"/>
      <c r="BE91" s="219"/>
      <c r="BF91" s="220"/>
      <c r="BG91" s="220"/>
      <c r="BH91" s="220"/>
      <c r="BI91" s="222"/>
      <c r="BJ91" s="220"/>
      <c r="BK91" s="223"/>
      <c r="BL91" s="224"/>
      <c r="BM91" s="104"/>
    </row>
    <row r="92" spans="2:65" ht="14.4">
      <c r="B92" s="49" t="s">
        <v>212</v>
      </c>
      <c r="C92" s="177" t="s">
        <v>208</v>
      </c>
      <c r="D92" s="252">
        <f>D90-D91</f>
        <v>6000</v>
      </c>
      <c r="E92" s="246">
        <f t="shared" si="27"/>
        <v>0.66666666666666663</v>
      </c>
      <c r="F92" s="252">
        <f>F90-F91</f>
        <v>700</v>
      </c>
      <c r="G92" s="246">
        <f t="shared" si="28"/>
        <v>0.32317636195752542</v>
      </c>
      <c r="H92" s="252">
        <f>H90-H91</f>
        <v>300</v>
      </c>
      <c r="I92" s="246">
        <f t="shared" si="29"/>
        <v>0.26200873362445415</v>
      </c>
      <c r="J92" s="252">
        <f>J90-J91</f>
        <v>0</v>
      </c>
      <c r="K92" s="247">
        <f t="shared" si="30"/>
        <v>0</v>
      </c>
      <c r="M92" s="248" t="s">
        <v>213</v>
      </c>
      <c r="N92" s="252">
        <f>N90-N91</f>
        <v>-20</v>
      </c>
      <c r="O92" s="249">
        <f t="shared" si="31"/>
        <v>-9.5238095238095233E-2</v>
      </c>
      <c r="P92" s="252">
        <f>P90-P91</f>
        <v>20</v>
      </c>
      <c r="Q92" s="249">
        <f t="shared" si="32"/>
        <v>3.2258064516129031E-2</v>
      </c>
      <c r="R92" s="225"/>
      <c r="S92" s="225"/>
      <c r="T92" s="226"/>
      <c r="BC92" s="233" t="s">
        <v>214</v>
      </c>
      <c r="BD92" s="218"/>
      <c r="BE92" s="219"/>
      <c r="BF92" s="220"/>
      <c r="BG92" s="220"/>
      <c r="BH92" s="220"/>
      <c r="BI92" s="222"/>
      <c r="BJ92" s="220"/>
      <c r="BK92" s="223"/>
      <c r="BL92" s="224"/>
      <c r="BM92" s="104"/>
    </row>
    <row r="93" spans="2:65" ht="14.4" outlineLevel="1">
      <c r="B93" s="49" t="s">
        <v>207</v>
      </c>
      <c r="C93" s="253" t="s">
        <v>215</v>
      </c>
      <c r="D93" s="245">
        <v>2000</v>
      </c>
      <c r="E93" s="246">
        <f t="shared" si="27"/>
        <v>0.22222222222222221</v>
      </c>
      <c r="F93" s="245">
        <v>800</v>
      </c>
      <c r="G93" s="246">
        <f t="shared" si="28"/>
        <v>0.36934441366574333</v>
      </c>
      <c r="H93" s="245">
        <v>445</v>
      </c>
      <c r="I93" s="246">
        <f t="shared" si="29"/>
        <v>0.388646288209607</v>
      </c>
      <c r="J93" s="245">
        <v>0</v>
      </c>
      <c r="K93" s="247">
        <f t="shared" si="30"/>
        <v>0</v>
      </c>
      <c r="M93" s="248" t="s">
        <v>216</v>
      </c>
      <c r="N93" s="245">
        <v>0</v>
      </c>
      <c r="O93" s="249">
        <f t="shared" si="31"/>
        <v>0</v>
      </c>
      <c r="P93" s="245">
        <v>0</v>
      </c>
      <c r="Q93" s="249">
        <f t="shared" si="32"/>
        <v>0</v>
      </c>
      <c r="R93" s="225"/>
      <c r="S93" s="225"/>
      <c r="T93" s="226"/>
      <c r="BC93" s="88" t="s">
        <v>181</v>
      </c>
      <c r="BD93" s="89" t="s">
        <v>111</v>
      </c>
      <c r="BE93" s="89" t="s">
        <v>182</v>
      </c>
      <c r="BF93" s="89" t="s">
        <v>183</v>
      </c>
      <c r="BG93" s="89" t="s">
        <v>184</v>
      </c>
      <c r="BH93" s="89" t="s">
        <v>185</v>
      </c>
      <c r="BI93" s="89" t="s">
        <v>186</v>
      </c>
      <c r="BJ93" s="89" t="s">
        <v>187</v>
      </c>
      <c r="BK93" s="89" t="s">
        <v>188</v>
      </c>
      <c r="BL93" s="89" t="s">
        <v>189</v>
      </c>
      <c r="BM93" s="104"/>
    </row>
    <row r="94" spans="2:65" ht="14.4" outlineLevel="1">
      <c r="B94" s="49" t="s">
        <v>210</v>
      </c>
      <c r="C94" s="253" t="s">
        <v>215</v>
      </c>
      <c r="D94" s="251">
        <v>0</v>
      </c>
      <c r="E94" s="246">
        <f t="shared" si="27"/>
        <v>0</v>
      </c>
      <c r="F94" s="251">
        <v>0</v>
      </c>
      <c r="G94" s="246">
        <f t="shared" si="28"/>
        <v>0</v>
      </c>
      <c r="H94" s="251">
        <v>0</v>
      </c>
      <c r="I94" s="246">
        <f t="shared" si="29"/>
        <v>0</v>
      </c>
      <c r="J94" s="251">
        <v>8000</v>
      </c>
      <c r="K94" s="247">
        <f t="shared" si="30"/>
        <v>9.0909090909090917</v>
      </c>
      <c r="M94" s="248" t="s">
        <v>217</v>
      </c>
      <c r="N94" s="251">
        <v>0</v>
      </c>
      <c r="O94" s="249">
        <f t="shared" si="31"/>
        <v>0</v>
      </c>
      <c r="P94" s="251">
        <v>0</v>
      </c>
      <c r="Q94" s="249">
        <f t="shared" si="32"/>
        <v>0</v>
      </c>
      <c r="R94" s="225"/>
      <c r="S94" s="225"/>
      <c r="T94" s="226"/>
      <c r="BC94" s="88" t="s">
        <v>191</v>
      </c>
      <c r="BD94" s="218">
        <f>IF($BF$80&gt;0,$BF$80,IF($C$65&gt;0,$C$65,$C$33))</f>
        <v>1000</v>
      </c>
      <c r="BE94" s="219">
        <f t="shared" ref="BE94:BE96" si="33">$C$36+2%</f>
        <v>0.11</v>
      </c>
      <c r="BF94" s="220">
        <f t="shared" ref="BF94:BF96" si="34">$C$38*12</f>
        <v>120</v>
      </c>
      <c r="BG94" s="221">
        <f t="shared" ref="BG94:BG96" si="35">$C$39</f>
        <v>120</v>
      </c>
      <c r="BH94" s="222">
        <f t="shared" ref="BH94:BH96" ca="1" si="36">TODAY()+45</f>
        <v>46170</v>
      </c>
      <c r="BI94" s="222">
        <f t="shared" ref="BI94:BI96" ca="1" si="37">DATE(YEAR(BH94)+BG94/12,MONTH(BH94),DAY(BH94))</f>
        <v>49823</v>
      </c>
      <c r="BJ94" s="220">
        <f t="shared" ref="BJ94:BJ96" ca="1" si="38">BI94-BH94</f>
        <v>3653</v>
      </c>
      <c r="BK94" s="223">
        <f>IFERROR((BE94/360)*30*12,0)</f>
        <v>0.11</v>
      </c>
      <c r="BL94" s="224">
        <f t="shared" ref="BL94:BL96" si="39">IFERROR(PMT(BK94/12,BG94,-BD94),"Incomplete Data")</f>
        <v>13.775001129192249</v>
      </c>
      <c r="BM94" s="104"/>
    </row>
    <row r="95" spans="2:65" ht="14.4" outlineLevel="1">
      <c r="B95" s="49" t="s">
        <v>212</v>
      </c>
      <c r="C95" s="177" t="s">
        <v>215</v>
      </c>
      <c r="D95" s="252">
        <f>D93-D94</f>
        <v>2000</v>
      </c>
      <c r="E95" s="246">
        <f t="shared" si="27"/>
        <v>0.22222222222222221</v>
      </c>
      <c r="F95" s="252">
        <f>F93-F94</f>
        <v>800</v>
      </c>
      <c r="G95" s="246">
        <f t="shared" si="28"/>
        <v>0.36934441366574333</v>
      </c>
      <c r="H95" s="252">
        <f>H93-H94</f>
        <v>445</v>
      </c>
      <c r="I95" s="246">
        <f t="shared" si="29"/>
        <v>0.388646288209607</v>
      </c>
      <c r="J95" s="252">
        <f>J93-J94</f>
        <v>-8000</v>
      </c>
      <c r="K95" s="247">
        <f t="shared" si="30"/>
        <v>-9.0909090909090917</v>
      </c>
      <c r="M95" s="248" t="s">
        <v>218</v>
      </c>
      <c r="N95" s="252">
        <f>N93-N94</f>
        <v>0</v>
      </c>
      <c r="O95" s="249">
        <f t="shared" si="31"/>
        <v>0</v>
      </c>
      <c r="P95" s="252">
        <f>P93-P94</f>
        <v>0</v>
      </c>
      <c r="Q95" s="249">
        <f t="shared" si="32"/>
        <v>0</v>
      </c>
      <c r="R95" s="225"/>
      <c r="S95" s="225"/>
      <c r="T95" s="226"/>
      <c r="BC95" s="88" t="s">
        <v>60</v>
      </c>
      <c r="BD95" s="218">
        <f>IF($BF$80&gt;0,$BF$80,IF($C$65&gt;0,$C$65,$C$33))</f>
        <v>1000</v>
      </c>
      <c r="BE95" s="219">
        <f t="shared" si="33"/>
        <v>0.11</v>
      </c>
      <c r="BF95" s="220">
        <f t="shared" si="34"/>
        <v>120</v>
      </c>
      <c r="BG95" s="221">
        <f t="shared" si="35"/>
        <v>120</v>
      </c>
      <c r="BH95" s="222">
        <f t="shared" ca="1" si="36"/>
        <v>46170</v>
      </c>
      <c r="BI95" s="222">
        <f t="shared" ca="1" si="37"/>
        <v>49823</v>
      </c>
      <c r="BJ95" s="220">
        <f t="shared" ca="1" si="38"/>
        <v>3653</v>
      </c>
      <c r="BK95" s="223">
        <f ca="1">IFERROR((BE95/(365*BG95/12))*BJ95,0)</f>
        <v>0.11009041095890411</v>
      </c>
      <c r="BL95" s="224">
        <f t="shared" ca="1" si="39"/>
        <v>13.780119393984114</v>
      </c>
      <c r="BM95" s="104"/>
    </row>
    <row r="96" spans="2:65" ht="14.4" outlineLevel="1">
      <c r="B96" s="49" t="s">
        <v>207</v>
      </c>
      <c r="C96" s="253" t="s">
        <v>219</v>
      </c>
      <c r="D96" s="245">
        <v>1000</v>
      </c>
      <c r="E96" s="246">
        <f t="shared" si="27"/>
        <v>0.1111111111111111</v>
      </c>
      <c r="F96" s="245">
        <v>666</v>
      </c>
      <c r="G96" s="246">
        <f t="shared" si="28"/>
        <v>0.30747922437673131</v>
      </c>
      <c r="H96" s="245">
        <v>0</v>
      </c>
      <c r="I96" s="246">
        <f t="shared" si="29"/>
        <v>0</v>
      </c>
      <c r="J96" s="245">
        <v>880</v>
      </c>
      <c r="K96" s="247">
        <f t="shared" si="30"/>
        <v>1</v>
      </c>
      <c r="M96" s="248" t="s">
        <v>220</v>
      </c>
      <c r="N96" s="245">
        <v>200</v>
      </c>
      <c r="O96" s="249">
        <f t="shared" si="31"/>
        <v>0.95238095238095233</v>
      </c>
      <c r="P96" s="245">
        <v>600</v>
      </c>
      <c r="Q96" s="249">
        <f t="shared" si="32"/>
        <v>0.967741935483871</v>
      </c>
      <c r="R96" s="225"/>
      <c r="S96" s="225"/>
      <c r="T96" s="226"/>
      <c r="BC96" s="88" t="s">
        <v>195</v>
      </c>
      <c r="BD96" s="218">
        <f>IF($BF$80&gt;0,$BF$80,IF($C$65&gt;0,$C$65,$C$33))</f>
        <v>1000</v>
      </c>
      <c r="BE96" s="219">
        <f t="shared" si="33"/>
        <v>0.11</v>
      </c>
      <c r="BF96" s="220">
        <f t="shared" si="34"/>
        <v>120</v>
      </c>
      <c r="BG96" s="221">
        <f t="shared" si="35"/>
        <v>120</v>
      </c>
      <c r="BH96" s="222">
        <f t="shared" ca="1" si="36"/>
        <v>46170</v>
      </c>
      <c r="BI96" s="222">
        <f t="shared" ca="1" si="37"/>
        <v>49823</v>
      </c>
      <c r="BJ96" s="220">
        <f t="shared" ca="1" si="38"/>
        <v>3653</v>
      </c>
      <c r="BK96" s="223">
        <f ca="1">IFERROR((BE96/(360*BG96/12))*BJ96,0)</f>
        <v>0.11161944444444444</v>
      </c>
      <c r="BL96" s="224">
        <f t="shared" ca="1" si="39"/>
        <v>13.866830130570097</v>
      </c>
      <c r="BM96" s="104"/>
    </row>
    <row r="97" spans="2:65" ht="14.4" outlineLevel="1">
      <c r="B97" s="49" t="s">
        <v>210</v>
      </c>
      <c r="C97" s="253" t="s">
        <v>219</v>
      </c>
      <c r="D97" s="251">
        <v>50</v>
      </c>
      <c r="E97" s="246">
        <f t="shared" si="27"/>
        <v>5.5555555555555558E-3</v>
      </c>
      <c r="F97" s="251">
        <v>500</v>
      </c>
      <c r="G97" s="246">
        <f t="shared" si="28"/>
        <v>0.23084025854108955</v>
      </c>
      <c r="H97" s="251">
        <v>0</v>
      </c>
      <c r="I97" s="246">
        <f t="shared" si="29"/>
        <v>0</v>
      </c>
      <c r="J97" s="251">
        <v>0</v>
      </c>
      <c r="K97" s="247">
        <f t="shared" si="30"/>
        <v>0</v>
      </c>
      <c r="M97" s="248" t="s">
        <v>221</v>
      </c>
      <c r="N97" s="251">
        <v>0</v>
      </c>
      <c r="O97" s="249">
        <f t="shared" si="31"/>
        <v>0</v>
      </c>
      <c r="P97" s="251">
        <v>0</v>
      </c>
      <c r="Q97" s="249">
        <f t="shared" si="32"/>
        <v>0</v>
      </c>
      <c r="R97" s="225"/>
      <c r="S97" s="225"/>
      <c r="T97" s="226"/>
      <c r="BC97" s="233"/>
      <c r="BD97" s="218"/>
      <c r="BE97" s="219"/>
      <c r="BF97" s="220"/>
      <c r="BG97" s="220"/>
      <c r="BH97" s="220"/>
      <c r="BI97" s="222"/>
      <c r="BJ97" s="220"/>
      <c r="BK97" s="223"/>
      <c r="BL97" s="224"/>
      <c r="BM97" s="104"/>
    </row>
    <row r="98" spans="2:65" ht="14.4" outlineLevel="1">
      <c r="B98" s="49" t="s">
        <v>212</v>
      </c>
      <c r="C98" s="177" t="s">
        <v>219</v>
      </c>
      <c r="D98" s="252">
        <f>D96-D97</f>
        <v>950</v>
      </c>
      <c r="E98" s="246">
        <f t="shared" si="27"/>
        <v>0.10555555555555556</v>
      </c>
      <c r="F98" s="252">
        <f>F96-F97</f>
        <v>166</v>
      </c>
      <c r="G98" s="246">
        <f t="shared" si="28"/>
        <v>7.663896583564174E-2</v>
      </c>
      <c r="H98" s="252">
        <f>H96-H97</f>
        <v>0</v>
      </c>
      <c r="I98" s="246">
        <f t="shared" si="29"/>
        <v>0</v>
      </c>
      <c r="J98" s="252">
        <f>J96-J97</f>
        <v>880</v>
      </c>
      <c r="K98" s="247">
        <f t="shared" si="30"/>
        <v>1</v>
      </c>
      <c r="M98" s="248" t="s">
        <v>222</v>
      </c>
      <c r="N98" s="252">
        <f>N96-N97</f>
        <v>200</v>
      </c>
      <c r="O98" s="249">
        <f t="shared" si="31"/>
        <v>0.95238095238095233</v>
      </c>
      <c r="P98" s="252">
        <f>P96-P97</f>
        <v>600</v>
      </c>
      <c r="Q98" s="249">
        <f t="shared" si="32"/>
        <v>0.967741935483871</v>
      </c>
      <c r="R98" s="225"/>
      <c r="S98" s="225"/>
      <c r="T98" s="226"/>
      <c r="BC98" s="233" t="s">
        <v>223</v>
      </c>
      <c r="BD98" s="218"/>
      <c r="BE98" s="219"/>
      <c r="BF98" s="220"/>
      <c r="BG98" s="220"/>
      <c r="BH98" s="220"/>
      <c r="BI98" s="222"/>
      <c r="BJ98" s="220"/>
      <c r="BK98" s="223"/>
      <c r="BL98" s="224"/>
      <c r="BM98" s="104"/>
    </row>
    <row r="99" spans="2:65" ht="14.4">
      <c r="B99" s="49" t="s">
        <v>224</v>
      </c>
      <c r="C99" s="26" t="s">
        <v>225</v>
      </c>
      <c r="D99" s="254">
        <f t="shared" ref="D99:D100" si="40">D90+D93+D96</f>
        <v>9000</v>
      </c>
      <c r="E99" s="246">
        <f t="shared" si="27"/>
        <v>1</v>
      </c>
      <c r="F99" s="254">
        <f t="shared" ref="F99:F100" si="41">F90+F93+F96</f>
        <v>2166</v>
      </c>
      <c r="G99" s="246">
        <f t="shared" si="28"/>
        <v>1</v>
      </c>
      <c r="H99" s="254">
        <f t="shared" ref="H99:H100" si="42">H90+H93+H96</f>
        <v>1145</v>
      </c>
      <c r="I99" s="246">
        <f t="shared" si="29"/>
        <v>1</v>
      </c>
      <c r="J99" s="254">
        <f t="shared" ref="J99:J100" si="43">J90+J93+J96</f>
        <v>880</v>
      </c>
      <c r="K99" s="247">
        <f t="shared" si="30"/>
        <v>1</v>
      </c>
      <c r="M99" s="255" t="s">
        <v>225</v>
      </c>
      <c r="N99" s="254">
        <f t="shared" ref="N99:N100" si="44">N90+N93+N96</f>
        <v>210</v>
      </c>
      <c r="O99" s="249">
        <f t="shared" si="31"/>
        <v>1</v>
      </c>
      <c r="P99" s="254">
        <f t="shared" ref="P99:P100" si="45">P90+P93+P96</f>
        <v>620</v>
      </c>
      <c r="Q99" s="249">
        <f t="shared" si="32"/>
        <v>1</v>
      </c>
      <c r="R99" s="225"/>
      <c r="S99" s="225"/>
      <c r="T99" s="226"/>
      <c r="BC99" s="88" t="s">
        <v>181</v>
      </c>
      <c r="BD99" s="89" t="s">
        <v>111</v>
      </c>
      <c r="BE99" s="89" t="s">
        <v>182</v>
      </c>
      <c r="BF99" s="89" t="s">
        <v>183</v>
      </c>
      <c r="BG99" s="89" t="s">
        <v>184</v>
      </c>
      <c r="BH99" s="89" t="s">
        <v>185</v>
      </c>
      <c r="BI99" s="89" t="s">
        <v>186</v>
      </c>
      <c r="BJ99" s="89" t="s">
        <v>187</v>
      </c>
      <c r="BK99" s="89" t="s">
        <v>188</v>
      </c>
      <c r="BL99" s="89" t="s">
        <v>189</v>
      </c>
      <c r="BM99" s="104"/>
    </row>
    <row r="100" spans="2:65" ht="14.4">
      <c r="B100" s="32"/>
      <c r="C100" s="26" t="s">
        <v>226</v>
      </c>
      <c r="D100" s="256">
        <f t="shared" si="40"/>
        <v>50</v>
      </c>
      <c r="E100" s="246">
        <f t="shared" si="27"/>
        <v>5.5555555555555558E-3</v>
      </c>
      <c r="F100" s="256">
        <f t="shared" si="41"/>
        <v>500</v>
      </c>
      <c r="G100" s="246">
        <f t="shared" si="28"/>
        <v>0.23084025854108955</v>
      </c>
      <c r="H100" s="256">
        <f t="shared" si="42"/>
        <v>400</v>
      </c>
      <c r="I100" s="246">
        <f t="shared" si="29"/>
        <v>0.34934497816593885</v>
      </c>
      <c r="J100" s="256">
        <f t="shared" si="43"/>
        <v>8000</v>
      </c>
      <c r="K100" s="247">
        <f t="shared" si="30"/>
        <v>9.0909090909090917</v>
      </c>
      <c r="M100" s="255" t="s">
        <v>226</v>
      </c>
      <c r="N100" s="256">
        <f t="shared" si="44"/>
        <v>30</v>
      </c>
      <c r="O100" s="249">
        <f t="shared" si="31"/>
        <v>0.14285714285714285</v>
      </c>
      <c r="P100" s="256">
        <f t="shared" si="45"/>
        <v>0</v>
      </c>
      <c r="Q100" s="249">
        <f t="shared" si="32"/>
        <v>0</v>
      </c>
      <c r="R100" s="225"/>
      <c r="S100" s="225"/>
      <c r="T100" s="226"/>
      <c r="BC100" s="88" t="s">
        <v>191</v>
      </c>
      <c r="BD100" s="218">
        <f>IF($BF$80&gt;0,$BF$80,IF($C$65&gt;0,$C$65,$C$33))</f>
        <v>1000</v>
      </c>
      <c r="BE100" s="219">
        <f t="shared" ref="BE100:BE102" si="46">$C$36+3%</f>
        <v>0.12</v>
      </c>
      <c r="BF100" s="220">
        <f t="shared" ref="BF100:BF102" si="47">$C$38*12</f>
        <v>120</v>
      </c>
      <c r="BG100" s="221">
        <f t="shared" ref="BG100:BG102" si="48">$C$39</f>
        <v>120</v>
      </c>
      <c r="BH100" s="222">
        <f t="shared" ref="BH100:BH102" ca="1" si="49">TODAY()+45</f>
        <v>46170</v>
      </c>
      <c r="BI100" s="222">
        <f t="shared" ref="BI100:BI102" ca="1" si="50">DATE(YEAR(BH100)+BG100/12,MONTH(BH100),DAY(BH100))</f>
        <v>49823</v>
      </c>
      <c r="BJ100" s="220">
        <f t="shared" ref="BJ100:BJ102" ca="1" si="51">BI100-BH100</f>
        <v>3653</v>
      </c>
      <c r="BK100" s="223">
        <f>IFERROR((BE100/360)*30*12,0)</f>
        <v>0.12</v>
      </c>
      <c r="BL100" s="224">
        <f t="shared" ref="BL100:BL102" si="52">IFERROR(PMT(BK100/12,BG100,-BD100),"Incomplete Data")</f>
        <v>14.347094840258736</v>
      </c>
      <c r="BM100" s="104"/>
    </row>
    <row r="101" spans="2:65" ht="14.4">
      <c r="B101" s="32"/>
      <c r="C101" s="26" t="s">
        <v>227</v>
      </c>
      <c r="D101" s="257">
        <f>D99-D100</f>
        <v>8950</v>
      </c>
      <c r="E101" s="246">
        <f t="shared" si="27"/>
        <v>0.99444444444444446</v>
      </c>
      <c r="F101" s="257">
        <f>F99-F100</f>
        <v>1666</v>
      </c>
      <c r="G101" s="246">
        <f t="shared" si="28"/>
        <v>0.76915974145891042</v>
      </c>
      <c r="H101" s="257">
        <f>H99-H100</f>
        <v>745</v>
      </c>
      <c r="I101" s="246">
        <f t="shared" si="29"/>
        <v>0.6506550218340611</v>
      </c>
      <c r="J101" s="257">
        <f>J99-J100</f>
        <v>-7120</v>
      </c>
      <c r="K101" s="247">
        <f t="shared" si="30"/>
        <v>-8.0909090909090917</v>
      </c>
      <c r="M101" s="255" t="s">
        <v>227</v>
      </c>
      <c r="N101" s="257">
        <f>N99-N100</f>
        <v>180</v>
      </c>
      <c r="O101" s="249">
        <f t="shared" si="31"/>
        <v>0.8571428571428571</v>
      </c>
      <c r="P101" s="257">
        <f>P99-P100</f>
        <v>620</v>
      </c>
      <c r="Q101" s="249">
        <f t="shared" si="32"/>
        <v>1</v>
      </c>
      <c r="R101" s="225"/>
      <c r="S101" s="225"/>
      <c r="T101" s="226"/>
      <c r="BC101" s="88" t="s">
        <v>60</v>
      </c>
      <c r="BD101" s="218">
        <f>IF($BF$80&gt;0,$BF$80,IF($C$65&gt;0,$C$65,$C$33))</f>
        <v>1000</v>
      </c>
      <c r="BE101" s="219">
        <f t="shared" si="46"/>
        <v>0.12</v>
      </c>
      <c r="BF101" s="220">
        <f t="shared" si="47"/>
        <v>120</v>
      </c>
      <c r="BG101" s="221">
        <f t="shared" si="48"/>
        <v>120</v>
      </c>
      <c r="BH101" s="222">
        <f t="shared" ca="1" si="49"/>
        <v>46170</v>
      </c>
      <c r="BI101" s="222">
        <f t="shared" ca="1" si="50"/>
        <v>49823</v>
      </c>
      <c r="BJ101" s="220">
        <f t="shared" ca="1" si="51"/>
        <v>3653</v>
      </c>
      <c r="BK101" s="223">
        <f ca="1">IFERROR((BE101/(365*BG101/12))*BJ101,0)</f>
        <v>0.1200986301369863</v>
      </c>
      <c r="BL101" s="224">
        <f t="shared" ca="1" si="52"/>
        <v>14.352797073564259</v>
      </c>
      <c r="BM101" s="104"/>
    </row>
    <row r="102" spans="2:65" ht="14.4">
      <c r="B102" s="32"/>
      <c r="C102" s="26"/>
      <c r="D102" s="258"/>
      <c r="E102" s="259"/>
      <c r="F102" s="258"/>
      <c r="G102" s="259"/>
      <c r="H102" s="258"/>
      <c r="I102" s="259"/>
      <c r="J102" s="258"/>
      <c r="K102" s="260"/>
      <c r="M102" s="255"/>
      <c r="N102" s="261"/>
      <c r="O102" s="249"/>
      <c r="P102" s="261"/>
      <c r="Q102" s="249"/>
      <c r="R102" s="225"/>
      <c r="S102" s="225"/>
      <c r="T102" s="226"/>
      <c r="BC102" s="88" t="s">
        <v>195</v>
      </c>
      <c r="BD102" s="218">
        <f>IF($BF$80&gt;0,$BF$80,IF($C$65&gt;0,$C$65,$C$33))</f>
        <v>1000</v>
      </c>
      <c r="BE102" s="219">
        <f t="shared" si="46"/>
        <v>0.12</v>
      </c>
      <c r="BF102" s="220">
        <f t="shared" si="47"/>
        <v>120</v>
      </c>
      <c r="BG102" s="221">
        <f t="shared" si="48"/>
        <v>120</v>
      </c>
      <c r="BH102" s="222">
        <f t="shared" ca="1" si="49"/>
        <v>46170</v>
      </c>
      <c r="BI102" s="222">
        <f t="shared" ca="1" si="50"/>
        <v>49823</v>
      </c>
      <c r="BJ102" s="220">
        <f t="shared" ca="1" si="51"/>
        <v>3653</v>
      </c>
      <c r="BK102" s="223">
        <f ca="1">IFERROR((BE102/(360*BG102/12))*BJ102,0)</f>
        <v>0.12176666666666668</v>
      </c>
      <c r="BL102" s="224">
        <f t="shared" ca="1" si="52"/>
        <v>14.449408331176393</v>
      </c>
      <c r="BM102" s="104"/>
    </row>
    <row r="103" spans="2:65" ht="14.4">
      <c r="B103" s="32"/>
      <c r="C103" s="26" t="s">
        <v>228</v>
      </c>
      <c r="D103" s="262"/>
      <c r="E103" s="246"/>
      <c r="F103" s="262"/>
      <c r="G103" s="246"/>
      <c r="H103" s="262"/>
      <c r="I103" s="246"/>
      <c r="J103" s="262"/>
      <c r="K103" s="247"/>
      <c r="M103" s="255" t="s">
        <v>228</v>
      </c>
      <c r="N103" s="263"/>
      <c r="O103" s="249"/>
      <c r="P103" s="263"/>
      <c r="Q103" s="249"/>
      <c r="R103" s="225"/>
      <c r="S103" s="225"/>
      <c r="T103" s="226"/>
      <c r="BC103" s="233"/>
      <c r="BD103" s="218"/>
      <c r="BE103" s="219"/>
      <c r="BF103" s="220"/>
      <c r="BG103" s="220"/>
      <c r="BH103" s="220"/>
      <c r="BI103" s="222"/>
      <c r="BJ103" s="220"/>
      <c r="BK103" s="223"/>
      <c r="BL103" s="224"/>
      <c r="BM103" s="104"/>
    </row>
    <row r="104" spans="2:65" ht="14.4">
      <c r="B104" s="32"/>
      <c r="C104" s="66" t="s">
        <v>229</v>
      </c>
      <c r="D104" s="245">
        <v>0</v>
      </c>
      <c r="E104" s="246">
        <f t="shared" ref="E104:E128" si="53">IF(D$99=0,0,D104/D$99)</f>
        <v>0</v>
      </c>
      <c r="F104" s="245">
        <v>0</v>
      </c>
      <c r="G104" s="246">
        <f t="shared" ref="G104:G128" si="54">IF(F$99=0,0,F104/F$99)</f>
        <v>0</v>
      </c>
      <c r="H104" s="245">
        <v>0</v>
      </c>
      <c r="I104" s="246">
        <f t="shared" ref="I104:I128" si="55">IF(H$99=0,0,H104/H$99)</f>
        <v>0</v>
      </c>
      <c r="J104" s="245">
        <v>0</v>
      </c>
      <c r="K104" s="247">
        <f t="shared" ref="K104:K128" si="56">IF(J$99=0,0,J104/J$99)</f>
        <v>0</v>
      </c>
      <c r="M104" s="248" t="s">
        <v>229</v>
      </c>
      <c r="N104" s="245">
        <v>6223</v>
      </c>
      <c r="O104" s="249">
        <f t="shared" ref="O104:O128" si="57">IF(N$99=0,0,N104/N$99)</f>
        <v>29.633333333333333</v>
      </c>
      <c r="P104" s="245">
        <v>0</v>
      </c>
      <c r="Q104" s="249">
        <f t="shared" ref="Q104:Q128" si="58">IF(P$99=0,0,P104/P$99)</f>
        <v>0</v>
      </c>
      <c r="R104" s="225"/>
      <c r="S104" s="225"/>
      <c r="T104" s="226"/>
      <c r="BC104" s="233" t="s">
        <v>230</v>
      </c>
      <c r="BD104" s="218"/>
      <c r="BE104" s="219"/>
      <c r="BF104" s="220"/>
      <c r="BG104" s="220"/>
      <c r="BH104" s="220"/>
      <c r="BI104" s="222"/>
      <c r="BJ104" s="220"/>
      <c r="BK104" s="223"/>
      <c r="BL104" s="224"/>
      <c r="BM104" s="104"/>
    </row>
    <row r="105" spans="2:65" ht="14.4">
      <c r="B105" s="32"/>
      <c r="C105" s="66" t="s">
        <v>231</v>
      </c>
      <c r="D105" s="264">
        <v>800</v>
      </c>
      <c r="E105" s="246">
        <f t="shared" si="53"/>
        <v>8.8888888888888892E-2</v>
      </c>
      <c r="F105" s="264">
        <v>800</v>
      </c>
      <c r="G105" s="246">
        <f t="shared" si="54"/>
        <v>0.36934441366574333</v>
      </c>
      <c r="H105" s="264">
        <v>500</v>
      </c>
      <c r="I105" s="246">
        <f t="shared" si="55"/>
        <v>0.4366812227074236</v>
      </c>
      <c r="J105" s="264">
        <v>5000</v>
      </c>
      <c r="K105" s="247">
        <f t="shared" si="56"/>
        <v>5.6818181818181817</v>
      </c>
      <c r="M105" s="248" t="s">
        <v>231</v>
      </c>
      <c r="N105" s="264">
        <v>1</v>
      </c>
      <c r="O105" s="249">
        <f t="shared" si="57"/>
        <v>4.7619047619047623E-3</v>
      </c>
      <c r="P105" s="264">
        <v>980</v>
      </c>
      <c r="Q105" s="249">
        <f t="shared" si="58"/>
        <v>1.5806451612903225</v>
      </c>
      <c r="R105" s="225"/>
      <c r="S105" s="225"/>
      <c r="T105" s="226"/>
      <c r="BC105" s="88" t="s">
        <v>181</v>
      </c>
      <c r="BD105" s="89" t="s">
        <v>111</v>
      </c>
      <c r="BE105" s="89" t="s">
        <v>182</v>
      </c>
      <c r="BF105" s="89" t="s">
        <v>183</v>
      </c>
      <c r="BG105" s="89" t="s">
        <v>184</v>
      </c>
      <c r="BH105" s="89" t="s">
        <v>185</v>
      </c>
      <c r="BI105" s="89" t="s">
        <v>186</v>
      </c>
      <c r="BJ105" s="89" t="s">
        <v>187</v>
      </c>
      <c r="BK105" s="89" t="s">
        <v>188</v>
      </c>
      <c r="BL105" s="89" t="s">
        <v>189</v>
      </c>
      <c r="BM105" s="104"/>
    </row>
    <row r="106" spans="2:65" ht="14.4">
      <c r="B106" s="32"/>
      <c r="C106" s="66" t="s">
        <v>232</v>
      </c>
      <c r="D106" s="264">
        <v>0</v>
      </c>
      <c r="E106" s="246">
        <f t="shared" si="53"/>
        <v>0</v>
      </c>
      <c r="F106" s="264">
        <v>0</v>
      </c>
      <c r="G106" s="246">
        <f t="shared" si="54"/>
        <v>0</v>
      </c>
      <c r="H106" s="264">
        <v>0</v>
      </c>
      <c r="I106" s="246">
        <f t="shared" si="55"/>
        <v>0</v>
      </c>
      <c r="J106" s="264">
        <v>0</v>
      </c>
      <c r="K106" s="247">
        <f t="shared" si="56"/>
        <v>0</v>
      </c>
      <c r="M106" s="248" t="s">
        <v>232</v>
      </c>
      <c r="N106" s="264">
        <v>233</v>
      </c>
      <c r="O106" s="249">
        <f t="shared" si="57"/>
        <v>1.1095238095238096</v>
      </c>
      <c r="P106" s="264">
        <v>5121</v>
      </c>
      <c r="Q106" s="249">
        <f t="shared" si="58"/>
        <v>8.2596774193548388</v>
      </c>
      <c r="R106" s="225"/>
      <c r="S106" s="225"/>
      <c r="T106" s="226"/>
      <c r="BC106" s="88" t="s">
        <v>191</v>
      </c>
      <c r="BD106" s="218">
        <f>IF($BF$80&gt;0,$BF$80,IF($C$65&gt;0,$C$65,$C$33))</f>
        <v>1000</v>
      </c>
      <c r="BE106" s="219">
        <f t="shared" ref="BE106:BE108" si="59">$C$36+4%</f>
        <v>0.13</v>
      </c>
      <c r="BF106" s="220">
        <f t="shared" ref="BF106:BF108" si="60">$C$38*12</f>
        <v>120</v>
      </c>
      <c r="BG106" s="221">
        <f t="shared" ref="BG106:BG108" si="61">$C$39</f>
        <v>120</v>
      </c>
      <c r="BH106" s="222">
        <f t="shared" ref="BH106:BH108" ca="1" si="62">TODAY()+45</f>
        <v>46170</v>
      </c>
      <c r="BI106" s="222">
        <f t="shared" ref="BI106:BI108" ca="1" si="63">DATE(YEAR(BH106)+BG106/12,MONTH(BH106),DAY(BH106))</f>
        <v>49823</v>
      </c>
      <c r="BJ106" s="220">
        <f t="shared" ref="BJ106:BJ108" ca="1" si="64">BI106-BH106</f>
        <v>3653</v>
      </c>
      <c r="BK106" s="223">
        <f>IFERROR((BE106/360)*30*12,0)</f>
        <v>0.13</v>
      </c>
      <c r="BL106" s="224">
        <f t="shared" ref="BL106:BL108" si="65">IFERROR(PMT(BK106/12,BG106,-BD106),"Incomplete Data")</f>
        <v>14.931073997722484</v>
      </c>
      <c r="BM106" s="104"/>
    </row>
    <row r="107" spans="2:65" ht="14.4">
      <c r="B107" s="32"/>
      <c r="C107" s="66" t="s">
        <v>233</v>
      </c>
      <c r="D107" s="264">
        <v>0</v>
      </c>
      <c r="E107" s="246">
        <f t="shared" si="53"/>
        <v>0</v>
      </c>
      <c r="F107" s="264">
        <v>0</v>
      </c>
      <c r="G107" s="246">
        <f t="shared" si="54"/>
        <v>0</v>
      </c>
      <c r="H107" s="264">
        <v>0</v>
      </c>
      <c r="I107" s="246">
        <f t="shared" si="55"/>
        <v>0</v>
      </c>
      <c r="J107" s="264">
        <v>0</v>
      </c>
      <c r="K107" s="247">
        <f t="shared" si="56"/>
        <v>0</v>
      </c>
      <c r="M107" s="248" t="s">
        <v>233</v>
      </c>
      <c r="N107" s="264">
        <v>1</v>
      </c>
      <c r="O107" s="249">
        <f t="shared" si="57"/>
        <v>4.7619047619047623E-3</v>
      </c>
      <c r="P107" s="264">
        <v>212</v>
      </c>
      <c r="Q107" s="249">
        <f t="shared" si="58"/>
        <v>0.34193548387096773</v>
      </c>
      <c r="R107" s="225"/>
      <c r="S107" s="225"/>
      <c r="T107" s="226"/>
      <c r="BC107" s="88" t="s">
        <v>60</v>
      </c>
      <c r="BD107" s="218">
        <f>IF($BF$80&gt;0,$BF$80,IF($C$65&gt;0,$C$65,$C$33))</f>
        <v>1000</v>
      </c>
      <c r="BE107" s="219">
        <f t="shared" si="59"/>
        <v>0.13</v>
      </c>
      <c r="BF107" s="220">
        <f t="shared" si="60"/>
        <v>120</v>
      </c>
      <c r="BG107" s="221">
        <f t="shared" si="61"/>
        <v>120</v>
      </c>
      <c r="BH107" s="222">
        <f t="shared" ca="1" si="62"/>
        <v>46170</v>
      </c>
      <c r="BI107" s="222">
        <f t="shared" ca="1" si="63"/>
        <v>49823</v>
      </c>
      <c r="BJ107" s="220">
        <f t="shared" ca="1" si="64"/>
        <v>3653</v>
      </c>
      <c r="BK107" s="223">
        <f ca="1">IFERROR((BE107/(365*BG107/12))*BJ107,0)</f>
        <v>0.1301068493150685</v>
      </c>
      <c r="BL107" s="224">
        <f t="shared" ca="1" si="65"/>
        <v>14.937376894994083</v>
      </c>
      <c r="BM107" s="104"/>
    </row>
    <row r="108" spans="2:65" ht="15" thickBot="1">
      <c r="B108" s="32"/>
      <c r="C108" s="66" t="s">
        <v>234</v>
      </c>
      <c r="D108" s="264">
        <v>0</v>
      </c>
      <c r="E108" s="246">
        <f t="shared" si="53"/>
        <v>0</v>
      </c>
      <c r="F108" s="264">
        <v>0</v>
      </c>
      <c r="G108" s="246">
        <f t="shared" si="54"/>
        <v>0</v>
      </c>
      <c r="H108" s="264">
        <v>0</v>
      </c>
      <c r="I108" s="246">
        <f t="shared" si="55"/>
        <v>0</v>
      </c>
      <c r="J108" s="264">
        <v>0</v>
      </c>
      <c r="K108" s="247">
        <f t="shared" si="56"/>
        <v>0</v>
      </c>
      <c r="M108" s="248" t="s">
        <v>234</v>
      </c>
      <c r="N108" s="264">
        <v>20</v>
      </c>
      <c r="O108" s="249">
        <f t="shared" si="57"/>
        <v>9.5238095238095233E-2</v>
      </c>
      <c r="P108" s="264">
        <v>1</v>
      </c>
      <c r="Q108" s="249">
        <f t="shared" si="58"/>
        <v>1.6129032258064516E-3</v>
      </c>
      <c r="R108" s="225"/>
      <c r="S108" s="225"/>
      <c r="T108" s="226"/>
      <c r="BC108" s="265" t="s">
        <v>195</v>
      </c>
      <c r="BD108" s="266">
        <f>IF($BF$80&gt;0,$BF$80,IF($C$65&gt;0,$C$65,$C$33))</f>
        <v>1000</v>
      </c>
      <c r="BE108" s="267">
        <f t="shared" si="59"/>
        <v>0.13</v>
      </c>
      <c r="BF108" s="268">
        <f t="shared" si="60"/>
        <v>120</v>
      </c>
      <c r="BG108" s="269">
        <f t="shared" si="61"/>
        <v>120</v>
      </c>
      <c r="BH108" s="270">
        <f t="shared" ca="1" si="62"/>
        <v>46170</v>
      </c>
      <c r="BI108" s="270">
        <f t="shared" ca="1" si="63"/>
        <v>49823</v>
      </c>
      <c r="BJ108" s="268">
        <f t="shared" ca="1" si="64"/>
        <v>3653</v>
      </c>
      <c r="BK108" s="271">
        <f ca="1">IFERROR((BE108/(360*BG108/12))*BJ108,0)</f>
        <v>0.13191388888888889</v>
      </c>
      <c r="BL108" s="272">
        <f t="shared" ca="1" si="65"/>
        <v>15.044171817490604</v>
      </c>
      <c r="BM108" s="273"/>
    </row>
    <row r="109" spans="2:65" ht="14.4">
      <c r="B109" s="32"/>
      <c r="C109" s="66" t="s">
        <v>235</v>
      </c>
      <c r="D109" s="264">
        <v>0</v>
      </c>
      <c r="E109" s="246">
        <f t="shared" si="53"/>
        <v>0</v>
      </c>
      <c r="F109" s="264">
        <v>0</v>
      </c>
      <c r="G109" s="246">
        <f t="shared" si="54"/>
        <v>0</v>
      </c>
      <c r="H109" s="264">
        <v>0</v>
      </c>
      <c r="I109" s="246">
        <f t="shared" si="55"/>
        <v>0</v>
      </c>
      <c r="J109" s="264">
        <v>0</v>
      </c>
      <c r="K109" s="247">
        <f t="shared" si="56"/>
        <v>0</v>
      </c>
      <c r="M109" s="248" t="s">
        <v>235</v>
      </c>
      <c r="N109" s="264">
        <v>1</v>
      </c>
      <c r="O109" s="249">
        <f t="shared" si="57"/>
        <v>4.7619047619047623E-3</v>
      </c>
      <c r="P109" s="264">
        <v>2</v>
      </c>
      <c r="Q109" s="249">
        <f t="shared" si="58"/>
        <v>3.2258064516129032E-3</v>
      </c>
      <c r="R109" s="225"/>
      <c r="S109" s="225"/>
      <c r="T109" s="226"/>
    </row>
    <row r="110" spans="2:65" ht="14.4">
      <c r="B110" s="32"/>
      <c r="C110" s="66" t="s">
        <v>236</v>
      </c>
      <c r="D110" s="264">
        <v>0</v>
      </c>
      <c r="E110" s="246">
        <f t="shared" si="53"/>
        <v>0</v>
      </c>
      <c r="F110" s="264">
        <v>0</v>
      </c>
      <c r="G110" s="246">
        <f t="shared" si="54"/>
        <v>0</v>
      </c>
      <c r="H110" s="264">
        <v>0</v>
      </c>
      <c r="I110" s="246">
        <f t="shared" si="55"/>
        <v>0</v>
      </c>
      <c r="J110" s="264">
        <v>0</v>
      </c>
      <c r="K110" s="247">
        <f t="shared" si="56"/>
        <v>0</v>
      </c>
      <c r="M110" s="248" t="s">
        <v>236</v>
      </c>
      <c r="N110" s="264">
        <v>233</v>
      </c>
      <c r="O110" s="249">
        <f t="shared" si="57"/>
        <v>1.1095238095238096</v>
      </c>
      <c r="P110" s="264">
        <v>2</v>
      </c>
      <c r="Q110" s="249">
        <f t="shared" si="58"/>
        <v>3.2258064516129032E-3</v>
      </c>
      <c r="R110" s="225"/>
      <c r="S110" s="225"/>
      <c r="T110" s="226"/>
    </row>
    <row r="111" spans="2:65" ht="14.4">
      <c r="B111" s="32"/>
      <c r="C111" s="66" t="s">
        <v>237</v>
      </c>
      <c r="D111" s="264">
        <v>0</v>
      </c>
      <c r="E111" s="246">
        <f t="shared" si="53"/>
        <v>0</v>
      </c>
      <c r="F111" s="264">
        <v>0</v>
      </c>
      <c r="G111" s="246">
        <f t="shared" si="54"/>
        <v>0</v>
      </c>
      <c r="H111" s="264">
        <v>0</v>
      </c>
      <c r="I111" s="246">
        <f t="shared" si="55"/>
        <v>0</v>
      </c>
      <c r="J111" s="264">
        <v>0</v>
      </c>
      <c r="K111" s="247">
        <f t="shared" si="56"/>
        <v>0</v>
      </c>
      <c r="M111" s="248" t="s">
        <v>237</v>
      </c>
      <c r="N111" s="264">
        <v>20</v>
      </c>
      <c r="O111" s="249">
        <f t="shared" si="57"/>
        <v>9.5238095238095233E-2</v>
      </c>
      <c r="P111" s="264">
        <v>3</v>
      </c>
      <c r="Q111" s="249">
        <f t="shared" si="58"/>
        <v>4.8387096774193551E-3</v>
      </c>
      <c r="R111" s="225"/>
      <c r="S111" s="225"/>
      <c r="T111" s="226"/>
    </row>
    <row r="112" spans="2:65" ht="14.4">
      <c r="B112" s="32"/>
      <c r="C112" s="66" t="s">
        <v>238</v>
      </c>
      <c r="D112" s="264">
        <v>0</v>
      </c>
      <c r="E112" s="246">
        <f t="shared" si="53"/>
        <v>0</v>
      </c>
      <c r="F112" s="264">
        <v>0</v>
      </c>
      <c r="G112" s="246">
        <f t="shared" si="54"/>
        <v>0</v>
      </c>
      <c r="H112" s="264">
        <v>0</v>
      </c>
      <c r="I112" s="246">
        <f t="shared" si="55"/>
        <v>0</v>
      </c>
      <c r="J112" s="264">
        <v>0</v>
      </c>
      <c r="K112" s="247">
        <f t="shared" si="56"/>
        <v>0</v>
      </c>
      <c r="M112" s="248" t="s">
        <v>238</v>
      </c>
      <c r="N112" s="264">
        <v>1</v>
      </c>
      <c r="O112" s="249">
        <f t="shared" si="57"/>
        <v>4.7619047619047623E-3</v>
      </c>
      <c r="P112" s="264">
        <v>2</v>
      </c>
      <c r="Q112" s="249">
        <f t="shared" si="58"/>
        <v>3.2258064516129032E-3</v>
      </c>
      <c r="R112" s="225"/>
      <c r="S112" s="225"/>
      <c r="T112" s="226"/>
    </row>
    <row r="113" spans="2:20" ht="14.4" outlineLevel="1">
      <c r="B113" s="32"/>
      <c r="C113" s="66" t="s">
        <v>239</v>
      </c>
      <c r="D113" s="264">
        <v>0</v>
      </c>
      <c r="E113" s="246">
        <f t="shared" si="53"/>
        <v>0</v>
      </c>
      <c r="F113" s="264">
        <v>0</v>
      </c>
      <c r="G113" s="246">
        <f t="shared" si="54"/>
        <v>0</v>
      </c>
      <c r="H113" s="264">
        <v>0</v>
      </c>
      <c r="I113" s="246">
        <f t="shared" si="55"/>
        <v>0</v>
      </c>
      <c r="J113" s="264">
        <v>0</v>
      </c>
      <c r="K113" s="247">
        <f t="shared" si="56"/>
        <v>0</v>
      </c>
      <c r="M113" s="248" t="s">
        <v>239</v>
      </c>
      <c r="N113" s="264">
        <v>1</v>
      </c>
      <c r="O113" s="249">
        <f t="shared" si="57"/>
        <v>4.7619047619047623E-3</v>
      </c>
      <c r="P113" s="264">
        <v>4</v>
      </c>
      <c r="Q113" s="249">
        <f t="shared" si="58"/>
        <v>6.4516129032258064E-3</v>
      </c>
      <c r="R113" s="225"/>
      <c r="S113" s="225"/>
      <c r="T113" s="226"/>
    </row>
    <row r="114" spans="2:20" ht="14.4" outlineLevel="1">
      <c r="B114" s="32"/>
      <c r="C114" s="66" t="s">
        <v>240</v>
      </c>
      <c r="D114" s="264">
        <v>0</v>
      </c>
      <c r="E114" s="246">
        <f t="shared" si="53"/>
        <v>0</v>
      </c>
      <c r="F114" s="264">
        <v>0</v>
      </c>
      <c r="G114" s="246">
        <f t="shared" si="54"/>
        <v>0</v>
      </c>
      <c r="H114" s="264">
        <v>0</v>
      </c>
      <c r="I114" s="246">
        <f t="shared" si="55"/>
        <v>0</v>
      </c>
      <c r="J114" s="264">
        <v>0</v>
      </c>
      <c r="K114" s="247">
        <f t="shared" si="56"/>
        <v>0</v>
      </c>
      <c r="M114" s="248" t="s">
        <v>240</v>
      </c>
      <c r="N114" s="264">
        <v>1</v>
      </c>
      <c r="O114" s="249">
        <f t="shared" si="57"/>
        <v>4.7619047619047623E-3</v>
      </c>
      <c r="P114" s="264">
        <v>5</v>
      </c>
      <c r="Q114" s="249">
        <f t="shared" si="58"/>
        <v>8.0645161290322578E-3</v>
      </c>
      <c r="R114" s="225"/>
      <c r="S114" s="225"/>
      <c r="T114" s="226"/>
    </row>
    <row r="115" spans="2:20" ht="14.4" outlineLevel="1">
      <c r="B115" s="32"/>
      <c r="C115" s="66" t="s">
        <v>241</v>
      </c>
      <c r="D115" s="264">
        <v>0</v>
      </c>
      <c r="E115" s="246">
        <f t="shared" si="53"/>
        <v>0</v>
      </c>
      <c r="F115" s="264">
        <v>0</v>
      </c>
      <c r="G115" s="246">
        <f t="shared" si="54"/>
        <v>0</v>
      </c>
      <c r="H115" s="264">
        <v>0</v>
      </c>
      <c r="I115" s="246">
        <f t="shared" si="55"/>
        <v>0</v>
      </c>
      <c r="J115" s="264">
        <v>0</v>
      </c>
      <c r="K115" s="247">
        <f t="shared" si="56"/>
        <v>0</v>
      </c>
      <c r="M115" s="248" t="s">
        <v>241</v>
      </c>
      <c r="N115" s="264">
        <v>1</v>
      </c>
      <c r="O115" s="249">
        <f t="shared" si="57"/>
        <v>4.7619047619047623E-3</v>
      </c>
      <c r="P115" s="264">
        <v>6</v>
      </c>
      <c r="Q115" s="249">
        <f t="shared" si="58"/>
        <v>9.6774193548387101E-3</v>
      </c>
      <c r="R115" s="225"/>
      <c r="S115" s="225"/>
      <c r="T115" s="226"/>
    </row>
    <row r="116" spans="2:20" ht="14.4" outlineLevel="1">
      <c r="B116" s="32"/>
      <c r="C116" s="66" t="s">
        <v>242</v>
      </c>
      <c r="D116" s="264">
        <v>0</v>
      </c>
      <c r="E116" s="246">
        <f t="shared" si="53"/>
        <v>0</v>
      </c>
      <c r="F116" s="264">
        <v>0</v>
      </c>
      <c r="G116" s="246">
        <f t="shared" si="54"/>
        <v>0</v>
      </c>
      <c r="H116" s="264">
        <v>0</v>
      </c>
      <c r="I116" s="246">
        <f t="shared" si="55"/>
        <v>0</v>
      </c>
      <c r="J116" s="264">
        <v>0</v>
      </c>
      <c r="K116" s="247">
        <f t="shared" si="56"/>
        <v>0</v>
      </c>
      <c r="M116" s="248" t="s">
        <v>242</v>
      </c>
      <c r="N116" s="264">
        <v>1</v>
      </c>
      <c r="O116" s="249">
        <f t="shared" si="57"/>
        <v>4.7619047619047623E-3</v>
      </c>
      <c r="P116" s="264">
        <v>384</v>
      </c>
      <c r="Q116" s="249">
        <f t="shared" si="58"/>
        <v>0.61935483870967745</v>
      </c>
      <c r="R116" s="225"/>
      <c r="S116" s="225"/>
      <c r="T116" s="226"/>
    </row>
    <row r="117" spans="2:20" ht="14.4" outlineLevel="1">
      <c r="B117" s="32"/>
      <c r="C117" s="66" t="s">
        <v>243</v>
      </c>
      <c r="D117" s="264">
        <v>0</v>
      </c>
      <c r="E117" s="246">
        <f t="shared" si="53"/>
        <v>0</v>
      </c>
      <c r="F117" s="264">
        <v>0</v>
      </c>
      <c r="G117" s="246">
        <f t="shared" si="54"/>
        <v>0</v>
      </c>
      <c r="H117" s="264">
        <v>0</v>
      </c>
      <c r="I117" s="246">
        <f t="shared" si="55"/>
        <v>0</v>
      </c>
      <c r="J117" s="264">
        <v>0</v>
      </c>
      <c r="K117" s="247">
        <f t="shared" si="56"/>
        <v>0</v>
      </c>
      <c r="M117" s="248" t="s">
        <v>243</v>
      </c>
      <c r="N117" s="264">
        <v>1</v>
      </c>
      <c r="O117" s="249">
        <f t="shared" si="57"/>
        <v>4.7619047619047623E-3</v>
      </c>
      <c r="P117" s="264">
        <v>0</v>
      </c>
      <c r="Q117" s="249">
        <f t="shared" si="58"/>
        <v>0</v>
      </c>
      <c r="R117" s="225"/>
      <c r="S117" s="225"/>
      <c r="T117" s="226"/>
    </row>
    <row r="118" spans="2:20" ht="14.4" outlineLevel="1">
      <c r="B118" s="32"/>
      <c r="C118" s="66" t="s">
        <v>244</v>
      </c>
      <c r="D118" s="264">
        <v>0</v>
      </c>
      <c r="E118" s="246">
        <f t="shared" si="53"/>
        <v>0</v>
      </c>
      <c r="F118" s="264">
        <v>0</v>
      </c>
      <c r="G118" s="246">
        <f t="shared" si="54"/>
        <v>0</v>
      </c>
      <c r="H118" s="264">
        <v>0</v>
      </c>
      <c r="I118" s="246">
        <f t="shared" si="55"/>
        <v>0</v>
      </c>
      <c r="J118" s="264">
        <v>0</v>
      </c>
      <c r="K118" s="247">
        <f t="shared" si="56"/>
        <v>0</v>
      </c>
      <c r="M118" s="248" t="s">
        <v>244</v>
      </c>
      <c r="N118" s="264">
        <v>1</v>
      </c>
      <c r="O118" s="249">
        <f t="shared" si="57"/>
        <v>4.7619047619047623E-3</v>
      </c>
      <c r="P118" s="264">
        <v>866</v>
      </c>
      <c r="Q118" s="249">
        <f t="shared" si="58"/>
        <v>1.3967741935483871</v>
      </c>
      <c r="R118" s="225"/>
      <c r="S118" s="225"/>
      <c r="T118" s="226"/>
    </row>
    <row r="119" spans="2:20" ht="14.4" outlineLevel="1">
      <c r="B119" s="32"/>
      <c r="C119" s="66" t="s">
        <v>245</v>
      </c>
      <c r="D119" s="264">
        <v>0</v>
      </c>
      <c r="E119" s="246">
        <f t="shared" si="53"/>
        <v>0</v>
      </c>
      <c r="F119" s="264">
        <v>0</v>
      </c>
      <c r="G119" s="246">
        <f t="shared" si="54"/>
        <v>0</v>
      </c>
      <c r="H119" s="264">
        <v>0</v>
      </c>
      <c r="I119" s="246">
        <f t="shared" si="55"/>
        <v>0</v>
      </c>
      <c r="J119" s="264">
        <v>0</v>
      </c>
      <c r="K119" s="247">
        <f t="shared" si="56"/>
        <v>0</v>
      </c>
      <c r="M119" s="248" t="s">
        <v>245</v>
      </c>
      <c r="N119" s="264">
        <v>1</v>
      </c>
      <c r="O119" s="249">
        <f t="shared" si="57"/>
        <v>4.7619047619047623E-3</v>
      </c>
      <c r="P119" s="264">
        <v>7</v>
      </c>
      <c r="Q119" s="249">
        <f t="shared" si="58"/>
        <v>1.1290322580645161E-2</v>
      </c>
      <c r="R119" s="225"/>
      <c r="S119" s="225"/>
      <c r="T119" s="226"/>
    </row>
    <row r="120" spans="2:20" ht="14.4" outlineLevel="1">
      <c r="B120" s="32"/>
      <c r="C120" s="66" t="s">
        <v>246</v>
      </c>
      <c r="D120" s="264">
        <v>0</v>
      </c>
      <c r="E120" s="246">
        <f t="shared" si="53"/>
        <v>0</v>
      </c>
      <c r="F120" s="264">
        <v>0</v>
      </c>
      <c r="G120" s="246">
        <f t="shared" si="54"/>
        <v>0</v>
      </c>
      <c r="H120" s="264">
        <v>0</v>
      </c>
      <c r="I120" s="246">
        <f t="shared" si="55"/>
        <v>0</v>
      </c>
      <c r="J120" s="264">
        <v>0</v>
      </c>
      <c r="K120" s="247">
        <f t="shared" si="56"/>
        <v>0</v>
      </c>
      <c r="M120" s="248" t="s">
        <v>246</v>
      </c>
      <c r="N120" s="264">
        <v>1</v>
      </c>
      <c r="O120" s="249">
        <f t="shared" si="57"/>
        <v>4.7619047619047623E-3</v>
      </c>
      <c r="P120" s="264">
        <v>5</v>
      </c>
      <c r="Q120" s="249">
        <f t="shared" si="58"/>
        <v>8.0645161290322578E-3</v>
      </c>
      <c r="R120" s="225"/>
      <c r="S120" s="225"/>
      <c r="T120" s="226"/>
    </row>
    <row r="121" spans="2:20" ht="14.4" outlineLevel="1">
      <c r="B121" s="32"/>
      <c r="C121" s="66" t="s">
        <v>247</v>
      </c>
      <c r="D121" s="264">
        <v>0</v>
      </c>
      <c r="E121" s="246">
        <f t="shared" si="53"/>
        <v>0</v>
      </c>
      <c r="F121" s="264">
        <v>0</v>
      </c>
      <c r="G121" s="246">
        <f t="shared" si="54"/>
        <v>0</v>
      </c>
      <c r="H121" s="264">
        <v>0</v>
      </c>
      <c r="I121" s="246">
        <f t="shared" si="55"/>
        <v>0</v>
      </c>
      <c r="J121" s="264">
        <v>0</v>
      </c>
      <c r="K121" s="247">
        <f t="shared" si="56"/>
        <v>0</v>
      </c>
      <c r="M121" s="248" t="s">
        <v>247</v>
      </c>
      <c r="N121" s="264">
        <v>1</v>
      </c>
      <c r="O121" s="249">
        <f t="shared" si="57"/>
        <v>4.7619047619047623E-3</v>
      </c>
      <c r="P121" s="264">
        <v>0</v>
      </c>
      <c r="Q121" s="249">
        <f t="shared" si="58"/>
        <v>0</v>
      </c>
      <c r="R121" s="225"/>
      <c r="S121" s="225"/>
      <c r="T121" s="226"/>
    </row>
    <row r="122" spans="2:20" ht="14.4" outlineLevel="1">
      <c r="B122" s="32"/>
      <c r="C122" s="66" t="s">
        <v>248</v>
      </c>
      <c r="D122" s="264">
        <v>0</v>
      </c>
      <c r="E122" s="246">
        <f t="shared" si="53"/>
        <v>0</v>
      </c>
      <c r="F122" s="264">
        <v>0</v>
      </c>
      <c r="G122" s="246">
        <f t="shared" si="54"/>
        <v>0</v>
      </c>
      <c r="H122" s="264">
        <v>0</v>
      </c>
      <c r="I122" s="246">
        <f t="shared" si="55"/>
        <v>0</v>
      </c>
      <c r="J122" s="264">
        <v>0</v>
      </c>
      <c r="K122" s="247">
        <f t="shared" si="56"/>
        <v>0</v>
      </c>
      <c r="M122" s="248" t="s">
        <v>248</v>
      </c>
      <c r="N122" s="264">
        <v>1</v>
      </c>
      <c r="O122" s="249">
        <f t="shared" si="57"/>
        <v>4.7619047619047623E-3</v>
      </c>
      <c r="P122" s="264">
        <v>1</v>
      </c>
      <c r="Q122" s="249">
        <f t="shared" si="58"/>
        <v>1.6129032258064516E-3</v>
      </c>
      <c r="R122" s="225"/>
      <c r="S122" s="225"/>
      <c r="T122" s="226"/>
    </row>
    <row r="123" spans="2:20" ht="14.4" outlineLevel="1">
      <c r="B123" s="32"/>
      <c r="C123" s="274" t="s">
        <v>249</v>
      </c>
      <c r="D123" s="264">
        <v>0</v>
      </c>
      <c r="E123" s="246">
        <f t="shared" si="53"/>
        <v>0</v>
      </c>
      <c r="F123" s="264">
        <v>0</v>
      </c>
      <c r="G123" s="246">
        <f t="shared" si="54"/>
        <v>0</v>
      </c>
      <c r="H123" s="264">
        <v>0</v>
      </c>
      <c r="I123" s="246">
        <f t="shared" si="55"/>
        <v>0</v>
      </c>
      <c r="J123" s="264">
        <v>0</v>
      </c>
      <c r="K123" s="247">
        <f t="shared" si="56"/>
        <v>0</v>
      </c>
      <c r="M123" s="248" t="s">
        <v>249</v>
      </c>
      <c r="N123" s="264">
        <v>1</v>
      </c>
      <c r="O123" s="249">
        <f t="shared" si="57"/>
        <v>4.7619047619047623E-3</v>
      </c>
      <c r="P123" s="264">
        <v>2</v>
      </c>
      <c r="Q123" s="249">
        <f t="shared" si="58"/>
        <v>3.2258064516129032E-3</v>
      </c>
      <c r="R123" s="225"/>
      <c r="S123" s="225"/>
      <c r="T123" s="226"/>
    </row>
    <row r="124" spans="2:20" ht="14.4" outlineLevel="1">
      <c r="B124" s="32"/>
      <c r="C124" s="275" t="s">
        <v>249</v>
      </c>
      <c r="D124" s="264">
        <v>0</v>
      </c>
      <c r="E124" s="246">
        <f t="shared" si="53"/>
        <v>0</v>
      </c>
      <c r="F124" s="264">
        <v>0</v>
      </c>
      <c r="G124" s="246">
        <f t="shared" si="54"/>
        <v>0</v>
      </c>
      <c r="H124" s="264">
        <v>0</v>
      </c>
      <c r="I124" s="246">
        <f t="shared" si="55"/>
        <v>0</v>
      </c>
      <c r="J124" s="264">
        <v>0</v>
      </c>
      <c r="K124" s="247">
        <f t="shared" si="56"/>
        <v>0</v>
      </c>
      <c r="M124" s="248" t="s">
        <v>249</v>
      </c>
      <c r="N124" s="264">
        <v>1</v>
      </c>
      <c r="O124" s="249">
        <f t="shared" si="57"/>
        <v>4.7619047619047623E-3</v>
      </c>
      <c r="P124" s="264">
        <v>0</v>
      </c>
      <c r="Q124" s="249">
        <f t="shared" si="58"/>
        <v>0</v>
      </c>
      <c r="R124" s="225"/>
      <c r="S124" s="225"/>
      <c r="T124" s="226"/>
    </row>
    <row r="125" spans="2:20" ht="14.4" outlineLevel="1">
      <c r="B125" s="32"/>
      <c r="C125" s="275" t="s">
        <v>249</v>
      </c>
      <c r="D125" s="264">
        <v>0</v>
      </c>
      <c r="E125" s="246">
        <f t="shared" si="53"/>
        <v>0</v>
      </c>
      <c r="F125" s="264">
        <v>0</v>
      </c>
      <c r="G125" s="246">
        <f t="shared" si="54"/>
        <v>0</v>
      </c>
      <c r="H125" s="264">
        <v>0</v>
      </c>
      <c r="I125" s="246">
        <f t="shared" si="55"/>
        <v>0</v>
      </c>
      <c r="J125" s="264">
        <v>0</v>
      </c>
      <c r="K125" s="247">
        <f t="shared" si="56"/>
        <v>0</v>
      </c>
      <c r="M125" s="248" t="s">
        <v>249</v>
      </c>
      <c r="N125" s="264">
        <v>1</v>
      </c>
      <c r="O125" s="249">
        <f t="shared" si="57"/>
        <v>4.7619047619047623E-3</v>
      </c>
      <c r="P125" s="264">
        <v>0</v>
      </c>
      <c r="Q125" s="249">
        <f t="shared" si="58"/>
        <v>0</v>
      </c>
      <c r="R125" s="225"/>
      <c r="S125" s="225"/>
      <c r="T125" s="226"/>
    </row>
    <row r="126" spans="2:20" ht="14.4">
      <c r="B126" s="49" t="s">
        <v>224</v>
      </c>
      <c r="C126" s="275" t="s">
        <v>249</v>
      </c>
      <c r="D126" s="264">
        <v>0</v>
      </c>
      <c r="E126" s="246">
        <f t="shared" si="53"/>
        <v>0</v>
      </c>
      <c r="F126" s="264">
        <v>0</v>
      </c>
      <c r="G126" s="246">
        <f t="shared" si="54"/>
        <v>0</v>
      </c>
      <c r="H126" s="264">
        <v>0</v>
      </c>
      <c r="I126" s="246">
        <f t="shared" si="55"/>
        <v>0</v>
      </c>
      <c r="J126" s="264">
        <v>0</v>
      </c>
      <c r="K126" s="247">
        <f t="shared" si="56"/>
        <v>0</v>
      </c>
      <c r="M126" s="248" t="s">
        <v>249</v>
      </c>
      <c r="N126" s="264">
        <v>1</v>
      </c>
      <c r="O126" s="249">
        <f t="shared" si="57"/>
        <v>4.7619047619047623E-3</v>
      </c>
      <c r="P126" s="264">
        <v>0</v>
      </c>
      <c r="Q126" s="249">
        <f t="shared" si="58"/>
        <v>0</v>
      </c>
      <c r="R126" s="225"/>
      <c r="S126" s="225"/>
      <c r="T126" s="226"/>
    </row>
    <row r="127" spans="2:20" ht="14.4">
      <c r="B127" s="32"/>
      <c r="C127" s="276" t="s">
        <v>249</v>
      </c>
      <c r="D127" s="251">
        <v>0</v>
      </c>
      <c r="E127" s="246">
        <f t="shared" si="53"/>
        <v>0</v>
      </c>
      <c r="F127" s="251">
        <v>0</v>
      </c>
      <c r="G127" s="246">
        <f t="shared" si="54"/>
        <v>0</v>
      </c>
      <c r="H127" s="251">
        <v>0</v>
      </c>
      <c r="I127" s="246">
        <f t="shared" si="55"/>
        <v>0</v>
      </c>
      <c r="J127" s="251">
        <v>0</v>
      </c>
      <c r="K127" s="247">
        <f t="shared" si="56"/>
        <v>0</v>
      </c>
      <c r="M127" s="248" t="s">
        <v>249</v>
      </c>
      <c r="N127" s="251">
        <v>0</v>
      </c>
      <c r="O127" s="249">
        <f t="shared" si="57"/>
        <v>0</v>
      </c>
      <c r="P127" s="251">
        <v>0</v>
      </c>
      <c r="Q127" s="249">
        <f t="shared" si="58"/>
        <v>0</v>
      </c>
      <c r="R127" s="225"/>
      <c r="S127" s="225"/>
      <c r="T127" s="226"/>
    </row>
    <row r="128" spans="2:20" ht="14.4">
      <c r="B128" s="32"/>
      <c r="C128" s="26" t="s">
        <v>250</v>
      </c>
      <c r="D128" s="277">
        <f>SUM(D104:D127)</f>
        <v>800</v>
      </c>
      <c r="E128" s="246">
        <f t="shared" si="53"/>
        <v>8.8888888888888892E-2</v>
      </c>
      <c r="F128" s="277">
        <f>SUM(F104:F127)</f>
        <v>800</v>
      </c>
      <c r="G128" s="246">
        <f t="shared" si="54"/>
        <v>0.36934441366574333</v>
      </c>
      <c r="H128" s="277">
        <f>SUM(H104:H127)</f>
        <v>500</v>
      </c>
      <c r="I128" s="246">
        <f t="shared" si="55"/>
        <v>0.4366812227074236</v>
      </c>
      <c r="J128" s="277">
        <f>SUM(J104:J127)</f>
        <v>5000</v>
      </c>
      <c r="K128" s="247">
        <f t="shared" si="56"/>
        <v>5.6818181818181817</v>
      </c>
      <c r="M128" s="255" t="s">
        <v>250</v>
      </c>
      <c r="N128" s="797">
        <f>SUM(N104:N127)</f>
        <v>6747</v>
      </c>
      <c r="O128" s="249">
        <f t="shared" si="57"/>
        <v>32.128571428571426</v>
      </c>
      <c r="P128" s="277">
        <f>SUM(P104:P127)</f>
        <v>7603</v>
      </c>
      <c r="Q128" s="249">
        <f t="shared" si="58"/>
        <v>12.262903225806452</v>
      </c>
      <c r="R128" s="225"/>
      <c r="S128" s="225"/>
      <c r="T128" s="226"/>
    </row>
    <row r="129" spans="2:20" ht="14.4">
      <c r="B129" s="32"/>
      <c r="C129" s="26"/>
      <c r="D129" s="278"/>
      <c r="E129" s="259"/>
      <c r="F129" s="278"/>
      <c r="G129" s="259"/>
      <c r="H129" s="278"/>
      <c r="I129" s="259"/>
      <c r="J129" s="278"/>
      <c r="K129" s="260"/>
      <c r="M129" s="255"/>
      <c r="N129" s="279"/>
      <c r="O129" s="249"/>
      <c r="P129" s="279"/>
      <c r="Q129" s="249"/>
      <c r="R129" s="225"/>
      <c r="S129" s="225"/>
      <c r="T129" s="226"/>
    </row>
    <row r="130" spans="2:20" ht="14.4">
      <c r="B130" s="32"/>
      <c r="C130" s="26" t="s">
        <v>251</v>
      </c>
      <c r="D130" s="277">
        <f>D101-D128</f>
        <v>8150</v>
      </c>
      <c r="E130" s="246">
        <f>IF(D$99=0,0,D130/D$99)</f>
        <v>0.90555555555555556</v>
      </c>
      <c r="F130" s="277">
        <f>F101-F128</f>
        <v>866</v>
      </c>
      <c r="G130" s="246">
        <f>IF(F$99=0,0,F130/F$99)</f>
        <v>0.39981532779316714</v>
      </c>
      <c r="H130" s="277">
        <f>H101-H128</f>
        <v>245</v>
      </c>
      <c r="I130" s="246">
        <f>IF(H$99=0,0,H130/H$99)</f>
        <v>0.21397379912663755</v>
      </c>
      <c r="J130" s="277">
        <f>J101-J128</f>
        <v>-12120</v>
      </c>
      <c r="K130" s="247">
        <f>IF(J$99=0,0,J130/J$99)</f>
        <v>-13.772727272727273</v>
      </c>
      <c r="M130" s="255" t="s">
        <v>251</v>
      </c>
      <c r="N130" s="277">
        <f>N101-N128</f>
        <v>-6567</v>
      </c>
      <c r="O130" s="249">
        <f>IF(N$99=0,0,N130/N$99)</f>
        <v>-31.271428571428572</v>
      </c>
      <c r="P130" s="277">
        <f>P101-P128</f>
        <v>-6983</v>
      </c>
      <c r="Q130" s="249">
        <f>IF(P$99=0,0,P130/P$99)</f>
        <v>-11.262903225806452</v>
      </c>
      <c r="R130" s="225"/>
      <c r="S130" s="225"/>
      <c r="T130" s="226"/>
    </row>
    <row r="131" spans="2:20" ht="14.4">
      <c r="B131" s="32"/>
      <c r="C131" s="26"/>
      <c r="D131" s="280"/>
      <c r="E131" s="259"/>
      <c r="F131" s="280"/>
      <c r="G131" s="259"/>
      <c r="H131" s="280"/>
      <c r="I131" s="259"/>
      <c r="J131" s="280"/>
      <c r="K131" s="260"/>
      <c r="M131" s="255"/>
      <c r="N131" s="281"/>
      <c r="O131" s="249"/>
      <c r="P131" s="281"/>
      <c r="Q131" s="249"/>
      <c r="R131" s="225"/>
      <c r="S131" s="225"/>
      <c r="T131" s="226"/>
    </row>
    <row r="132" spans="2:20" ht="14.4">
      <c r="B132" s="32"/>
      <c r="C132" s="274" t="s">
        <v>252</v>
      </c>
      <c r="D132" s="245">
        <v>5000</v>
      </c>
      <c r="E132" s="246">
        <f t="shared" ref="E132:E136" si="66">IF(D$99=0,0,D132/D$99)</f>
        <v>0.55555555555555558</v>
      </c>
      <c r="F132" s="245">
        <v>6000</v>
      </c>
      <c r="G132" s="246">
        <f t="shared" ref="G132:G136" si="67">IF(F$99=0,0,F132/F$99)</f>
        <v>2.770083102493075</v>
      </c>
      <c r="H132" s="245">
        <v>7700</v>
      </c>
      <c r="I132" s="246">
        <f t="shared" ref="I132:I136" si="68">IF(H$99=0,0,H132/H$99)</f>
        <v>6.7248908296943233</v>
      </c>
      <c r="J132" s="245">
        <v>800</v>
      </c>
      <c r="K132" s="247">
        <f>IF(J$99=0,0,J132/J$99)</f>
        <v>0.90909090909090906</v>
      </c>
      <c r="M132" s="248" t="s">
        <v>253</v>
      </c>
      <c r="N132" s="245">
        <v>510</v>
      </c>
      <c r="O132" s="249">
        <f t="shared" ref="O132:O136" si="69">IF(N$99=0,0,N132/N$99)</f>
        <v>2.4285714285714284</v>
      </c>
      <c r="P132" s="245">
        <v>0</v>
      </c>
      <c r="Q132" s="249">
        <f t="shared" ref="Q132:Q136" si="70">IF(P$99=0,0,P132/P$99)</f>
        <v>0</v>
      </c>
      <c r="R132" s="225"/>
      <c r="S132" s="225"/>
      <c r="T132" s="226"/>
    </row>
    <row r="133" spans="2:20" ht="14.4">
      <c r="B133" s="32"/>
      <c r="C133" s="275" t="s">
        <v>252</v>
      </c>
      <c r="D133" s="264">
        <v>50</v>
      </c>
      <c r="E133" s="246">
        <f t="shared" si="66"/>
        <v>5.5555555555555558E-3</v>
      </c>
      <c r="F133" s="264">
        <v>50</v>
      </c>
      <c r="G133" s="246">
        <f t="shared" si="67"/>
        <v>2.3084025854108958E-2</v>
      </c>
      <c r="H133" s="264">
        <v>900</v>
      </c>
      <c r="I133" s="246">
        <f t="shared" si="68"/>
        <v>0.78602620087336239</v>
      </c>
      <c r="J133" s="264">
        <v>9001</v>
      </c>
      <c r="K133" s="247">
        <f>IF(J$99=0,0,J133/J$99)</f>
        <v>10.228409090909091</v>
      </c>
      <c r="M133" s="248" t="s">
        <v>253</v>
      </c>
      <c r="N133" s="264">
        <v>0</v>
      </c>
      <c r="O133" s="249">
        <f t="shared" si="69"/>
        <v>0</v>
      </c>
      <c r="P133" s="264">
        <v>500</v>
      </c>
      <c r="Q133" s="249">
        <f t="shared" si="70"/>
        <v>0.80645161290322576</v>
      </c>
      <c r="R133" s="225"/>
      <c r="S133" s="225"/>
      <c r="T133" s="226"/>
    </row>
    <row r="134" spans="2:20" ht="14.4">
      <c r="B134" s="32"/>
      <c r="C134" s="275" t="s">
        <v>254</v>
      </c>
      <c r="D134" s="264">
        <v>0</v>
      </c>
      <c r="E134" s="246">
        <f t="shared" si="66"/>
        <v>0</v>
      </c>
      <c r="F134" s="264">
        <v>0</v>
      </c>
      <c r="G134" s="246">
        <f t="shared" si="67"/>
        <v>0</v>
      </c>
      <c r="H134" s="264">
        <v>0</v>
      </c>
      <c r="I134" s="246">
        <f t="shared" si="68"/>
        <v>0</v>
      </c>
      <c r="J134" s="264">
        <v>0</v>
      </c>
      <c r="K134" s="247">
        <f>IF(J$99=0,0,J134/J$99)</f>
        <v>0</v>
      </c>
      <c r="M134" s="248" t="s">
        <v>254</v>
      </c>
      <c r="N134" s="264">
        <v>0</v>
      </c>
      <c r="O134" s="249">
        <f t="shared" si="69"/>
        <v>0</v>
      </c>
      <c r="P134" s="264">
        <v>0</v>
      </c>
      <c r="Q134" s="249">
        <f t="shared" si="70"/>
        <v>0</v>
      </c>
      <c r="R134" s="225"/>
      <c r="S134" s="225"/>
      <c r="T134" s="226"/>
    </row>
    <row r="135" spans="2:20" ht="14.4">
      <c r="B135" s="32"/>
      <c r="C135" s="276" t="s">
        <v>254</v>
      </c>
      <c r="D135" s="251">
        <v>0</v>
      </c>
      <c r="E135" s="246">
        <f t="shared" si="66"/>
        <v>0</v>
      </c>
      <c r="F135" s="251">
        <v>0</v>
      </c>
      <c r="G135" s="246">
        <f t="shared" si="67"/>
        <v>0</v>
      </c>
      <c r="H135" s="251">
        <v>0</v>
      </c>
      <c r="I135" s="246">
        <f t="shared" si="68"/>
        <v>0</v>
      </c>
      <c r="J135" s="251">
        <v>0</v>
      </c>
      <c r="K135" s="247">
        <f>IF(J$99=0,0,J135/J$99)</f>
        <v>0</v>
      </c>
      <c r="M135" s="248" t="s">
        <v>254</v>
      </c>
      <c r="N135" s="251">
        <v>0</v>
      </c>
      <c r="O135" s="249">
        <f t="shared" si="69"/>
        <v>0</v>
      </c>
      <c r="P135" s="251">
        <v>0</v>
      </c>
      <c r="Q135" s="249">
        <f t="shared" si="70"/>
        <v>0</v>
      </c>
      <c r="R135" s="225"/>
      <c r="S135" s="225"/>
      <c r="T135" s="226"/>
    </row>
    <row r="136" spans="2:20" ht="14.4">
      <c r="B136" s="32"/>
      <c r="C136" s="26" t="s">
        <v>255</v>
      </c>
      <c r="D136" s="277">
        <f>SUM(D132:D135)</f>
        <v>5050</v>
      </c>
      <c r="E136" s="246">
        <f t="shared" si="66"/>
        <v>0.56111111111111112</v>
      </c>
      <c r="F136" s="277">
        <f>SUM(F132:F135)</f>
        <v>6050</v>
      </c>
      <c r="G136" s="246">
        <f t="shared" si="67"/>
        <v>2.7931671283471839</v>
      </c>
      <c r="H136" s="277">
        <f>SUM(H132:H135)</f>
        <v>8600</v>
      </c>
      <c r="I136" s="246">
        <f t="shared" si="68"/>
        <v>7.5109170305676853</v>
      </c>
      <c r="J136" s="277">
        <f>SUM(J132:J135)</f>
        <v>9801</v>
      </c>
      <c r="K136" s="247">
        <f>IF(J$99=0,0,J136/J$99)</f>
        <v>11.137499999999999</v>
      </c>
      <c r="M136" s="255" t="s">
        <v>255</v>
      </c>
      <c r="N136" s="277">
        <f>SUM(N132:N135)</f>
        <v>510</v>
      </c>
      <c r="O136" s="249">
        <f t="shared" si="69"/>
        <v>2.4285714285714284</v>
      </c>
      <c r="P136" s="277">
        <f>SUM(P132:P135)</f>
        <v>500</v>
      </c>
      <c r="Q136" s="249">
        <f t="shared" si="70"/>
        <v>0.80645161290322576</v>
      </c>
      <c r="R136" s="225"/>
      <c r="S136" s="225"/>
      <c r="T136" s="226"/>
    </row>
    <row r="137" spans="2:20" ht="14.4">
      <c r="B137" s="32"/>
      <c r="C137" s="26"/>
      <c r="D137" s="278"/>
      <c r="E137" s="259"/>
      <c r="F137" s="278"/>
      <c r="G137" s="259"/>
      <c r="H137" s="278"/>
      <c r="I137" s="259"/>
      <c r="J137" s="278"/>
      <c r="K137" s="260"/>
      <c r="M137" s="255"/>
      <c r="N137" s="279"/>
      <c r="O137" s="249"/>
      <c r="P137" s="279"/>
      <c r="Q137" s="249"/>
      <c r="R137" s="225"/>
      <c r="S137" s="225"/>
      <c r="T137" s="226"/>
    </row>
    <row r="138" spans="2:20" ht="14.4">
      <c r="B138" s="32"/>
      <c r="C138" s="26" t="s">
        <v>256</v>
      </c>
      <c r="D138" s="277">
        <f>D101-D128+D136</f>
        <v>13200</v>
      </c>
      <c r="E138" s="246">
        <f t="shared" ref="E138:E139" si="71">IF(D$99=0,0,D138/D$99)</f>
        <v>1.4666666666666666</v>
      </c>
      <c r="F138" s="277">
        <f>F101-F128+F136</f>
        <v>6916</v>
      </c>
      <c r="G138" s="246">
        <f t="shared" ref="G138:G139" si="72">IF(F$99=0,0,F138/F$99)</f>
        <v>3.192982456140351</v>
      </c>
      <c r="H138" s="277">
        <f>H101-H128+H136</f>
        <v>8845</v>
      </c>
      <c r="I138" s="246">
        <f t="shared" ref="I138:I139" si="73">IF(H$99=0,0,H138/H$99)</f>
        <v>7.7248908296943233</v>
      </c>
      <c r="J138" s="277">
        <f>J101-J128+J136</f>
        <v>-2319</v>
      </c>
      <c r="K138" s="247">
        <f>IF(J$99=0,0,J138/J$99)</f>
        <v>-2.6352272727272728</v>
      </c>
      <c r="M138" s="255" t="s">
        <v>256</v>
      </c>
      <c r="N138" s="277">
        <f>N101-N128+N136</f>
        <v>-6057</v>
      </c>
      <c r="O138" s="249">
        <f t="shared" ref="O138:O139" si="74">IF(N$99=0,0,N138/N$99)</f>
        <v>-28.842857142857142</v>
      </c>
      <c r="P138" s="277">
        <f>P101-P128+P136</f>
        <v>-6483</v>
      </c>
      <c r="Q138" s="249">
        <f t="shared" ref="Q138:Q139" si="75">IF(P$99=0,0,P138/P$99)</f>
        <v>-10.456451612903226</v>
      </c>
      <c r="R138" s="225"/>
      <c r="S138" s="225"/>
      <c r="T138" s="226"/>
    </row>
    <row r="139" spans="2:20" ht="14.4">
      <c r="B139" s="32"/>
      <c r="C139" s="26" t="s">
        <v>257</v>
      </c>
      <c r="D139" s="277">
        <v>1</v>
      </c>
      <c r="E139" s="246">
        <f t="shared" si="71"/>
        <v>1.1111111111111112E-4</v>
      </c>
      <c r="F139" s="277">
        <v>2</v>
      </c>
      <c r="G139" s="246">
        <f t="shared" si="72"/>
        <v>9.2336103416435823E-4</v>
      </c>
      <c r="H139" s="277">
        <v>3</v>
      </c>
      <c r="I139" s="246">
        <f t="shared" si="73"/>
        <v>2.6200873362445414E-3</v>
      </c>
      <c r="J139" s="277">
        <v>6</v>
      </c>
      <c r="K139" s="247">
        <f>IF(J$99=0,0,J139/J$99)</f>
        <v>6.8181818181818179E-3</v>
      </c>
      <c r="M139" s="255" t="s">
        <v>257</v>
      </c>
      <c r="N139" s="277">
        <v>70</v>
      </c>
      <c r="O139" s="249">
        <f t="shared" si="74"/>
        <v>0.33333333333333331</v>
      </c>
      <c r="P139" s="277">
        <v>63</v>
      </c>
      <c r="Q139" s="249">
        <f t="shared" si="75"/>
        <v>0.10161290322580645</v>
      </c>
      <c r="R139" s="225"/>
      <c r="S139" s="225"/>
      <c r="T139" s="226"/>
    </row>
    <row r="140" spans="2:20" ht="14.4">
      <c r="B140" s="32"/>
      <c r="C140" s="282"/>
      <c r="D140" s="283"/>
      <c r="E140" s="246"/>
      <c r="F140" s="283"/>
      <c r="G140" s="246"/>
      <c r="H140" s="283"/>
      <c r="I140" s="246"/>
      <c r="J140" s="283"/>
      <c r="K140" s="247"/>
      <c r="M140" s="284"/>
      <c r="N140" s="285"/>
      <c r="O140" s="249"/>
      <c r="P140" s="285"/>
      <c r="Q140" s="249"/>
      <c r="R140" s="225"/>
      <c r="S140" s="225"/>
      <c r="T140" s="226"/>
    </row>
    <row r="141" spans="2:20" ht="14.4">
      <c r="B141" s="32"/>
      <c r="C141" s="26" t="s">
        <v>258</v>
      </c>
      <c r="D141" s="277">
        <f>D138-D139</f>
        <v>13199</v>
      </c>
      <c r="E141" s="246">
        <f>IF(D$99=0,0,D141/D$99)</f>
        <v>1.4665555555555556</v>
      </c>
      <c r="F141" s="277">
        <f>F138-F139</f>
        <v>6914</v>
      </c>
      <c r="G141" s="246">
        <f>IF(F$99=0,0,F141/F$99)</f>
        <v>3.1920590951061865</v>
      </c>
      <c r="H141" s="277">
        <f>H138-H139</f>
        <v>8842</v>
      </c>
      <c r="I141" s="246">
        <f>IF(H$99=0,0,H141/H$99)</f>
        <v>7.722270742358079</v>
      </c>
      <c r="J141" s="277">
        <f>J138-J139</f>
        <v>-2325</v>
      </c>
      <c r="K141" s="247">
        <f>IF(J$99=0,0,J141/J$99)</f>
        <v>-2.6420454545454546</v>
      </c>
      <c r="M141" s="255" t="s">
        <v>258</v>
      </c>
      <c r="N141" s="277">
        <f>N138-N139</f>
        <v>-6127</v>
      </c>
      <c r="O141" s="249">
        <f>IF(N$99=0,0,N141/N$99)</f>
        <v>-29.176190476190477</v>
      </c>
      <c r="P141" s="277">
        <f>P138-P139</f>
        <v>-6546</v>
      </c>
      <c r="Q141" s="249">
        <f>IF(P$99=0,0,P141/P$99)</f>
        <v>-10.558064516129033</v>
      </c>
      <c r="R141" s="225"/>
      <c r="S141" s="225"/>
      <c r="T141" s="226"/>
    </row>
    <row r="142" spans="2:20" ht="14.4">
      <c r="B142" s="32"/>
      <c r="C142" s="66"/>
      <c r="D142" s="286"/>
      <c r="E142" s="287"/>
      <c r="F142" s="286"/>
      <c r="G142" s="287"/>
      <c r="H142" s="286"/>
      <c r="I142" s="287"/>
      <c r="J142" s="286"/>
      <c r="K142" s="288"/>
      <c r="M142" s="248"/>
      <c r="N142" s="285"/>
      <c r="O142" s="225"/>
      <c r="P142" s="285"/>
      <c r="Q142" s="225"/>
      <c r="R142" s="225"/>
      <c r="S142" s="225"/>
      <c r="T142" s="226"/>
    </row>
    <row r="143" spans="2:20" ht="14.4">
      <c r="B143" s="32"/>
      <c r="C143" s="289" t="s">
        <v>259</v>
      </c>
      <c r="D143" s="13"/>
      <c r="E143" s="13"/>
      <c r="F143" s="13"/>
      <c r="G143" s="13"/>
      <c r="H143" s="13"/>
      <c r="I143" s="13"/>
      <c r="J143" s="13"/>
      <c r="K143" s="18"/>
      <c r="M143" s="290" t="s">
        <v>259</v>
      </c>
      <c r="N143" s="225"/>
      <c r="O143" s="225"/>
      <c r="P143" s="225"/>
      <c r="Q143" s="225"/>
      <c r="R143" s="225"/>
      <c r="S143" s="225"/>
      <c r="T143" s="226"/>
    </row>
    <row r="144" spans="2:20" ht="14.4">
      <c r="B144" s="32"/>
      <c r="C144" s="291" t="s">
        <v>260</v>
      </c>
      <c r="D144" s="292">
        <v>9000</v>
      </c>
      <c r="E144" s="13"/>
      <c r="F144" s="292">
        <v>4562</v>
      </c>
      <c r="G144" s="13"/>
      <c r="H144" s="292">
        <v>461</v>
      </c>
      <c r="I144" s="13"/>
      <c r="J144" s="292">
        <v>621</v>
      </c>
      <c r="K144" s="18"/>
      <c r="M144" s="293" t="s">
        <v>260</v>
      </c>
      <c r="N144" s="292">
        <v>150</v>
      </c>
      <c r="O144" s="225"/>
      <c r="P144" s="292">
        <v>1521</v>
      </c>
      <c r="Q144" s="225"/>
      <c r="R144" s="225"/>
      <c r="S144" s="225"/>
      <c r="T144" s="226"/>
    </row>
    <row r="145" spans="2:20" ht="14.4">
      <c r="B145" s="32"/>
      <c r="C145" s="294" t="s">
        <v>261</v>
      </c>
      <c r="D145" s="292">
        <f>D111</f>
        <v>0</v>
      </c>
      <c r="E145" s="13"/>
      <c r="F145" s="292">
        <f>F111</f>
        <v>0</v>
      </c>
      <c r="G145" s="13"/>
      <c r="H145" s="292">
        <f>H111</f>
        <v>0</v>
      </c>
      <c r="I145" s="13"/>
      <c r="J145" s="292">
        <f>J111</f>
        <v>0</v>
      </c>
      <c r="K145" s="18"/>
      <c r="M145" s="295" t="s">
        <v>261</v>
      </c>
      <c r="N145" s="292">
        <f>N111</f>
        <v>20</v>
      </c>
      <c r="O145" s="225"/>
      <c r="P145" s="292">
        <f>P111</f>
        <v>3</v>
      </c>
      <c r="Q145" s="225"/>
      <c r="R145" s="225"/>
      <c r="S145" s="225"/>
      <c r="T145" s="226"/>
    </row>
    <row r="146" spans="2:20" ht="14.4">
      <c r="B146" s="32"/>
      <c r="C146" s="294" t="s">
        <v>262</v>
      </c>
      <c r="D146" s="292">
        <f>D110</f>
        <v>0</v>
      </c>
      <c r="E146" s="13"/>
      <c r="F146" s="292">
        <f>F110</f>
        <v>0</v>
      </c>
      <c r="G146" s="13"/>
      <c r="H146" s="292">
        <f>H110</f>
        <v>0</v>
      </c>
      <c r="I146" s="13"/>
      <c r="J146" s="292">
        <f>J110</f>
        <v>0</v>
      </c>
      <c r="K146" s="18"/>
      <c r="M146" s="295" t="s">
        <v>262</v>
      </c>
      <c r="N146" s="292">
        <f>N110</f>
        <v>233</v>
      </c>
      <c r="O146" s="225"/>
      <c r="P146" s="292">
        <f>P110</f>
        <v>2</v>
      </c>
      <c r="Q146" s="225"/>
      <c r="R146" s="225"/>
      <c r="S146" s="225"/>
      <c r="T146" s="226"/>
    </row>
    <row r="147" spans="2:20" ht="14.4">
      <c r="B147" s="32"/>
      <c r="C147" s="294" t="s">
        <v>263</v>
      </c>
      <c r="D147" s="292">
        <v>0</v>
      </c>
      <c r="E147" s="13"/>
      <c r="F147" s="292">
        <v>0</v>
      </c>
      <c r="G147" s="13"/>
      <c r="H147" s="292">
        <v>0</v>
      </c>
      <c r="I147" s="13"/>
      <c r="J147" s="292">
        <v>0</v>
      </c>
      <c r="K147" s="18"/>
      <c r="M147" s="295" t="s">
        <v>263</v>
      </c>
      <c r="N147" s="292">
        <f>N108</f>
        <v>20</v>
      </c>
      <c r="O147" s="225"/>
      <c r="P147" s="292">
        <f>P108</f>
        <v>1</v>
      </c>
      <c r="Q147" s="225"/>
      <c r="R147" s="225"/>
      <c r="S147" s="225"/>
      <c r="T147" s="226"/>
    </row>
    <row r="148" spans="2:20" ht="14.4">
      <c r="B148" s="32"/>
      <c r="C148" s="296" t="s">
        <v>264</v>
      </c>
      <c r="D148" s="292">
        <v>45</v>
      </c>
      <c r="E148" s="13"/>
      <c r="F148" s="292">
        <v>46</v>
      </c>
      <c r="G148" s="13"/>
      <c r="H148" s="292">
        <v>10</v>
      </c>
      <c r="I148" s="13"/>
      <c r="J148" s="292">
        <v>11</v>
      </c>
      <c r="K148" s="18"/>
      <c r="M148" s="297" t="s">
        <v>264</v>
      </c>
      <c r="N148" s="292">
        <v>12</v>
      </c>
      <c r="O148" s="225"/>
      <c r="P148" s="292">
        <v>12</v>
      </c>
      <c r="Q148" s="225"/>
      <c r="R148" s="225"/>
      <c r="S148" s="225"/>
      <c r="T148" s="226"/>
    </row>
    <row r="149" spans="2:20" ht="14.4">
      <c r="B149" s="32"/>
      <c r="C149" s="296" t="s">
        <v>264</v>
      </c>
      <c r="D149" s="292">
        <v>21</v>
      </c>
      <c r="E149" s="13"/>
      <c r="F149" s="292">
        <v>21</v>
      </c>
      <c r="G149" s="13"/>
      <c r="H149" s="292">
        <v>22</v>
      </c>
      <c r="I149" s="13"/>
      <c r="J149" s="292">
        <v>23</v>
      </c>
      <c r="K149" s="18"/>
      <c r="M149" s="297" t="s">
        <v>264</v>
      </c>
      <c r="N149" s="292">
        <v>40</v>
      </c>
      <c r="O149" s="225"/>
      <c r="P149" s="292">
        <v>13</v>
      </c>
      <c r="Q149" s="225"/>
      <c r="R149" s="225"/>
      <c r="S149" s="225"/>
      <c r="T149" s="226"/>
    </row>
    <row r="150" spans="2:20" ht="14.4">
      <c r="B150" s="32"/>
      <c r="C150" s="294" t="s">
        <v>265</v>
      </c>
      <c r="D150" s="292">
        <v>0</v>
      </c>
      <c r="E150" s="13"/>
      <c r="F150" s="292">
        <v>0</v>
      </c>
      <c r="G150" s="13"/>
      <c r="H150" s="292">
        <v>0</v>
      </c>
      <c r="I150" s="13"/>
      <c r="J150" s="292">
        <v>0</v>
      </c>
      <c r="K150" s="18"/>
      <c r="M150" s="295" t="s">
        <v>265</v>
      </c>
      <c r="N150" s="292">
        <v>0</v>
      </c>
      <c r="O150" s="225"/>
      <c r="P150" s="292">
        <v>0</v>
      </c>
      <c r="Q150" s="225"/>
      <c r="R150" s="225"/>
      <c r="S150" s="225"/>
      <c r="T150" s="226"/>
    </row>
    <row r="151" spans="2:20" ht="14.4">
      <c r="B151" s="32"/>
      <c r="C151" s="294" t="s">
        <v>266</v>
      </c>
      <c r="D151" s="298">
        <v>900</v>
      </c>
      <c r="E151" s="13"/>
      <c r="F151" s="298">
        <v>1000</v>
      </c>
      <c r="G151" s="13"/>
      <c r="H151" s="298">
        <v>70</v>
      </c>
      <c r="I151" s="13"/>
      <c r="J151" s="298">
        <v>7</v>
      </c>
      <c r="K151" s="18"/>
      <c r="M151" s="295" t="s">
        <v>266</v>
      </c>
      <c r="N151" s="298">
        <f>H151</f>
        <v>70</v>
      </c>
      <c r="O151" s="225"/>
      <c r="P151" s="298">
        <f>H151</f>
        <v>70</v>
      </c>
      <c r="Q151" s="225"/>
      <c r="R151" s="225"/>
      <c r="S151" s="225"/>
      <c r="T151" s="226"/>
    </row>
    <row r="152" spans="2:20" ht="14.4">
      <c r="B152" s="32"/>
      <c r="C152" s="294"/>
      <c r="D152" s="294"/>
      <c r="E152" s="294"/>
      <c r="F152" s="294"/>
      <c r="G152" s="294"/>
      <c r="H152" s="294"/>
      <c r="I152" s="294"/>
      <c r="J152" s="294"/>
      <c r="K152" s="18"/>
      <c r="M152" s="295"/>
      <c r="N152" s="295"/>
      <c r="O152" s="225"/>
      <c r="P152" s="295"/>
      <c r="Q152" s="225"/>
      <c r="R152" s="225"/>
      <c r="S152" s="225"/>
      <c r="T152" s="226"/>
    </row>
    <row r="153" spans="2:20" ht="14.4">
      <c r="B153" s="32"/>
      <c r="C153" s="294" t="s">
        <v>267</v>
      </c>
      <c r="D153" s="299">
        <f>D141+SUM(D144:D151)</f>
        <v>23165</v>
      </c>
      <c r="E153" s="294"/>
      <c r="F153" s="299">
        <f>F141+SUM(F144:F151)</f>
        <v>12543</v>
      </c>
      <c r="G153" s="294"/>
      <c r="H153" s="299">
        <f>H141+SUM(H144:H151)</f>
        <v>9405</v>
      </c>
      <c r="I153" s="294"/>
      <c r="J153" s="299">
        <f>J141+SUM(J144:J151)</f>
        <v>-1663</v>
      </c>
      <c r="K153" s="18"/>
      <c r="M153" s="295" t="s">
        <v>267</v>
      </c>
      <c r="N153" s="299">
        <f>N141+SUM(N144:N151)</f>
        <v>-5582</v>
      </c>
      <c r="O153" s="225"/>
      <c r="P153" s="299">
        <f>P141+SUM(P144:P151)</f>
        <v>-4924</v>
      </c>
      <c r="Q153" s="225"/>
      <c r="R153" s="225"/>
      <c r="S153" s="225"/>
      <c r="T153" s="226"/>
    </row>
    <row r="154" spans="2:20" ht="14.4">
      <c r="B154" s="32"/>
      <c r="C154" s="294"/>
      <c r="D154" s="13"/>
      <c r="E154" s="13"/>
      <c r="F154" s="13"/>
      <c r="G154" s="13"/>
      <c r="H154" s="13"/>
      <c r="I154" s="13"/>
      <c r="J154" s="13"/>
      <c r="K154" s="18"/>
      <c r="M154" s="295"/>
      <c r="N154" s="225"/>
      <c r="O154" s="225"/>
      <c r="P154" s="225"/>
      <c r="Q154" s="225"/>
      <c r="R154" s="225"/>
      <c r="S154" s="225"/>
      <c r="T154" s="226"/>
    </row>
    <row r="155" spans="2:20" ht="14.4">
      <c r="B155" s="32"/>
      <c r="C155" s="66" t="s">
        <v>268</v>
      </c>
      <c r="D155" s="252">
        <v>600</v>
      </c>
      <c r="E155" s="13"/>
      <c r="F155" s="252">
        <v>700</v>
      </c>
      <c r="G155" s="13"/>
      <c r="H155" s="252">
        <v>8000</v>
      </c>
      <c r="I155" s="13"/>
      <c r="J155" s="252">
        <v>600</v>
      </c>
      <c r="K155" s="18"/>
      <c r="M155" s="248" t="s">
        <v>268</v>
      </c>
      <c r="N155" s="252">
        <v>1</v>
      </c>
      <c r="O155" s="225"/>
      <c r="P155" s="252">
        <v>10</v>
      </c>
      <c r="Q155" s="225"/>
      <c r="R155" s="225"/>
      <c r="S155" s="225"/>
      <c r="T155" s="226"/>
    </row>
    <row r="156" spans="2:20" ht="14.4">
      <c r="B156" s="32"/>
      <c r="C156" s="66" t="s">
        <v>269</v>
      </c>
      <c r="D156" s="252">
        <f ca="1">IFERROR(INDEX($BL$82:$BL$84,MATCH($C$37,$BC$82:$BC$84,0))*D$86,0)</f>
        <v>152.05897314497585</v>
      </c>
      <c r="E156" s="13"/>
      <c r="F156" s="252">
        <f ca="1">IFERROR(INDEX($BL$82:$BL$84,MATCH($C$37,$BC$82:$BC$84,0))*F$86,0)</f>
        <v>152.05897314497585</v>
      </c>
      <c r="G156" s="13"/>
      <c r="H156" s="252">
        <f ca="1">IFERROR(INDEX($BL$82:$BL$84,MATCH($C$37,$BC$82:$BC$84,0))*H$86,0)</f>
        <v>152.05897314497585</v>
      </c>
      <c r="I156" s="13"/>
      <c r="J156" s="252">
        <f ca="1">IFERROR(INDEX($BL$82:$BL$84,MATCH($C$37,$BC$82:$BC$84,0))*J$86,0)</f>
        <v>38.014743286243963</v>
      </c>
      <c r="K156" s="18"/>
      <c r="M156" s="248" t="str">
        <f>_xlfn.CONCAT(C31)</f>
        <v>T Bank Loan</v>
      </c>
      <c r="N156" s="252">
        <v>1000</v>
      </c>
      <c r="O156" s="225"/>
      <c r="P156" s="252">
        <v>1000</v>
      </c>
      <c r="Q156" s="225"/>
      <c r="R156" s="225"/>
      <c r="S156" s="225"/>
      <c r="T156" s="226"/>
    </row>
    <row r="157" spans="2:20" ht="16.05" hidden="1" customHeight="1">
      <c r="B157" s="32"/>
      <c r="C157" s="66" t="s">
        <v>270</v>
      </c>
      <c r="D157" s="300"/>
      <c r="E157" s="13"/>
      <c r="F157" s="300"/>
      <c r="G157" s="13"/>
      <c r="H157" s="300"/>
      <c r="I157" s="13"/>
      <c r="J157" s="300"/>
      <c r="K157" s="18"/>
      <c r="M157" s="248" t="s">
        <v>270</v>
      </c>
      <c r="N157" s="300"/>
      <c r="O157" s="225"/>
      <c r="P157" s="300"/>
      <c r="Q157" s="225"/>
      <c r="R157" s="225"/>
      <c r="S157" s="225"/>
      <c r="T157" s="226"/>
    </row>
    <row r="158" spans="2:20" ht="16.05" hidden="1" customHeight="1">
      <c r="B158" s="32"/>
      <c r="C158" s="66" t="s">
        <v>271</v>
      </c>
      <c r="D158" s="300"/>
      <c r="E158" s="13"/>
      <c r="F158" s="300"/>
      <c r="G158" s="13"/>
      <c r="H158" s="300"/>
      <c r="I158" s="13"/>
      <c r="J158" s="300"/>
      <c r="K158" s="18"/>
      <c r="M158" s="248" t="s">
        <v>271</v>
      </c>
      <c r="N158" s="300"/>
      <c r="O158" s="225"/>
      <c r="P158" s="300"/>
      <c r="Q158" s="225"/>
      <c r="R158" s="225"/>
      <c r="S158" s="225"/>
      <c r="T158" s="226"/>
    </row>
    <row r="159" spans="2:20" ht="14.4">
      <c r="B159" s="32"/>
      <c r="C159" s="66" t="s">
        <v>272</v>
      </c>
      <c r="D159" s="252">
        <f>IFERROR(PMT($I$36/12,$I$39,-$I$65),0)*$D$86</f>
        <v>37443.928045799286</v>
      </c>
      <c r="E159" s="13"/>
      <c r="F159" s="252">
        <f>IFERROR(PMT($I$36/12,$I$39,-$I$65),0)*$F$86</f>
        <v>37443.928045799286</v>
      </c>
      <c r="G159" s="13"/>
      <c r="H159" s="252">
        <f>IFERROR(PMT($I$36/12,$I$39,-$I$65),0)*$H$86</f>
        <v>37443.928045799286</v>
      </c>
      <c r="I159" s="13"/>
      <c r="J159" s="252">
        <f>IFERROR(PMT($I$36/12,$I$39,-$I$65),0)*$J$86</f>
        <v>9360.9820114498216</v>
      </c>
      <c r="K159" s="18"/>
      <c r="M159" s="248" t="str">
        <f>I31</f>
        <v>Seller Note</v>
      </c>
      <c r="N159" s="252">
        <v>6000</v>
      </c>
      <c r="O159" s="225"/>
      <c r="P159" s="252">
        <v>9000</v>
      </c>
      <c r="Q159" s="225"/>
      <c r="R159" s="225"/>
      <c r="S159" s="225"/>
      <c r="T159" s="226"/>
    </row>
    <row r="160" spans="2:20" ht="14.4">
      <c r="B160" s="32"/>
      <c r="C160" s="66" t="s">
        <v>273</v>
      </c>
      <c r="D160" s="252">
        <v>100</v>
      </c>
      <c r="E160" s="13"/>
      <c r="F160" s="252">
        <v>200</v>
      </c>
      <c r="G160" s="13"/>
      <c r="H160" s="252">
        <v>1400</v>
      </c>
      <c r="I160" s="13"/>
      <c r="J160" s="252">
        <v>3000</v>
      </c>
      <c r="K160" s="18"/>
      <c r="M160" s="248" t="str">
        <f>J31</f>
        <v>3rd Party</v>
      </c>
      <c r="N160" s="252">
        <v>15000</v>
      </c>
      <c r="O160" s="225"/>
      <c r="P160" s="252">
        <v>6000</v>
      </c>
      <c r="Q160" s="225"/>
      <c r="R160" s="225"/>
      <c r="S160" s="225"/>
      <c r="T160" s="226"/>
    </row>
    <row r="161" spans="2:20" ht="14.4">
      <c r="B161" s="32"/>
      <c r="C161" s="66" t="s">
        <v>274</v>
      </c>
      <c r="D161" s="252">
        <f ca="1">SUM(D155:D160)</f>
        <v>38295.987018944259</v>
      </c>
      <c r="E161" s="13"/>
      <c r="F161" s="252">
        <f ca="1">SUM(F155:F160)</f>
        <v>38495.987018944259</v>
      </c>
      <c r="G161" s="13"/>
      <c r="H161" s="252">
        <f ca="1">SUM(H155:H160)</f>
        <v>46995.987018944259</v>
      </c>
      <c r="I161" s="13"/>
      <c r="J161" s="252">
        <f ca="1">SUM(J155:J160)</f>
        <v>12998.996754736065</v>
      </c>
      <c r="K161" s="18"/>
      <c r="M161" s="248" t="s">
        <v>274</v>
      </c>
      <c r="N161" s="252">
        <f>SUM(N155:N160)</f>
        <v>22001</v>
      </c>
      <c r="O161" s="225"/>
      <c r="P161" s="252">
        <f>SUM(P155:P160)</f>
        <v>16010</v>
      </c>
      <c r="Q161" s="225"/>
      <c r="R161" s="225"/>
      <c r="S161" s="225"/>
      <c r="T161" s="226"/>
    </row>
    <row r="162" spans="2:20" ht="14.4">
      <c r="B162" s="32"/>
      <c r="C162" s="13"/>
      <c r="D162" s="13"/>
      <c r="E162" s="13"/>
      <c r="F162" s="13"/>
      <c r="G162" s="13"/>
      <c r="H162" s="13"/>
      <c r="I162" s="13"/>
      <c r="J162" s="13"/>
      <c r="K162" s="18"/>
      <c r="M162" s="225"/>
      <c r="N162" s="225"/>
      <c r="O162" s="225"/>
      <c r="P162" s="225"/>
      <c r="Q162" s="225"/>
      <c r="R162" s="225"/>
      <c r="S162" s="225"/>
      <c r="T162" s="226"/>
    </row>
    <row r="163" spans="2:20" ht="14.4">
      <c r="B163" s="32"/>
      <c r="C163" s="26" t="s">
        <v>275</v>
      </c>
      <c r="D163" s="301">
        <f ca="1">IFERROR(D153/D161,0)</f>
        <v>0.60489366649672038</v>
      </c>
      <c r="E163" s="13"/>
      <c r="F163" s="301">
        <f ca="1">IFERROR(F153/F161,0)</f>
        <v>0.32582616972068973</v>
      </c>
      <c r="G163" s="13"/>
      <c r="H163" s="301">
        <f ca="1">IFERROR(H153/H161,0)</f>
        <v>0.20012347003604392</v>
      </c>
      <c r="I163" s="13"/>
      <c r="J163" s="301">
        <f ca="1">IFERROR(J153/J161,0)</f>
        <v>-0.12793294985584955</v>
      </c>
      <c r="K163" s="18"/>
      <c r="M163" s="255" t="s">
        <v>275</v>
      </c>
      <c r="N163" s="301">
        <f>IFERROR(N153/N161,0)</f>
        <v>-0.25371574019362758</v>
      </c>
      <c r="O163" s="225"/>
      <c r="P163" s="301">
        <f>IFERROR(P153/P161,0)</f>
        <v>-0.3075577763897564</v>
      </c>
      <c r="Q163" s="225"/>
      <c r="R163" s="225"/>
      <c r="S163" s="225"/>
      <c r="T163" s="226"/>
    </row>
    <row r="164" spans="2:20" ht="14.4">
      <c r="B164" s="32"/>
      <c r="C164" s="66" t="s">
        <v>276</v>
      </c>
      <c r="D164" s="301">
        <f ca="1">IFERROR(D$153/(D$155+INDEX($BL$88:$BL$90,MATCH($C$37,$BC$88:$BC$90,0))*D$86+D$159+D$160),0)</f>
        <v>0.60478980652450409</v>
      </c>
      <c r="E164" s="13"/>
      <c r="F164" s="301">
        <f ca="1">IFERROR(F$153/(F$155+INDEX($BL$88:$BL$90,MATCH($C$37,$BC$88:$BC$90,0))*F$86+F$159+F$160),0)</f>
        <v>0.32577051611286839</v>
      </c>
      <c r="G164" s="13"/>
      <c r="H164" s="301">
        <f ca="1">IFERROR(H$153/(H$155+INDEX($BL$88:$BL$90,MATCH($C$37,$BC$88:$BC$90,0))*H$86+H$159+H$160),0)</f>
        <v>0.20009546903962414</v>
      </c>
      <c r="I164" s="13"/>
      <c r="J164" s="301">
        <f ca="1">IFERROR(J$153/(J$155+INDEX($BL$88:$BL$90,MATCH($C$37,$BC$88:$BC$90,0))*J$86+J$159+J$160),0)</f>
        <v>-0.12791677074438307</v>
      </c>
      <c r="K164" s="18"/>
      <c r="M164" s="225"/>
      <c r="N164" s="302"/>
      <c r="O164" s="225"/>
      <c r="P164" s="225"/>
      <c r="Q164" s="225"/>
      <c r="R164" s="225"/>
      <c r="S164" s="225"/>
      <c r="T164" s="226"/>
    </row>
    <row r="165" spans="2:20" ht="14.4">
      <c r="B165" s="32"/>
      <c r="C165" s="66" t="s">
        <v>277</v>
      </c>
      <c r="D165" s="301">
        <f ca="1">IFERROR(D$153/(D$155+INDEX($BL$94:$BL$96,MATCH($C$37,$BC$94:$BC$96,0))*D$86+D$159+D$160),0)</f>
        <v>0.60468362413728172</v>
      </c>
      <c r="E165" s="13"/>
      <c r="F165" s="301">
        <f ca="1">IFERROR(F$153/(F$155+INDEX($BL$94:$BL$96,MATCH($C$37,$BC$94:$BC$96,0))*F$86+F$159+F$160),0)</f>
        <v>0.32571361793091552</v>
      </c>
      <c r="G165" s="13"/>
      <c r="H165" s="301">
        <f ca="1">IFERROR(H$153/(H$155+INDEX($BL$94:$BL$96,MATCH($C$37,$BC$94:$BC$96,0))*H$86+H$159+H$160),0)</f>
        <v>0.20006684007202483</v>
      </c>
      <c r="I165" s="13"/>
      <c r="J165" s="301">
        <f ca="1">IFERROR(J$153/(J$155+INDEX($BL$94:$BL$96,MATCH($C$37,$BC$94:$BC$96,0))*J$86+J$159+J$160),0)</f>
        <v>-0.12790022833798545</v>
      </c>
      <c r="K165" s="18"/>
      <c r="M165" s="225"/>
      <c r="N165" s="303"/>
      <c r="O165" s="225"/>
      <c r="P165" s="225"/>
      <c r="Q165" s="225"/>
      <c r="R165" s="225"/>
      <c r="S165" s="225"/>
      <c r="T165" s="226"/>
    </row>
    <row r="166" spans="2:20" ht="14.4">
      <c r="B166" s="32"/>
      <c r="C166" s="66" t="s">
        <v>278</v>
      </c>
      <c r="D166" s="301">
        <f ca="1">IFERROR(D$153/(D$155+INDEX($BL$100:$BL$102,MATCH($C$37,$BC$100:$BC$102,0))*D$86+D$159+D$160),0)</f>
        <v>0.60457517210027356</v>
      </c>
      <c r="E166" s="13"/>
      <c r="F166" s="301">
        <f ca="1">IFERROR(F$153/(F$155+INDEX($BL$100:$BL$102,MATCH($C$37,$BC$100:$BC$102,0))*F$86+F$159+F$160),0)</f>
        <v>0.3256555034425167</v>
      </c>
      <c r="G166" s="13"/>
      <c r="H166" s="301">
        <f ca="1">IFERROR(H$153/(H$155+INDEX($BL$100:$BL$102,MATCH($C$37,$BC$100:$BC$102,0))*H$86+H$159+H$160),0)</f>
        <v>0.20003759723897127</v>
      </c>
      <c r="I166" s="13"/>
      <c r="J166" s="301">
        <f ca="1">IFERROR(J$153/(J$155+INDEX($BL$100:$BL$102,MATCH($C$37,$BC$100:$BC$102,0))*J$86+J$159+J$160),0)</f>
        <v>-0.12788333075760713</v>
      </c>
      <c r="K166" s="18"/>
      <c r="M166" s="225"/>
      <c r="N166" s="303"/>
      <c r="O166" s="225"/>
      <c r="P166" s="225"/>
      <c r="Q166" s="225"/>
      <c r="R166" s="225"/>
      <c r="S166" s="225"/>
      <c r="T166" s="226"/>
    </row>
    <row r="167" spans="2:20" ht="15" thickBot="1">
      <c r="B167" s="74"/>
      <c r="C167" s="76"/>
      <c r="D167" s="304"/>
      <c r="E167" s="75"/>
      <c r="F167" s="304"/>
      <c r="G167" s="75"/>
      <c r="H167" s="304"/>
      <c r="I167" s="75"/>
      <c r="J167" s="304"/>
      <c r="K167" s="35"/>
      <c r="M167" s="305"/>
      <c r="N167" s="305"/>
      <c r="O167" s="305"/>
      <c r="P167" s="305"/>
      <c r="Q167" s="305"/>
      <c r="R167" s="305"/>
      <c r="S167" s="305"/>
      <c r="T167" s="306"/>
    </row>
    <row r="168" spans="2:20" ht="16.2" thickBot="1">
      <c r="B168" s="184"/>
      <c r="C168" s="307"/>
      <c r="D168" s="308"/>
      <c r="E168" s="184"/>
      <c r="F168" s="308"/>
      <c r="G168" s="184"/>
      <c r="H168" s="308"/>
      <c r="I168" s="184"/>
      <c r="J168" s="308"/>
      <c r="K168" s="184"/>
    </row>
    <row r="169" spans="2:20" ht="16.2" thickBot="1">
      <c r="B169" s="860" t="s">
        <v>279</v>
      </c>
      <c r="C169" s="861"/>
      <c r="D169" s="861"/>
      <c r="E169" s="861"/>
      <c r="F169" s="861"/>
      <c r="G169" s="861"/>
      <c r="H169" s="861"/>
      <c r="I169" s="861"/>
      <c r="J169" s="861"/>
      <c r="K169" s="862"/>
    </row>
    <row r="170" spans="2:20" ht="14.4" outlineLevel="1">
      <c r="B170" s="190"/>
      <c r="C170" s="309"/>
      <c r="D170" s="310"/>
      <c r="E170" s="191"/>
      <c r="F170" s="310"/>
      <c r="G170" s="191"/>
      <c r="H170" s="310"/>
      <c r="I170" s="191"/>
      <c r="J170" s="310"/>
      <c r="K170" s="192"/>
    </row>
    <row r="171" spans="2:20" ht="14.4" outlineLevel="1">
      <c r="B171" s="32"/>
      <c r="C171" s="66" t="s">
        <v>280</v>
      </c>
      <c r="D171" s="252">
        <f>D153-D151</f>
        <v>22265</v>
      </c>
      <c r="E171" s="13"/>
      <c r="F171" s="252">
        <f>F153-F151</f>
        <v>11543</v>
      </c>
      <c r="G171" s="13"/>
      <c r="H171" s="252">
        <f>H153-H151</f>
        <v>9335</v>
      </c>
      <c r="I171" s="13"/>
      <c r="J171" s="252">
        <f>J153-J151</f>
        <v>-1670</v>
      </c>
      <c r="K171" s="18"/>
    </row>
    <row r="172" spans="2:20" ht="14.4" outlineLevel="1">
      <c r="B172" s="32"/>
      <c r="C172" s="66" t="s">
        <v>281</v>
      </c>
      <c r="D172" s="252">
        <f ca="1">D161</f>
        <v>38295.987018944259</v>
      </c>
      <c r="E172" s="13"/>
      <c r="F172" s="252">
        <f ca="1">F161</f>
        <v>38495.987018944259</v>
      </c>
      <c r="G172" s="13"/>
      <c r="H172" s="252">
        <f ca="1">H161</f>
        <v>46995.987018944259</v>
      </c>
      <c r="I172" s="13"/>
      <c r="J172" s="252">
        <f ca="1">J161</f>
        <v>12998.996754736065</v>
      </c>
      <c r="K172" s="18"/>
    </row>
    <row r="173" spans="2:20" ht="14.4" outlineLevel="1">
      <c r="B173" s="32"/>
      <c r="C173" s="66"/>
      <c r="D173" s="311"/>
      <c r="E173" s="13"/>
      <c r="F173" s="311"/>
      <c r="G173" s="13"/>
      <c r="H173" s="311"/>
      <c r="I173" s="13"/>
      <c r="J173" s="311"/>
      <c r="K173" s="18"/>
    </row>
    <row r="174" spans="2:20" ht="14.4" outlineLevel="1">
      <c r="B174" s="32"/>
      <c r="C174" s="66" t="s">
        <v>282</v>
      </c>
      <c r="D174" s="197">
        <f>IF($C$623="Yes",$C$662,0)</f>
        <v>0</v>
      </c>
      <c r="E174" s="13"/>
      <c r="F174" s="197">
        <f>IF($C$623="Yes",$C$662,0)</f>
        <v>0</v>
      </c>
      <c r="G174" s="13"/>
      <c r="H174" s="197">
        <f>IF($C$623="Yes",$C$662,0)</f>
        <v>0</v>
      </c>
      <c r="I174" s="13"/>
      <c r="J174" s="197">
        <f>IF($C$623="Yes",($C$662/12)*J$86,0)</f>
        <v>0</v>
      </c>
      <c r="K174" s="18"/>
    </row>
    <row r="175" spans="2:20" ht="14.4" outlineLevel="1">
      <c r="B175" s="32"/>
      <c r="C175" s="66" t="s">
        <v>283</v>
      </c>
      <c r="D175" s="197">
        <f>IF($E$623="Yes",$E$662,0)</f>
        <v>0</v>
      </c>
      <c r="E175" s="13"/>
      <c r="F175" s="197">
        <f>IF($E$623="Yes",$E$662,0)</f>
        <v>0</v>
      </c>
      <c r="G175" s="13"/>
      <c r="H175" s="197">
        <f>IF($E$623="Yes",$E$662,0)</f>
        <v>0</v>
      </c>
      <c r="I175" s="13"/>
      <c r="J175" s="197">
        <f>IF($C$623="Yes",($E$662/12)*J$86,0)</f>
        <v>0</v>
      </c>
      <c r="K175" s="18"/>
    </row>
    <row r="176" spans="2:20" ht="14.4" outlineLevel="1">
      <c r="B176" s="32"/>
      <c r="C176" s="66" t="s">
        <v>284</v>
      </c>
      <c r="D176" s="197">
        <f>IF($G$623="Yes",$G$662,0)</f>
        <v>0</v>
      </c>
      <c r="E176" s="13"/>
      <c r="F176" s="197">
        <f>IF($G$623="Yes",$G$662,0)</f>
        <v>0</v>
      </c>
      <c r="G176" s="13"/>
      <c r="H176" s="197">
        <f>IF($G$623="Yes",$G$662,0)</f>
        <v>0</v>
      </c>
      <c r="I176" s="13"/>
      <c r="J176" s="197">
        <f>IF($C$623="Yes",($G$662/12)*J$86,0)</f>
        <v>0</v>
      </c>
      <c r="K176" s="18"/>
    </row>
    <row r="177" spans="2:11" ht="14.4" outlineLevel="1">
      <c r="B177" s="32"/>
      <c r="C177" s="66" t="s">
        <v>285</v>
      </c>
      <c r="D177" s="197">
        <f>IF($I$623="Yes",$I$662,0)</f>
        <v>0</v>
      </c>
      <c r="E177" s="13"/>
      <c r="F177" s="197">
        <f>IF($I$623="Yes",$I$662,0)</f>
        <v>0</v>
      </c>
      <c r="G177" s="13"/>
      <c r="H177" s="197">
        <f>IF($I$623="Yes",$I$662,0)</f>
        <v>0</v>
      </c>
      <c r="I177" s="13"/>
      <c r="J177" s="197">
        <f>IF($C$623="Yes",($I$662/12)*J$86,0)</f>
        <v>0</v>
      </c>
      <c r="K177" s="18"/>
    </row>
    <row r="178" spans="2:11" ht="14.4" outlineLevel="1">
      <c r="B178" s="32"/>
      <c r="C178" s="66"/>
      <c r="D178" s="312"/>
      <c r="E178" s="13"/>
      <c r="F178" s="312"/>
      <c r="G178" s="13"/>
      <c r="H178" s="312"/>
      <c r="I178" s="13"/>
      <c r="J178" s="312"/>
      <c r="K178" s="18"/>
    </row>
    <row r="179" spans="2:11" ht="14.4" outlineLevel="1">
      <c r="B179" s="32"/>
      <c r="C179" s="66" t="s">
        <v>286</v>
      </c>
      <c r="D179" s="252">
        <v>5631</v>
      </c>
      <c r="E179" s="13"/>
      <c r="F179" s="252">
        <v>6000</v>
      </c>
      <c r="G179" s="13"/>
      <c r="H179" s="252">
        <v>2000</v>
      </c>
      <c r="I179" s="13"/>
      <c r="J179" s="252">
        <v>20251</v>
      </c>
      <c r="K179" s="18"/>
    </row>
    <row r="180" spans="2:11" ht="14.4" outlineLevel="1">
      <c r="B180" s="32"/>
      <c r="C180" s="66" t="s">
        <v>287</v>
      </c>
      <c r="D180" s="252">
        <v>900</v>
      </c>
      <c r="E180" s="13"/>
      <c r="F180" s="252">
        <v>5000</v>
      </c>
      <c r="G180" s="13"/>
      <c r="H180" s="252">
        <v>50</v>
      </c>
      <c r="I180" s="13"/>
      <c r="J180" s="252">
        <v>120</v>
      </c>
      <c r="K180" s="18"/>
    </row>
    <row r="181" spans="2:11" ht="14.4" outlineLevel="1">
      <c r="B181" s="32"/>
      <c r="C181" s="66"/>
      <c r="D181" s="312"/>
      <c r="E181" s="13"/>
      <c r="F181" s="312"/>
      <c r="G181" s="13"/>
      <c r="H181" s="312"/>
      <c r="I181" s="13"/>
      <c r="J181" s="312"/>
      <c r="K181" s="18"/>
    </row>
    <row r="182" spans="2:11" ht="14.4" outlineLevel="1">
      <c r="B182" s="32"/>
      <c r="C182" s="66" t="s">
        <v>288</v>
      </c>
      <c r="D182" s="252">
        <f>IF($C$304="Yes",D373,0)</f>
        <v>0</v>
      </c>
      <c r="E182" s="13"/>
      <c r="F182" s="252">
        <f>IF($C$304="Yes",F373,0)</f>
        <v>0</v>
      </c>
      <c r="G182" s="13"/>
      <c r="H182" s="252">
        <f>IF($C$304="Yes",H373,0)</f>
        <v>0</v>
      </c>
      <c r="I182" s="13"/>
      <c r="J182" s="252">
        <f>IF($C$304="Yes",J373,0)</f>
        <v>0</v>
      </c>
      <c r="K182" s="18"/>
    </row>
    <row r="183" spans="2:11" ht="14.4" outlineLevel="1">
      <c r="B183" s="32"/>
      <c r="C183" s="66" t="s">
        <v>289</v>
      </c>
      <c r="D183" s="252">
        <f>IF($C$304="Yes",D376,0)</f>
        <v>0</v>
      </c>
      <c r="E183" s="13"/>
      <c r="F183" s="252">
        <f>IF($C$304="Yes",F376,0)</f>
        <v>0</v>
      </c>
      <c r="G183" s="13"/>
      <c r="H183" s="252">
        <f>IF($C$304="Yes",H376,0)</f>
        <v>0</v>
      </c>
      <c r="I183" s="13"/>
      <c r="J183" s="252">
        <f>IF($C$304="Yes",J376,0)</f>
        <v>0</v>
      </c>
      <c r="K183" s="18"/>
    </row>
    <row r="184" spans="2:11" ht="14.4" outlineLevel="1">
      <c r="B184" s="32"/>
      <c r="C184" s="66"/>
      <c r="D184" s="311"/>
      <c r="E184" s="13"/>
      <c r="F184" s="311"/>
      <c r="G184" s="13"/>
      <c r="H184" s="311"/>
      <c r="I184" s="13"/>
      <c r="J184" s="311"/>
      <c r="K184" s="18"/>
    </row>
    <row r="185" spans="2:11" ht="14.4" outlineLevel="1">
      <c r="B185" s="32"/>
      <c r="C185" s="66" t="s">
        <v>290</v>
      </c>
      <c r="D185" s="252">
        <f>IF($C$383="Yes",D452,0)</f>
        <v>0</v>
      </c>
      <c r="E185" s="13"/>
      <c r="F185" s="252">
        <f>IF($C$383="Yes",F452,0)</f>
        <v>0</v>
      </c>
      <c r="G185" s="13"/>
      <c r="H185" s="252">
        <f>IF($C$383="Yes",H452,0)</f>
        <v>0</v>
      </c>
      <c r="I185" s="13"/>
      <c r="J185" s="252">
        <f>IF($C$383="Yes",J452,0)</f>
        <v>0</v>
      </c>
      <c r="K185" s="18"/>
    </row>
    <row r="186" spans="2:11" ht="14.4" outlineLevel="1">
      <c r="B186" s="32"/>
      <c r="C186" s="66" t="s">
        <v>291</v>
      </c>
      <c r="D186" s="252">
        <v>13213</v>
      </c>
      <c r="E186" s="13"/>
      <c r="F186" s="252">
        <f>IF($C$383="Yes",F455,0)</f>
        <v>0</v>
      </c>
      <c r="G186" s="13"/>
      <c r="H186" s="252">
        <f>IF($C$383="Yes",H455,0)</f>
        <v>0</v>
      </c>
      <c r="I186" s="13"/>
      <c r="J186" s="252">
        <f>IF($C$383="Yes",J455,0)</f>
        <v>0</v>
      </c>
      <c r="K186" s="18"/>
    </row>
    <row r="187" spans="2:11" ht="14.4" outlineLevel="1">
      <c r="B187" s="32"/>
      <c r="C187" s="66"/>
      <c r="D187" s="311"/>
      <c r="E187" s="13"/>
      <c r="F187" s="311"/>
      <c r="G187" s="13"/>
      <c r="H187" s="311"/>
      <c r="I187" s="13"/>
      <c r="J187" s="311"/>
      <c r="K187" s="18"/>
    </row>
    <row r="188" spans="2:11" ht="14.4" outlineLevel="1">
      <c r="B188" s="32"/>
      <c r="C188" s="66" t="s">
        <v>292</v>
      </c>
      <c r="D188" s="252">
        <f>IF($C$462="Yes",D531,0)</f>
        <v>0</v>
      </c>
      <c r="E188" s="13"/>
      <c r="F188" s="252">
        <f>IF($C$462="Yes",F531,0)</f>
        <v>0</v>
      </c>
      <c r="G188" s="13"/>
      <c r="H188" s="252">
        <f>IF($C$462="Yes",H531,0)</f>
        <v>0</v>
      </c>
      <c r="I188" s="13"/>
      <c r="J188" s="252">
        <f>IF($C$462="Yes",J531,0)</f>
        <v>0</v>
      </c>
      <c r="K188" s="18"/>
    </row>
    <row r="189" spans="2:11" ht="14.4" outlineLevel="1">
      <c r="B189" s="32"/>
      <c r="C189" s="66" t="s">
        <v>293</v>
      </c>
      <c r="D189" s="252">
        <f>IF($C$462="Yes",D534,0)</f>
        <v>0</v>
      </c>
      <c r="E189" s="13"/>
      <c r="F189" s="252">
        <f>IF($C$462="Yes",F534,0)</f>
        <v>0</v>
      </c>
      <c r="G189" s="13"/>
      <c r="H189" s="252">
        <f>IF($C$462="Yes",H534,0)</f>
        <v>0</v>
      </c>
      <c r="I189" s="13"/>
      <c r="J189" s="252">
        <f>IF($C$462="Yes",J534,0)</f>
        <v>0</v>
      </c>
      <c r="K189" s="18"/>
    </row>
    <row r="190" spans="2:11" ht="14.4" outlineLevel="1">
      <c r="B190" s="32"/>
      <c r="C190" s="66"/>
      <c r="D190" s="311"/>
      <c r="E190" s="13"/>
      <c r="F190" s="311"/>
      <c r="G190" s="13"/>
      <c r="H190" s="311"/>
      <c r="I190" s="13"/>
      <c r="J190" s="311"/>
      <c r="K190" s="18"/>
    </row>
    <row r="191" spans="2:11" ht="14.4" outlineLevel="1">
      <c r="B191" s="32"/>
      <c r="C191" s="66" t="s">
        <v>294</v>
      </c>
      <c r="D191" s="252">
        <f>IF($C$541="Yes",D610,0)</f>
        <v>0</v>
      </c>
      <c r="E191" s="13"/>
      <c r="F191" s="252">
        <f>IF($C$541="Yes",F610,0)</f>
        <v>0</v>
      </c>
      <c r="G191" s="13"/>
      <c r="H191" s="252">
        <f>IF($C$541="Yes",H610,0)</f>
        <v>0</v>
      </c>
      <c r="I191" s="13"/>
      <c r="J191" s="252">
        <f>IF($C$541="Yes",J610,0)</f>
        <v>0</v>
      </c>
      <c r="K191" s="18"/>
    </row>
    <row r="192" spans="2:11" ht="14.4" outlineLevel="1">
      <c r="B192" s="32"/>
      <c r="C192" s="66" t="s">
        <v>295</v>
      </c>
      <c r="D192" s="252">
        <f>IF($C$541="Yes",D613,0)</f>
        <v>0</v>
      </c>
      <c r="E192" s="13"/>
      <c r="F192" s="252">
        <f>IF($C$541="Yes",F613,0)</f>
        <v>0</v>
      </c>
      <c r="G192" s="13"/>
      <c r="H192" s="252">
        <f>IF($C$541="Yes",H613,0)</f>
        <v>0</v>
      </c>
      <c r="I192" s="13"/>
      <c r="J192" s="252">
        <f>IF($C$541="Yes",J613,0)</f>
        <v>0</v>
      </c>
      <c r="K192" s="18"/>
    </row>
    <row r="193" spans="2:11" ht="14.4" outlineLevel="1">
      <c r="B193" s="32"/>
      <c r="C193" s="66"/>
      <c r="D193" s="311"/>
      <c r="E193" s="13"/>
      <c r="F193" s="311"/>
      <c r="G193" s="13"/>
      <c r="H193" s="311"/>
      <c r="I193" s="13"/>
      <c r="J193" s="311"/>
      <c r="K193" s="18"/>
    </row>
    <row r="194" spans="2:11" ht="14.4" outlineLevel="1">
      <c r="B194" s="32"/>
      <c r="C194" s="66" t="s">
        <v>296</v>
      </c>
      <c r="D194" s="252">
        <f>D171-D174-D175-D176-D177+D179+D182+D185+D188+D191</f>
        <v>27896</v>
      </c>
      <c r="E194" s="13"/>
      <c r="F194" s="252">
        <f>F171-F174-F175-F176-F177+F179+F182+F185+F188+F191</f>
        <v>17543</v>
      </c>
      <c r="G194" s="13"/>
      <c r="H194" s="252">
        <f>H171-H174-H175-H176-H177+H179+H182+H185+H188+H191</f>
        <v>11335</v>
      </c>
      <c r="I194" s="13"/>
      <c r="J194" s="252">
        <f>J171-J174-J175-J176-J177+J179+J182+J185+J188+J191</f>
        <v>18581</v>
      </c>
      <c r="K194" s="18"/>
    </row>
    <row r="195" spans="2:11" ht="14.4" outlineLevel="1">
      <c r="B195" s="32"/>
      <c r="C195" s="66" t="s">
        <v>297</v>
      </c>
      <c r="D195" s="252">
        <f ca="1">D172+D180+D183+D186+D189+D192</f>
        <v>52408.987018944259</v>
      </c>
      <c r="E195" s="13"/>
      <c r="F195" s="252">
        <f ca="1">F172+F180+F183+F186+F189+F192</f>
        <v>43495.987018944259</v>
      </c>
      <c r="G195" s="13"/>
      <c r="H195" s="252">
        <f ca="1">H172+H180+H183+H186+H189+H192</f>
        <v>47045.987018944259</v>
      </c>
      <c r="I195" s="13"/>
      <c r="J195" s="252">
        <f ca="1">J172+J180+J183+J186+J189+J192</f>
        <v>13118.996754736065</v>
      </c>
      <c r="K195" s="18"/>
    </row>
    <row r="196" spans="2:11" ht="14.4" outlineLevel="1">
      <c r="B196" s="32"/>
      <c r="C196" s="66"/>
      <c r="D196" s="311"/>
      <c r="E196" s="13"/>
      <c r="F196" s="311"/>
      <c r="G196" s="13"/>
      <c r="H196" s="311"/>
      <c r="I196" s="13"/>
      <c r="J196" s="311"/>
      <c r="K196" s="18"/>
    </row>
    <row r="197" spans="2:11" ht="14.4">
      <c r="B197" s="892" t="s">
        <v>298</v>
      </c>
      <c r="C197" s="893"/>
      <c r="D197" s="13"/>
      <c r="E197" s="13"/>
      <c r="F197" s="13"/>
      <c r="G197" s="13"/>
      <c r="H197" s="13"/>
      <c r="I197" s="13"/>
      <c r="J197" s="13"/>
      <c r="K197" s="18"/>
    </row>
    <row r="198" spans="2:11" ht="14.4">
      <c r="B198" s="32"/>
      <c r="C198" s="26" t="s">
        <v>299</v>
      </c>
      <c r="D198" s="301">
        <f ca="1">IFERROR(D194/D195,0)</f>
        <v>0.53227512277458144</v>
      </c>
      <c r="E198" s="13"/>
      <c r="F198" s="301">
        <f ca="1">IFERROR(F194/F195,0)</f>
        <v>0.40332456399619843</v>
      </c>
      <c r="G198" s="13"/>
      <c r="H198" s="301">
        <f ca="1">IFERROR(H194/H195,0)</f>
        <v>0.24093447110453173</v>
      </c>
      <c r="I198" s="13"/>
      <c r="J198" s="301">
        <f ca="1">IFERROR(J194/J195,0)</f>
        <v>1.4163430594105535</v>
      </c>
      <c r="K198" s="18"/>
    </row>
    <row r="199" spans="2:11" ht="14.4">
      <c r="B199" s="32"/>
      <c r="C199" s="66" t="s">
        <v>276</v>
      </c>
      <c r="D199" s="301">
        <f ca="1">IFERROR(D194/(D195-D172+D155+D159+D160+D$155+INDEX($BL$88:$BL$90,MATCH($C$37,$BC$88:$BC$90,0))*D$86),0)</f>
        <v>0.52618510737217983</v>
      </c>
      <c r="E199" s="13"/>
      <c r="F199" s="301">
        <f ca="1">IFERROR(F194/(F195-F172+F155+F159+F160+F$155+INDEX($BL$88:$BL$90,MATCH($C$37,$BC$88:$BC$90,0))*F$86),0)</f>
        <v>0.39687743402861025</v>
      </c>
      <c r="G199" s="13"/>
      <c r="H199" s="301">
        <f ca="1">IFERROR(H194/(H195-H172+H155+H159+H160+H$155+INDEX($BL$88:$BL$90,MATCH($C$37,$BC$88:$BC$90,0))*H$86),0)</f>
        <v>0.20589413587063485</v>
      </c>
      <c r="I199" s="13"/>
      <c r="J199" s="301">
        <f ca="1">IFERROR(J194/(J195-J172+J155+J159+J160+J$155+INDEX($BL$88:$BL$90,MATCH($C$37,$BC$88:$BC$90,0))*J$86),0)</f>
        <v>1.3542370324883686</v>
      </c>
      <c r="K199" s="18"/>
    </row>
    <row r="200" spans="2:11" ht="14.4">
      <c r="B200" s="32"/>
      <c r="C200" s="66" t="s">
        <v>277</v>
      </c>
      <c r="D200" s="301">
        <f ca="1">IFERROR(D194/(D195-D172+D155+D159+D160+INDEX($BL$94:$BL$96,MATCH($C$37,$BC$94:$BC$96,0))*D$86),0)</f>
        <v>0.53214005487926264</v>
      </c>
      <c r="E200" s="13"/>
      <c r="F200" s="301">
        <f ca="1">IFERROR(F194/(F195-F172+F155+F159+F160+INDEX($BL$94:$BL$96,MATCH($C$37,$BC$94:$BC$96,0))*F$86),0)</f>
        <v>0.40320125219828978</v>
      </c>
      <c r="G200" s="13"/>
      <c r="H200" s="301">
        <f ca="1">IFERROR(H194/(H195-H172+H155+H159+H160+INDEX($BL$94:$BL$96,MATCH($C$37,$BC$94:$BC$96,0))*H$86),0)</f>
        <v>0.24086636508126838</v>
      </c>
      <c r="I200" s="13"/>
      <c r="J200" s="301">
        <f ca="1">IFERROR(J194/(J195-J172+J155+J159+J160+INDEX($BL$94:$BL$96,MATCH($C$37,$BC$94:$BC$96,0))*J$86),0)</f>
        <v>1.415984112918985</v>
      </c>
      <c r="K200" s="18"/>
    </row>
    <row r="201" spans="2:11" ht="14.4">
      <c r="B201" s="32"/>
      <c r="C201" s="66" t="s">
        <v>278</v>
      </c>
      <c r="D201" s="301">
        <f ca="1">IFERROR(D194/(D195-D172+D155+D159+D160+INDEX($BL$100:$BL$102,MATCH($C$37,$BC$100:$BC$102,0))*D$86),0)</f>
        <v>0.53207030482662521</v>
      </c>
      <c r="E201" s="313"/>
      <c r="F201" s="301">
        <f ca="1">IFERROR(F194/(F195-F172+F155+F159+F160+INDEX($BL$100:$BL$102,MATCH($C$37,$BC$100:$BC$102,0))*F$86),0)</f>
        <v>0.40313757810141188</v>
      </c>
      <c r="G201" s="313"/>
      <c r="H201" s="301">
        <f ca="1">IFERROR(H194/(H195-H172+H155+H159+H160+INDEX($BL$100:$BL$102,MATCH($C$37,$BC$100:$BC$102,0))*H$86),0)</f>
        <v>0.2408311961735887</v>
      </c>
      <c r="I201" s="313"/>
      <c r="J201" s="301">
        <f ca="1">IFERROR(J194/(J195-J172+J155+J159+J160+INDEX($BL$100:$BL$102,MATCH($C$37,$BC$100:$BC$102,0))*J$86),0)</f>
        <v>1.4157987502247471</v>
      </c>
      <c r="K201" s="18"/>
    </row>
    <row r="202" spans="2:11" ht="14.4">
      <c r="B202" s="32"/>
      <c r="C202" s="66"/>
      <c r="D202" s="312"/>
      <c r="E202" s="13"/>
      <c r="F202" s="312"/>
      <c r="G202" s="13"/>
      <c r="H202" s="312"/>
      <c r="I202" s="13"/>
      <c r="J202" s="312"/>
      <c r="K202" s="18"/>
    </row>
    <row r="203" spans="2:11" ht="15" thickBot="1">
      <c r="B203" s="823"/>
      <c r="C203" s="824"/>
      <c r="D203" s="824"/>
      <c r="E203" s="75"/>
      <c r="F203" s="304"/>
      <c r="G203" s="75"/>
      <c r="H203" s="304"/>
      <c r="I203" s="75"/>
      <c r="J203" s="304"/>
      <c r="K203" s="35"/>
    </row>
    <row r="205" spans="2:11" ht="15.6">
      <c r="B205" s="894" t="s">
        <v>300</v>
      </c>
      <c r="C205" s="895"/>
      <c r="D205" s="895"/>
      <c r="E205" s="895"/>
      <c r="F205" s="895"/>
      <c r="G205" s="895"/>
      <c r="H205" s="895"/>
      <c r="I205" s="895"/>
      <c r="J205" s="895"/>
      <c r="K205" s="896"/>
    </row>
    <row r="206" spans="2:11" ht="14.4">
      <c r="B206" s="314" t="s">
        <v>301</v>
      </c>
      <c r="C206" s="315" t="s">
        <v>302</v>
      </c>
      <c r="D206" s="315" t="s">
        <v>303</v>
      </c>
      <c r="E206" s="315" t="s">
        <v>304</v>
      </c>
      <c r="F206" s="316" t="s">
        <v>305</v>
      </c>
      <c r="G206" s="315" t="s">
        <v>306</v>
      </c>
      <c r="H206" s="315" t="s">
        <v>307</v>
      </c>
      <c r="I206" s="315" t="s">
        <v>308</v>
      </c>
      <c r="J206" s="315" t="s">
        <v>309</v>
      </c>
      <c r="K206" s="317" t="s">
        <v>310</v>
      </c>
    </row>
    <row r="207" spans="2:11" ht="14.4">
      <c r="B207" s="318" t="s">
        <v>771</v>
      </c>
      <c r="C207" s="319">
        <v>6000</v>
      </c>
      <c r="D207" s="319">
        <v>60</v>
      </c>
      <c r="E207" s="320"/>
      <c r="F207" s="321" t="s">
        <v>194</v>
      </c>
      <c r="G207" s="322">
        <f>IFERROR(_xlfn.SINGLE(Table2[[#This Row],[Current Balance]])/$C$65,0)</f>
        <v>-5.1947152430260948E-2</v>
      </c>
      <c r="H207" s="319">
        <f>IFERROR(IF(_xlfn.SINGLE(Table2[[#This Row],[Refinance?]])="Yes",PMT($C$36/12,$C$39,-(_xlfn.SINGLE(Table2[[#This Row],[Current Balance]]))),0),0)</f>
        <v>76.005464250149686</v>
      </c>
      <c r="I207" s="323">
        <f>IFERROR((_xlfn.SINGLE(Table2[[#This Row],[Mthly Pmt]])-_xlfn.SINGLE(Table2[[#This Row],[Refi Pmt]]))/_xlfn.SINGLE(Table2[[#This Row],[Mthly Pmt]]),0)</f>
        <v>-0.26675773750249476</v>
      </c>
      <c r="J207" s="324">
        <f>IF(_xlfn.SINGLE(Table2[[#This Row],[Refinance?]])="Yes",0,_xlfn.SINGLE(Table2[[#This Row],[Mthly Pmt]]))</f>
        <v>0</v>
      </c>
      <c r="K207" s="325"/>
    </row>
    <row r="208" spans="2:11" ht="14.4">
      <c r="B208" s="22"/>
      <c r="C208" s="292">
        <v>0</v>
      </c>
      <c r="D208" s="292">
        <v>0</v>
      </c>
      <c r="E208" s="326"/>
      <c r="F208" s="327"/>
      <c r="G208" s="328">
        <f>IFERROR(_xlfn.SINGLE(Table2[[#This Row],[Current Balance]])/$C$65,0)</f>
        <v>0</v>
      </c>
      <c r="H208" s="292">
        <f>IFERROR(IF(_xlfn.SINGLE(Table2[[#This Row],[Refinance?]])="Yes",PMT($C$36/12,$C$39,-(_xlfn.SINGLE(Table2[[#This Row],[Current Balance]]))),0),0)</f>
        <v>0</v>
      </c>
      <c r="I208" s="329">
        <f>IFERROR((_xlfn.SINGLE(Table2[[#This Row],[Mthly Pmt]])-_xlfn.SINGLE(Table2[[#This Row],[Refi Pmt]]))/_xlfn.SINGLE(Table2[[#This Row],[Mthly Pmt]]),0)</f>
        <v>0</v>
      </c>
      <c r="J208" s="330">
        <f>IF(_xlfn.SINGLE(Table2[[#This Row],[Refinance?]])="Yes",0,_xlfn.SINGLE(Table2[[#This Row],[Mthly Pmt]]))</f>
        <v>0</v>
      </c>
      <c r="K208" s="331"/>
    </row>
    <row r="209" spans="2:11" ht="14.4">
      <c r="B209" s="318"/>
      <c r="C209" s="319">
        <v>0</v>
      </c>
      <c r="D209" s="319">
        <v>0</v>
      </c>
      <c r="E209" s="332"/>
      <c r="F209" s="321"/>
      <c r="G209" s="322">
        <f>IFERROR(_xlfn.SINGLE(Table2[[#This Row],[Current Balance]])/$C$65,0)</f>
        <v>0</v>
      </c>
      <c r="H209" s="319">
        <f>IFERROR(IF(_xlfn.SINGLE(Table2[[#This Row],[Refinance?]])="Yes",PMT($C$36/12,$C$39,-(_xlfn.SINGLE(Table2[[#This Row],[Current Balance]]))),0),0)</f>
        <v>0</v>
      </c>
      <c r="I209" s="333">
        <f>IFERROR((_xlfn.SINGLE(Table2[[#This Row],[Mthly Pmt]])-_xlfn.SINGLE(Table2[[#This Row],[Refi Pmt]]))/_xlfn.SINGLE(Table2[[#This Row],[Mthly Pmt]]),0)</f>
        <v>0</v>
      </c>
      <c r="J209" s="321">
        <f>IF(_xlfn.SINGLE(Table2[[#This Row],[Refinance?]])="Yes",0,_xlfn.SINGLE(Table2[[#This Row],[Mthly Pmt]]))</f>
        <v>0</v>
      </c>
      <c r="K209" s="331"/>
    </row>
    <row r="210" spans="2:11" ht="14.4">
      <c r="B210" s="22"/>
      <c r="C210" s="292">
        <v>0</v>
      </c>
      <c r="D210" s="292">
        <v>0</v>
      </c>
      <c r="E210" s="326"/>
      <c r="F210" s="327"/>
      <c r="G210" s="328">
        <f>IFERROR(_xlfn.SINGLE(Table2[[#This Row],[Current Balance]])/$C$65,0)</f>
        <v>0</v>
      </c>
      <c r="H210" s="292">
        <f>IFERROR(IF(_xlfn.SINGLE(Table2[[#This Row],[Refinance?]])="Yes",PMT($C$36/12,$C$39,-(_xlfn.SINGLE(Table2[[#This Row],[Current Balance]]))),0),0)</f>
        <v>0</v>
      </c>
      <c r="I210" s="329">
        <f>IFERROR((_xlfn.SINGLE(Table2[[#This Row],[Mthly Pmt]])-_xlfn.SINGLE(Table2[[#This Row],[Refi Pmt]]))/_xlfn.SINGLE(Table2[[#This Row],[Mthly Pmt]]),0)</f>
        <v>0</v>
      </c>
      <c r="J210" s="330">
        <f>IF(_xlfn.SINGLE(Table2[[#This Row],[Refinance?]])="Yes",0,_xlfn.SINGLE(Table2[[#This Row],[Mthly Pmt]]))</f>
        <v>0</v>
      </c>
      <c r="K210" s="331"/>
    </row>
    <row r="211" spans="2:11" ht="14.4">
      <c r="B211" s="318"/>
      <c r="C211" s="319">
        <v>0</v>
      </c>
      <c r="D211" s="319">
        <v>0</v>
      </c>
      <c r="E211" s="332"/>
      <c r="F211" s="321"/>
      <c r="G211" s="322">
        <f>IFERROR(_xlfn.SINGLE(Table2[[#This Row],[Current Balance]])/$C$65,0)</f>
        <v>0</v>
      </c>
      <c r="H211" s="319">
        <f>IFERROR(IF(_xlfn.SINGLE(Table2[[#This Row],[Refinance?]])="Yes",PMT($C$36/12,$C$39,-(_xlfn.SINGLE(Table2[[#This Row],[Current Balance]]))),0),0)</f>
        <v>0</v>
      </c>
      <c r="I211" s="333">
        <f>IFERROR((_xlfn.SINGLE(Table2[[#This Row],[Mthly Pmt]])-_xlfn.SINGLE(Table2[[#This Row],[Refi Pmt]]))/_xlfn.SINGLE(Table2[[#This Row],[Mthly Pmt]]),0)</f>
        <v>0</v>
      </c>
      <c r="J211" s="321">
        <f>IF(_xlfn.SINGLE(Table2[[#This Row],[Refinance?]])="Yes",0,_xlfn.SINGLE(Table2[[#This Row],[Mthly Pmt]]))</f>
        <v>0</v>
      </c>
      <c r="K211" s="331"/>
    </row>
    <row r="212" spans="2:11" ht="14.4">
      <c r="B212" s="22"/>
      <c r="C212" s="292">
        <v>0</v>
      </c>
      <c r="D212" s="292">
        <v>0</v>
      </c>
      <c r="E212" s="326"/>
      <c r="F212" s="327"/>
      <c r="G212" s="328">
        <f>IFERROR(_xlfn.SINGLE(Table2[[#This Row],[Current Balance]])/$C$65,0)</f>
        <v>0</v>
      </c>
      <c r="H212" s="292">
        <f>IFERROR(IF(_xlfn.SINGLE(Table2[[#This Row],[Refinance?]])="Yes",PMT($C$36/12,$C$39,-(_xlfn.SINGLE(Table2[[#This Row],[Current Balance]]))),0),0)</f>
        <v>0</v>
      </c>
      <c r="I212" s="329">
        <f>IFERROR((_xlfn.SINGLE(Table2[[#This Row],[Mthly Pmt]])-_xlfn.SINGLE(Table2[[#This Row],[Refi Pmt]]))/_xlfn.SINGLE(Table2[[#This Row],[Mthly Pmt]]),0)</f>
        <v>0</v>
      </c>
      <c r="J212" s="330">
        <f>IF(_xlfn.SINGLE(Table2[[#This Row],[Refinance?]])="Yes",0,_xlfn.SINGLE(Table2[[#This Row],[Mthly Pmt]]))</f>
        <v>0</v>
      </c>
      <c r="K212" s="331"/>
    </row>
    <row r="213" spans="2:11" ht="14.4">
      <c r="B213" s="318"/>
      <c r="C213" s="319">
        <v>0</v>
      </c>
      <c r="D213" s="319">
        <v>0</v>
      </c>
      <c r="E213" s="332"/>
      <c r="F213" s="321"/>
      <c r="G213" s="322">
        <f>IFERROR(_xlfn.SINGLE(Table2[[#This Row],[Current Balance]])/$C$65,0)</f>
        <v>0</v>
      </c>
      <c r="H213" s="319">
        <f>IFERROR(IF(_xlfn.SINGLE(Table2[[#This Row],[Refinance?]])="Yes",PMT($C$36/12,$C$39,-(_xlfn.SINGLE(Table2[[#This Row],[Current Balance]]))),0),0)</f>
        <v>0</v>
      </c>
      <c r="I213" s="333">
        <f>IFERROR((_xlfn.SINGLE(Table2[[#This Row],[Mthly Pmt]])-_xlfn.SINGLE(Table2[[#This Row],[Refi Pmt]]))/_xlfn.SINGLE(Table2[[#This Row],[Mthly Pmt]]),0)</f>
        <v>0</v>
      </c>
      <c r="J213" s="321">
        <f>IF(_xlfn.SINGLE(Table2[[#This Row],[Refinance?]])="Yes",0,_xlfn.SINGLE(Table2[[#This Row],[Mthly Pmt]]))</f>
        <v>0</v>
      </c>
      <c r="K213" s="331"/>
    </row>
    <row r="214" spans="2:11" ht="14.4">
      <c r="B214" s="22"/>
      <c r="C214" s="292">
        <v>0</v>
      </c>
      <c r="D214" s="292">
        <v>0</v>
      </c>
      <c r="E214" s="326"/>
      <c r="F214" s="327"/>
      <c r="G214" s="328">
        <f>IFERROR(_xlfn.SINGLE(Table2[[#This Row],[Current Balance]])/$C$65,0)</f>
        <v>0</v>
      </c>
      <c r="H214" s="292">
        <f>IFERROR(IF(_xlfn.SINGLE(Table2[[#This Row],[Refinance?]])="Yes",PMT($C$36/12,$C$39,-(_xlfn.SINGLE(Table2[[#This Row],[Current Balance]]))),0),0)</f>
        <v>0</v>
      </c>
      <c r="I214" s="329">
        <f>IFERROR((_xlfn.SINGLE(Table2[[#This Row],[Mthly Pmt]])-_xlfn.SINGLE(Table2[[#This Row],[Refi Pmt]]))/_xlfn.SINGLE(Table2[[#This Row],[Mthly Pmt]]),0)</f>
        <v>0</v>
      </c>
      <c r="J214" s="330">
        <f>IF(_xlfn.SINGLE(Table2[[#This Row],[Refinance?]])="Yes",0,_xlfn.SINGLE(Table2[[#This Row],[Mthly Pmt]]))</f>
        <v>0</v>
      </c>
      <c r="K214" s="331"/>
    </row>
    <row r="215" spans="2:11" ht="14.4">
      <c r="B215" s="318"/>
      <c r="C215" s="319">
        <v>0</v>
      </c>
      <c r="D215" s="319">
        <v>0</v>
      </c>
      <c r="E215" s="332"/>
      <c r="F215" s="321"/>
      <c r="G215" s="322">
        <f>IFERROR(_xlfn.SINGLE(Table2[[#This Row],[Current Balance]])/$C$65,0)</f>
        <v>0</v>
      </c>
      <c r="H215" s="319">
        <f>IFERROR(IF(_xlfn.SINGLE(Table2[[#This Row],[Refinance?]])="Yes",PMT($C$36/12,$C$39,-(_xlfn.SINGLE(Table2[[#This Row],[Current Balance]]))),0),0)</f>
        <v>0</v>
      </c>
      <c r="I215" s="333">
        <f>IFERROR((_xlfn.SINGLE(Table2[[#This Row],[Mthly Pmt]])-_xlfn.SINGLE(Table2[[#This Row],[Refi Pmt]]))/_xlfn.SINGLE(Table2[[#This Row],[Mthly Pmt]]),0)</f>
        <v>0</v>
      </c>
      <c r="J215" s="321">
        <f>IF(_xlfn.SINGLE(Table2[[#This Row],[Refinance?]])="Yes",0,_xlfn.SINGLE(Table2[[#This Row],[Mthly Pmt]]))</f>
        <v>0</v>
      </c>
      <c r="K215" s="331"/>
    </row>
    <row r="216" spans="2:11" ht="14.4">
      <c r="B216" s="334"/>
      <c r="C216" s="335">
        <v>0</v>
      </c>
      <c r="D216" s="335">
        <v>0</v>
      </c>
      <c r="E216" s="336"/>
      <c r="F216" s="337"/>
      <c r="G216" s="338">
        <f>IFERROR(_xlfn.SINGLE(Table2[[#This Row],[Current Balance]])/$C$65,0)</f>
        <v>0</v>
      </c>
      <c r="H216" s="292">
        <f>IFERROR(IF(_xlfn.SINGLE(Table2[[#This Row],[Refinance?]])="Yes",PMT($C$36/12,$C$39,-(_xlfn.SINGLE(Table2[[#This Row],[Current Balance]]))),0),0)</f>
        <v>0</v>
      </c>
      <c r="I216" s="339">
        <f>IFERROR((_xlfn.SINGLE(Table2[[#This Row],[Mthly Pmt]])-_xlfn.SINGLE(Table2[[#This Row],[Refi Pmt]]))/_xlfn.SINGLE(Table2[[#This Row],[Mthly Pmt]]),0)</f>
        <v>0</v>
      </c>
      <c r="J216" s="340">
        <f>IF(_xlfn.SINGLE(Table2[[#This Row],[Refinance?]])="Yes",0,_xlfn.SINGLE(Table2[[#This Row],[Mthly Pmt]]))</f>
        <v>0</v>
      </c>
      <c r="K216" s="341"/>
    </row>
    <row r="217" spans="2:11" ht="14.4">
      <c r="B217" s="342" t="s">
        <v>29</v>
      </c>
      <c r="C217" s="343">
        <f>SUBTOTAL(109,Table2[Current Balance])</f>
        <v>6000</v>
      </c>
      <c r="D217" s="343">
        <f>SUBTOTAL(109,Table2[Mthly Pmt])</f>
        <v>60</v>
      </c>
      <c r="E217" s="343"/>
      <c r="F217" s="343"/>
      <c r="G217" s="795">
        <f>SUBTOTAL(109,Table2[% of Loan])</f>
        <v>-5.1947152430260948E-2</v>
      </c>
      <c r="H217" s="343">
        <f>SUBTOTAL(109,Table2[Refi Pmt])</f>
        <v>76.005464250149686</v>
      </c>
      <c r="I217" s="794">
        <f>SUBTOTAL(109,Table2[% Chg])</f>
        <v>-0.26675773750249476</v>
      </c>
      <c r="J217" s="796">
        <f>SUBTOTAL(109,Table2[CF Debt Svc])</f>
        <v>0</v>
      </c>
      <c r="K217" s="793"/>
    </row>
    <row r="218" spans="2:11" ht="14.4">
      <c r="B218" s="149"/>
      <c r="C218" s="40"/>
      <c r="D218" s="40"/>
      <c r="E218" s="40"/>
      <c r="F218" s="40"/>
      <c r="G218" s="40"/>
      <c r="H218" s="40"/>
      <c r="I218" s="40"/>
      <c r="J218" s="40"/>
      <c r="K218" s="344"/>
    </row>
    <row r="219" spans="2:11" ht="14.4">
      <c r="B219" s="163" t="s">
        <v>311</v>
      </c>
      <c r="C219" s="343">
        <f>SUMIF(Table2[Refinance?],"Yes",Table2[Mthly Pmt])</f>
        <v>60</v>
      </c>
      <c r="D219" s="345" t="s">
        <v>312</v>
      </c>
      <c r="E219" s="343">
        <f>_xlfn.SINGLE(Table2[[#Totals],[Refi Pmt]])</f>
        <v>76.005464250149686</v>
      </c>
      <c r="F219" s="345" t="s">
        <v>313</v>
      </c>
      <c r="G219" s="346">
        <f>IFERROR((C219-E219)/C219,0)</f>
        <v>-0.26675773750249476</v>
      </c>
      <c r="H219" s="347"/>
      <c r="I219" s="348"/>
      <c r="J219" s="349"/>
      <c r="K219" s="350"/>
    </row>
    <row r="220" spans="2:11" ht="15" thickBot="1">
      <c r="B220" s="351"/>
      <c r="C220" s="352"/>
      <c r="D220" s="352"/>
      <c r="E220" s="352"/>
      <c r="F220" s="352"/>
      <c r="G220" s="352"/>
      <c r="H220" s="352"/>
      <c r="I220" s="352"/>
      <c r="J220" s="352"/>
      <c r="K220" s="353"/>
    </row>
    <row r="221" spans="2:11" ht="15" thickBot="1">
      <c r="B221" s="354"/>
      <c r="C221" s="355"/>
    </row>
    <row r="222" spans="2:11" ht="16.2" thickBot="1">
      <c r="B222" s="860" t="s">
        <v>314</v>
      </c>
      <c r="C222" s="861"/>
      <c r="D222" s="861"/>
      <c r="E222" s="861"/>
      <c r="F222" s="861"/>
      <c r="G222" s="861"/>
      <c r="H222" s="861"/>
      <c r="I222" s="861"/>
      <c r="J222" s="861"/>
      <c r="K222" s="862"/>
    </row>
    <row r="223" spans="2:11" ht="16.2" thickBot="1">
      <c r="B223" s="860" t="s">
        <v>190</v>
      </c>
      <c r="C223" s="861"/>
      <c r="D223" s="861"/>
      <c r="E223" s="861"/>
      <c r="F223" s="861"/>
      <c r="G223" s="861"/>
      <c r="H223" s="861"/>
      <c r="I223" s="861"/>
      <c r="J223" s="861"/>
      <c r="K223" s="862"/>
    </row>
    <row r="224" spans="2:11" ht="16.2" hidden="1" outlineLevel="1" thickBot="1">
      <c r="B224" s="882" t="s">
        <v>315</v>
      </c>
      <c r="C224" s="883"/>
      <c r="D224" s="883"/>
      <c r="E224" s="883"/>
      <c r="F224" s="883"/>
      <c r="G224" s="883"/>
      <c r="H224" s="883"/>
      <c r="I224" s="883"/>
      <c r="J224" s="883"/>
      <c r="K224" s="884"/>
    </row>
    <row r="225" spans="2:11" ht="15" hidden="1" outlineLevel="1" thickBot="1">
      <c r="B225" s="227" t="s">
        <v>193</v>
      </c>
      <c r="C225" s="356" t="s">
        <v>79</v>
      </c>
      <c r="D225" s="21"/>
      <c r="E225" s="21"/>
      <c r="F225" s="21"/>
      <c r="G225" s="21"/>
      <c r="H225" s="21"/>
      <c r="I225" s="21"/>
      <c r="J225" s="21"/>
      <c r="K225" s="229"/>
    </row>
    <row r="226" spans="2:11" ht="14.4" hidden="1" outlineLevel="1">
      <c r="B226" s="230" t="s">
        <v>196</v>
      </c>
      <c r="C226" s="66"/>
      <c r="D226" s="231">
        <v>44926</v>
      </c>
      <c r="E226" s="29"/>
      <c r="F226" s="231">
        <f>EOMONTH(D226,F227)</f>
        <v>45291</v>
      </c>
      <c r="G226" s="29"/>
      <c r="H226" s="231">
        <f>EOMONTH(F226,H227)</f>
        <v>45657</v>
      </c>
      <c r="I226" s="29"/>
      <c r="J226" s="231">
        <f>EOMONTH(H226,J227)</f>
        <v>45747</v>
      </c>
      <c r="K226" s="18"/>
    </row>
    <row r="227" spans="2:11" ht="14.4" hidden="1" outlineLevel="1">
      <c r="B227" s="230" t="s">
        <v>198</v>
      </c>
      <c r="C227" s="66"/>
      <c r="D227" s="234">
        <v>12</v>
      </c>
      <c r="E227" s="235"/>
      <c r="F227" s="234">
        <v>12</v>
      </c>
      <c r="G227" s="235"/>
      <c r="H227" s="234">
        <v>12</v>
      </c>
      <c r="I227" s="235"/>
      <c r="J227" s="234">
        <v>3</v>
      </c>
      <c r="K227" s="236"/>
    </row>
    <row r="228" spans="2:11" ht="14.4" hidden="1" outlineLevel="1">
      <c r="B228" s="230" t="s">
        <v>201</v>
      </c>
      <c r="C228" s="66"/>
      <c r="D228" s="237" t="s">
        <v>202</v>
      </c>
      <c r="E228" s="238"/>
      <c r="F228" s="237" t="s">
        <v>202</v>
      </c>
      <c r="G228" s="238"/>
      <c r="H228" s="237"/>
      <c r="I228" s="238"/>
      <c r="J228" s="237" t="s">
        <v>203</v>
      </c>
      <c r="K228" s="236"/>
    </row>
    <row r="229" spans="2:11" ht="14.4" hidden="1" outlineLevel="1">
      <c r="B229" s="230" t="s">
        <v>205</v>
      </c>
      <c r="C229" s="66"/>
      <c r="D229" s="237"/>
      <c r="E229" s="238"/>
      <c r="F229" s="237"/>
      <c r="G229" s="238"/>
      <c r="H229" s="237"/>
      <c r="I229" s="238"/>
      <c r="J229" s="237"/>
      <c r="K229" s="236"/>
    </row>
    <row r="230" spans="2:11" ht="14.4" hidden="1" outlineLevel="1">
      <c r="B230" s="19" t="s">
        <v>206</v>
      </c>
      <c r="C230" s="20"/>
      <c r="D230" s="357"/>
      <c r="E230" s="358"/>
      <c r="F230" s="357"/>
      <c r="G230" s="358"/>
      <c r="H230" s="357"/>
      <c r="I230" s="358"/>
      <c r="J230" s="242">
        <f>(J231/J227)*12</f>
        <v>0</v>
      </c>
      <c r="K230" s="243"/>
    </row>
    <row r="231" spans="2:11" ht="14.4" hidden="1" outlineLevel="1">
      <c r="B231" s="49" t="s">
        <v>207</v>
      </c>
      <c r="C231" s="66" t="s">
        <v>208</v>
      </c>
      <c r="D231" s="245">
        <v>0</v>
      </c>
      <c r="E231" s="359">
        <f t="shared" ref="E231:E242" si="76">IF(D$240=0,0,D231/D$240)</f>
        <v>0</v>
      </c>
      <c r="F231" s="245">
        <v>0</v>
      </c>
      <c r="G231" s="359">
        <f t="shared" ref="G231:G242" si="77">IF(F$240=0,0,F231/F$240)</f>
        <v>0</v>
      </c>
      <c r="H231" s="245">
        <v>0</v>
      </c>
      <c r="I231" s="359">
        <f t="shared" ref="I231:I242" si="78">IF(H$240=0,0,H231/H$240)</f>
        <v>0</v>
      </c>
      <c r="J231" s="245">
        <v>0</v>
      </c>
      <c r="K231" s="360">
        <f t="shared" ref="K231:K242" si="79">IF(J$240=0,0,J231/J$240)</f>
        <v>0</v>
      </c>
    </row>
    <row r="232" spans="2:11" ht="14.4" hidden="1" outlineLevel="1">
      <c r="B232" s="49" t="s">
        <v>210</v>
      </c>
      <c r="C232" s="66" t="s">
        <v>208</v>
      </c>
      <c r="D232" s="251">
        <v>0</v>
      </c>
      <c r="E232" s="359">
        <f t="shared" si="76"/>
        <v>0</v>
      </c>
      <c r="F232" s="251">
        <v>0</v>
      </c>
      <c r="G232" s="359">
        <f t="shared" si="77"/>
        <v>0</v>
      </c>
      <c r="H232" s="251">
        <v>0</v>
      </c>
      <c r="I232" s="359">
        <f t="shared" si="78"/>
        <v>0</v>
      </c>
      <c r="J232" s="251">
        <v>0</v>
      </c>
      <c r="K232" s="360">
        <f t="shared" si="79"/>
        <v>0</v>
      </c>
    </row>
    <row r="233" spans="2:11" ht="14.4" hidden="1" outlineLevel="2">
      <c r="B233" s="49" t="s">
        <v>212</v>
      </c>
      <c r="C233" s="66" t="s">
        <v>208</v>
      </c>
      <c r="D233" s="252">
        <f>D231-D232</f>
        <v>0</v>
      </c>
      <c r="E233" s="359">
        <f t="shared" si="76"/>
        <v>0</v>
      </c>
      <c r="F233" s="252">
        <f>F231-F232</f>
        <v>0</v>
      </c>
      <c r="G233" s="359">
        <f t="shared" si="77"/>
        <v>0</v>
      </c>
      <c r="H233" s="252">
        <f>H231-H232</f>
        <v>0</v>
      </c>
      <c r="I233" s="359">
        <f t="shared" si="78"/>
        <v>0</v>
      </c>
      <c r="J233" s="252">
        <f>J231-J232</f>
        <v>0</v>
      </c>
      <c r="K233" s="360">
        <f t="shared" si="79"/>
        <v>0</v>
      </c>
    </row>
    <row r="234" spans="2:11" ht="14.4" hidden="1" outlineLevel="2">
      <c r="B234" s="49" t="s">
        <v>207</v>
      </c>
      <c r="C234" s="66" t="s">
        <v>215</v>
      </c>
      <c r="D234" s="245">
        <v>0</v>
      </c>
      <c r="E234" s="359">
        <f t="shared" si="76"/>
        <v>0</v>
      </c>
      <c r="F234" s="245">
        <v>0</v>
      </c>
      <c r="G234" s="359">
        <f t="shared" si="77"/>
        <v>0</v>
      </c>
      <c r="H234" s="245">
        <v>0</v>
      </c>
      <c r="I234" s="359">
        <f t="shared" si="78"/>
        <v>0</v>
      </c>
      <c r="J234" s="245">
        <v>0</v>
      </c>
      <c r="K234" s="360">
        <f t="shared" si="79"/>
        <v>0</v>
      </c>
    </row>
    <row r="235" spans="2:11" ht="14.4" hidden="1" outlineLevel="2">
      <c r="B235" s="49" t="s">
        <v>210</v>
      </c>
      <c r="C235" s="66" t="s">
        <v>215</v>
      </c>
      <c r="D235" s="251">
        <v>0</v>
      </c>
      <c r="E235" s="359">
        <f t="shared" si="76"/>
        <v>0</v>
      </c>
      <c r="F235" s="251">
        <v>0</v>
      </c>
      <c r="G235" s="359">
        <f t="shared" si="77"/>
        <v>0</v>
      </c>
      <c r="H235" s="251">
        <v>0</v>
      </c>
      <c r="I235" s="359">
        <f t="shared" si="78"/>
        <v>0</v>
      </c>
      <c r="J235" s="251">
        <v>0</v>
      </c>
      <c r="K235" s="360">
        <f t="shared" si="79"/>
        <v>0</v>
      </c>
    </row>
    <row r="236" spans="2:11" ht="14.4" hidden="1" outlineLevel="2">
      <c r="B236" s="49" t="s">
        <v>212</v>
      </c>
      <c r="C236" s="66" t="s">
        <v>215</v>
      </c>
      <c r="D236" s="252">
        <f>D234-D235</f>
        <v>0</v>
      </c>
      <c r="E236" s="359">
        <f t="shared" si="76"/>
        <v>0</v>
      </c>
      <c r="F236" s="252">
        <f>F234-F235</f>
        <v>0</v>
      </c>
      <c r="G236" s="359">
        <f t="shared" si="77"/>
        <v>0</v>
      </c>
      <c r="H236" s="252">
        <f>H234-H235</f>
        <v>0</v>
      </c>
      <c r="I236" s="359">
        <f t="shared" si="78"/>
        <v>0</v>
      </c>
      <c r="J236" s="252">
        <f>J234-J235</f>
        <v>0</v>
      </c>
      <c r="K236" s="360">
        <f t="shared" si="79"/>
        <v>0</v>
      </c>
    </row>
    <row r="237" spans="2:11" ht="14.4" hidden="1" outlineLevel="2">
      <c r="B237" s="49" t="s">
        <v>207</v>
      </c>
      <c r="C237" s="66" t="s">
        <v>219</v>
      </c>
      <c r="D237" s="245">
        <v>0</v>
      </c>
      <c r="E237" s="359">
        <f t="shared" si="76"/>
        <v>0</v>
      </c>
      <c r="F237" s="245">
        <v>0</v>
      </c>
      <c r="G237" s="359">
        <f t="shared" si="77"/>
        <v>0</v>
      </c>
      <c r="H237" s="245">
        <v>0</v>
      </c>
      <c r="I237" s="359">
        <f t="shared" si="78"/>
        <v>0</v>
      </c>
      <c r="J237" s="245">
        <v>0</v>
      </c>
      <c r="K237" s="360">
        <f t="shared" si="79"/>
        <v>0</v>
      </c>
    </row>
    <row r="238" spans="2:11" ht="14.4" hidden="1" outlineLevel="2">
      <c r="B238" s="49" t="s">
        <v>210</v>
      </c>
      <c r="C238" s="66" t="s">
        <v>219</v>
      </c>
      <c r="D238" s="251">
        <v>0</v>
      </c>
      <c r="E238" s="359">
        <f t="shared" si="76"/>
        <v>0</v>
      </c>
      <c r="F238" s="251">
        <v>0</v>
      </c>
      <c r="G238" s="359">
        <f t="shared" si="77"/>
        <v>0</v>
      </c>
      <c r="H238" s="251">
        <v>0</v>
      </c>
      <c r="I238" s="359">
        <f t="shared" si="78"/>
        <v>0</v>
      </c>
      <c r="J238" s="251">
        <v>0</v>
      </c>
      <c r="K238" s="360">
        <f t="shared" si="79"/>
        <v>0</v>
      </c>
    </row>
    <row r="239" spans="2:11" ht="14.4" hidden="1" outlineLevel="2">
      <c r="B239" s="49" t="s">
        <v>212</v>
      </c>
      <c r="C239" s="66" t="s">
        <v>219</v>
      </c>
      <c r="D239" s="252">
        <f>D237-D238</f>
        <v>0</v>
      </c>
      <c r="E239" s="359">
        <f t="shared" si="76"/>
        <v>0</v>
      </c>
      <c r="F239" s="252">
        <f>F237-F238</f>
        <v>0</v>
      </c>
      <c r="G239" s="359">
        <f t="shared" si="77"/>
        <v>0</v>
      </c>
      <c r="H239" s="252">
        <f>H237-H238</f>
        <v>0</v>
      </c>
      <c r="I239" s="359">
        <f t="shared" si="78"/>
        <v>0</v>
      </c>
      <c r="J239" s="252">
        <f>J237-J238</f>
        <v>0</v>
      </c>
      <c r="K239" s="360">
        <f t="shared" si="79"/>
        <v>0</v>
      </c>
    </row>
    <row r="240" spans="2:11" ht="14.4" hidden="1" outlineLevel="1" collapsed="1">
      <c r="B240" s="49" t="s">
        <v>224</v>
      </c>
      <c r="C240" s="26" t="s">
        <v>225</v>
      </c>
      <c r="D240" s="254">
        <f t="shared" ref="D240:D241" si="80">D231+D234+D237</f>
        <v>0</v>
      </c>
      <c r="E240" s="359">
        <f t="shared" si="76"/>
        <v>0</v>
      </c>
      <c r="F240" s="254">
        <f t="shared" ref="F240:F241" si="81">F231+F234+F237</f>
        <v>0</v>
      </c>
      <c r="G240" s="359">
        <f t="shared" si="77"/>
        <v>0</v>
      </c>
      <c r="H240" s="254">
        <f t="shared" ref="H240:H241" si="82">H231+H234+H237</f>
        <v>0</v>
      </c>
      <c r="I240" s="359">
        <f t="shared" si="78"/>
        <v>0</v>
      </c>
      <c r="J240" s="254">
        <f t="shared" ref="J240:J241" si="83">J231+J234+J237</f>
        <v>0</v>
      </c>
      <c r="K240" s="360">
        <f t="shared" si="79"/>
        <v>0</v>
      </c>
    </row>
    <row r="241" spans="2:11" ht="14.4" hidden="1" outlineLevel="1">
      <c r="B241" s="32"/>
      <c r="C241" s="26" t="s">
        <v>226</v>
      </c>
      <c r="D241" s="256">
        <f t="shared" si="80"/>
        <v>0</v>
      </c>
      <c r="E241" s="359">
        <f t="shared" si="76"/>
        <v>0</v>
      </c>
      <c r="F241" s="256">
        <f t="shared" si="81"/>
        <v>0</v>
      </c>
      <c r="G241" s="359">
        <f t="shared" si="77"/>
        <v>0</v>
      </c>
      <c r="H241" s="256">
        <f t="shared" si="82"/>
        <v>0</v>
      </c>
      <c r="I241" s="359">
        <f t="shared" si="78"/>
        <v>0</v>
      </c>
      <c r="J241" s="256">
        <f t="shared" si="83"/>
        <v>0</v>
      </c>
      <c r="K241" s="360">
        <f t="shared" si="79"/>
        <v>0</v>
      </c>
    </row>
    <row r="242" spans="2:11" ht="14.4" hidden="1" outlineLevel="1">
      <c r="B242" s="32"/>
      <c r="C242" s="26" t="s">
        <v>227</v>
      </c>
      <c r="D242" s="257">
        <f>D240-D241</f>
        <v>0</v>
      </c>
      <c r="E242" s="359">
        <f t="shared" si="76"/>
        <v>0</v>
      </c>
      <c r="F242" s="257">
        <f>F240-F241</f>
        <v>0</v>
      </c>
      <c r="G242" s="359">
        <f t="shared" si="77"/>
        <v>0</v>
      </c>
      <c r="H242" s="257">
        <f>H240-H241</f>
        <v>0</v>
      </c>
      <c r="I242" s="359">
        <f t="shared" si="78"/>
        <v>0</v>
      </c>
      <c r="J242" s="257">
        <f>J240-J241</f>
        <v>0</v>
      </c>
      <c r="K242" s="360">
        <f t="shared" si="79"/>
        <v>0</v>
      </c>
    </row>
    <row r="243" spans="2:11" ht="14.4" hidden="1" outlineLevel="1">
      <c r="B243" s="32"/>
      <c r="C243" s="26"/>
      <c r="D243" s="258"/>
      <c r="E243" s="361"/>
      <c r="F243" s="258"/>
      <c r="G243" s="361"/>
      <c r="H243" s="258"/>
      <c r="I243" s="361"/>
      <c r="J243" s="258"/>
      <c r="K243" s="362"/>
    </row>
    <row r="244" spans="2:11" ht="14.4" hidden="1" outlineLevel="1">
      <c r="B244" s="32"/>
      <c r="C244" s="26" t="s">
        <v>228</v>
      </c>
      <c r="D244" s="262"/>
      <c r="E244" s="359"/>
      <c r="F244" s="262"/>
      <c r="G244" s="359"/>
      <c r="H244" s="262"/>
      <c r="I244" s="359"/>
      <c r="J244" s="262"/>
      <c r="K244" s="362"/>
    </row>
    <row r="245" spans="2:11" ht="14.4" hidden="1" outlineLevel="1">
      <c r="B245" s="32"/>
      <c r="C245" s="66" t="s">
        <v>229</v>
      </c>
      <c r="D245" s="245">
        <v>0</v>
      </c>
      <c r="E245" s="359">
        <f t="shared" ref="E245:E269" si="84">IF(D$240=0,0,D245/D$240)</f>
        <v>0</v>
      </c>
      <c r="F245" s="245">
        <v>0</v>
      </c>
      <c r="G245" s="359">
        <f t="shared" ref="G245:G269" si="85">IF(F$240=0,0,F245/F$240)</f>
        <v>0</v>
      </c>
      <c r="H245" s="245">
        <v>0</v>
      </c>
      <c r="I245" s="359">
        <f t="shared" ref="I245:I269" si="86">IF(H$240=0,0,H245/H$240)</f>
        <v>0</v>
      </c>
      <c r="J245" s="245">
        <v>0</v>
      </c>
      <c r="K245" s="360">
        <f t="shared" ref="K245:K269" si="87">IF(J$240=0,0,J245/J$240)</f>
        <v>0</v>
      </c>
    </row>
    <row r="246" spans="2:11" ht="14.4" hidden="1" outlineLevel="1">
      <c r="B246" s="32"/>
      <c r="C246" s="66" t="s">
        <v>231</v>
      </c>
      <c r="D246" s="264">
        <v>0</v>
      </c>
      <c r="E246" s="359">
        <f t="shared" si="84"/>
        <v>0</v>
      </c>
      <c r="F246" s="264">
        <v>0</v>
      </c>
      <c r="G246" s="359">
        <f t="shared" si="85"/>
        <v>0</v>
      </c>
      <c r="H246" s="264">
        <v>0</v>
      </c>
      <c r="I246" s="359">
        <f t="shared" si="86"/>
        <v>0</v>
      </c>
      <c r="J246" s="264">
        <v>0</v>
      </c>
      <c r="K246" s="360">
        <f t="shared" si="87"/>
        <v>0</v>
      </c>
    </row>
    <row r="247" spans="2:11" ht="14.4" hidden="1" outlineLevel="1">
      <c r="B247" s="32"/>
      <c r="C247" s="66" t="s">
        <v>232</v>
      </c>
      <c r="D247" s="264">
        <v>0</v>
      </c>
      <c r="E247" s="359">
        <f t="shared" si="84"/>
        <v>0</v>
      </c>
      <c r="F247" s="264">
        <v>0</v>
      </c>
      <c r="G247" s="359">
        <f t="shared" si="85"/>
        <v>0</v>
      </c>
      <c r="H247" s="264">
        <v>0</v>
      </c>
      <c r="I247" s="359">
        <f t="shared" si="86"/>
        <v>0</v>
      </c>
      <c r="J247" s="264">
        <v>0</v>
      </c>
      <c r="K247" s="360">
        <f t="shared" si="87"/>
        <v>0</v>
      </c>
    </row>
    <row r="248" spans="2:11" ht="14.4" hidden="1" outlineLevel="1">
      <c r="B248" s="32"/>
      <c r="C248" s="66" t="s">
        <v>233</v>
      </c>
      <c r="D248" s="264">
        <v>0</v>
      </c>
      <c r="E248" s="359">
        <f t="shared" si="84"/>
        <v>0</v>
      </c>
      <c r="F248" s="264">
        <v>0</v>
      </c>
      <c r="G248" s="359">
        <f t="shared" si="85"/>
        <v>0</v>
      </c>
      <c r="H248" s="264">
        <v>0</v>
      </c>
      <c r="I248" s="359">
        <f t="shared" si="86"/>
        <v>0</v>
      </c>
      <c r="J248" s="264">
        <v>0</v>
      </c>
      <c r="K248" s="360">
        <f t="shared" si="87"/>
        <v>0</v>
      </c>
    </row>
    <row r="249" spans="2:11" ht="14.4" hidden="1" outlineLevel="1">
      <c r="B249" s="32"/>
      <c r="C249" s="66" t="s">
        <v>234</v>
      </c>
      <c r="D249" s="264">
        <v>0</v>
      </c>
      <c r="E249" s="359">
        <f t="shared" si="84"/>
        <v>0</v>
      </c>
      <c r="F249" s="264">
        <v>0</v>
      </c>
      <c r="G249" s="359">
        <f t="shared" si="85"/>
        <v>0</v>
      </c>
      <c r="H249" s="264">
        <v>0</v>
      </c>
      <c r="I249" s="359">
        <f t="shared" si="86"/>
        <v>0</v>
      </c>
      <c r="J249" s="264">
        <v>0</v>
      </c>
      <c r="K249" s="360">
        <f t="shared" si="87"/>
        <v>0</v>
      </c>
    </row>
    <row r="250" spans="2:11" ht="14.4" hidden="1" outlineLevel="1">
      <c r="B250" s="32"/>
      <c r="C250" s="66" t="s">
        <v>235</v>
      </c>
      <c r="D250" s="264">
        <v>0</v>
      </c>
      <c r="E250" s="359">
        <f t="shared" si="84"/>
        <v>0</v>
      </c>
      <c r="F250" s="264">
        <v>0</v>
      </c>
      <c r="G250" s="359">
        <f t="shared" si="85"/>
        <v>0</v>
      </c>
      <c r="H250" s="264">
        <v>0</v>
      </c>
      <c r="I250" s="359">
        <f t="shared" si="86"/>
        <v>0</v>
      </c>
      <c r="J250" s="264">
        <v>0</v>
      </c>
      <c r="K250" s="360">
        <f t="shared" si="87"/>
        <v>0</v>
      </c>
    </row>
    <row r="251" spans="2:11" ht="14.4" hidden="1" outlineLevel="1">
      <c r="B251" s="32"/>
      <c r="C251" s="66" t="s">
        <v>236</v>
      </c>
      <c r="D251" s="264">
        <v>0</v>
      </c>
      <c r="E251" s="359">
        <f t="shared" si="84"/>
        <v>0</v>
      </c>
      <c r="F251" s="264">
        <v>0</v>
      </c>
      <c r="G251" s="359">
        <f t="shared" si="85"/>
        <v>0</v>
      </c>
      <c r="H251" s="264">
        <v>0</v>
      </c>
      <c r="I251" s="359">
        <f t="shared" si="86"/>
        <v>0</v>
      </c>
      <c r="J251" s="264">
        <v>0</v>
      </c>
      <c r="K251" s="360">
        <f t="shared" si="87"/>
        <v>0</v>
      </c>
    </row>
    <row r="252" spans="2:11" ht="14.4" hidden="1" outlineLevel="1">
      <c r="B252" s="32"/>
      <c r="C252" s="66" t="s">
        <v>237</v>
      </c>
      <c r="D252" s="264">
        <v>0</v>
      </c>
      <c r="E252" s="359">
        <f t="shared" si="84"/>
        <v>0</v>
      </c>
      <c r="F252" s="264">
        <v>0</v>
      </c>
      <c r="G252" s="359">
        <f t="shared" si="85"/>
        <v>0</v>
      </c>
      <c r="H252" s="264">
        <v>0</v>
      </c>
      <c r="I252" s="359">
        <f t="shared" si="86"/>
        <v>0</v>
      </c>
      <c r="J252" s="264">
        <v>0</v>
      </c>
      <c r="K252" s="360">
        <f t="shared" si="87"/>
        <v>0</v>
      </c>
    </row>
    <row r="253" spans="2:11" ht="14.4" hidden="1" outlineLevel="1">
      <c r="B253" s="32"/>
      <c r="C253" s="66" t="s">
        <v>238</v>
      </c>
      <c r="D253" s="264">
        <v>0</v>
      </c>
      <c r="E253" s="359">
        <f t="shared" si="84"/>
        <v>0</v>
      </c>
      <c r="F253" s="264">
        <v>0</v>
      </c>
      <c r="G253" s="359">
        <f t="shared" si="85"/>
        <v>0</v>
      </c>
      <c r="H253" s="264">
        <v>0</v>
      </c>
      <c r="I253" s="359">
        <f t="shared" si="86"/>
        <v>0</v>
      </c>
      <c r="J253" s="264">
        <v>0</v>
      </c>
      <c r="K253" s="360">
        <f t="shared" si="87"/>
        <v>0</v>
      </c>
    </row>
    <row r="254" spans="2:11" ht="14.4" hidden="1" outlineLevel="2">
      <c r="B254" s="32"/>
      <c r="C254" s="66" t="s">
        <v>239</v>
      </c>
      <c r="D254" s="264">
        <v>0</v>
      </c>
      <c r="E254" s="359">
        <f t="shared" si="84"/>
        <v>0</v>
      </c>
      <c r="F254" s="264">
        <v>0</v>
      </c>
      <c r="G254" s="359">
        <f t="shared" si="85"/>
        <v>0</v>
      </c>
      <c r="H254" s="264">
        <v>0</v>
      </c>
      <c r="I254" s="359">
        <f t="shared" si="86"/>
        <v>0</v>
      </c>
      <c r="J254" s="264">
        <v>0</v>
      </c>
      <c r="K254" s="360">
        <f t="shared" si="87"/>
        <v>0</v>
      </c>
    </row>
    <row r="255" spans="2:11" ht="14.4" hidden="1" outlineLevel="2">
      <c r="B255" s="32"/>
      <c r="C255" s="66" t="s">
        <v>240</v>
      </c>
      <c r="D255" s="264">
        <v>0</v>
      </c>
      <c r="E255" s="359">
        <f t="shared" si="84"/>
        <v>0</v>
      </c>
      <c r="F255" s="264">
        <v>0</v>
      </c>
      <c r="G255" s="359">
        <f t="shared" si="85"/>
        <v>0</v>
      </c>
      <c r="H255" s="264">
        <v>0</v>
      </c>
      <c r="I255" s="359">
        <f t="shared" si="86"/>
        <v>0</v>
      </c>
      <c r="J255" s="264">
        <v>0</v>
      </c>
      <c r="K255" s="360">
        <f t="shared" si="87"/>
        <v>0</v>
      </c>
    </row>
    <row r="256" spans="2:11" ht="14.4" hidden="1" outlineLevel="2">
      <c r="B256" s="32"/>
      <c r="C256" s="66" t="s">
        <v>241</v>
      </c>
      <c r="D256" s="264">
        <v>0</v>
      </c>
      <c r="E256" s="359">
        <f t="shared" si="84"/>
        <v>0</v>
      </c>
      <c r="F256" s="264">
        <v>0</v>
      </c>
      <c r="G256" s="359">
        <f t="shared" si="85"/>
        <v>0</v>
      </c>
      <c r="H256" s="264">
        <v>0</v>
      </c>
      <c r="I256" s="359">
        <f t="shared" si="86"/>
        <v>0</v>
      </c>
      <c r="J256" s="264">
        <v>0</v>
      </c>
      <c r="K256" s="360">
        <f t="shared" si="87"/>
        <v>0</v>
      </c>
    </row>
    <row r="257" spans="2:11" ht="14.4" hidden="1" outlineLevel="2">
      <c r="B257" s="32"/>
      <c r="C257" s="66" t="s">
        <v>242</v>
      </c>
      <c r="D257" s="264">
        <v>0</v>
      </c>
      <c r="E257" s="359">
        <f t="shared" si="84"/>
        <v>0</v>
      </c>
      <c r="F257" s="264">
        <v>0</v>
      </c>
      <c r="G257" s="359">
        <f t="shared" si="85"/>
        <v>0</v>
      </c>
      <c r="H257" s="264">
        <v>0</v>
      </c>
      <c r="I257" s="359">
        <f t="shared" si="86"/>
        <v>0</v>
      </c>
      <c r="J257" s="264">
        <v>0</v>
      </c>
      <c r="K257" s="360">
        <f t="shared" si="87"/>
        <v>0</v>
      </c>
    </row>
    <row r="258" spans="2:11" ht="14.4" hidden="1" outlineLevel="2">
      <c r="B258" s="32"/>
      <c r="C258" s="66" t="s">
        <v>243</v>
      </c>
      <c r="D258" s="264">
        <v>0</v>
      </c>
      <c r="E258" s="359">
        <f t="shared" si="84"/>
        <v>0</v>
      </c>
      <c r="F258" s="264">
        <v>0</v>
      </c>
      <c r="G258" s="359">
        <f t="shared" si="85"/>
        <v>0</v>
      </c>
      <c r="H258" s="264">
        <v>0</v>
      </c>
      <c r="I258" s="359">
        <f t="shared" si="86"/>
        <v>0</v>
      </c>
      <c r="J258" s="264">
        <v>0</v>
      </c>
      <c r="K258" s="360">
        <f t="shared" si="87"/>
        <v>0</v>
      </c>
    </row>
    <row r="259" spans="2:11" ht="14.4" hidden="1" outlineLevel="2">
      <c r="B259" s="32"/>
      <c r="C259" s="66" t="s">
        <v>244</v>
      </c>
      <c r="D259" s="264">
        <v>0</v>
      </c>
      <c r="E259" s="359">
        <f t="shared" si="84"/>
        <v>0</v>
      </c>
      <c r="F259" s="264">
        <v>0</v>
      </c>
      <c r="G259" s="359">
        <f t="shared" si="85"/>
        <v>0</v>
      </c>
      <c r="H259" s="264">
        <v>0</v>
      </c>
      <c r="I259" s="359">
        <f t="shared" si="86"/>
        <v>0</v>
      </c>
      <c r="J259" s="264">
        <v>0</v>
      </c>
      <c r="K259" s="360">
        <f t="shared" si="87"/>
        <v>0</v>
      </c>
    </row>
    <row r="260" spans="2:11" ht="14.4" hidden="1" outlineLevel="2">
      <c r="B260" s="32"/>
      <c r="C260" s="66" t="s">
        <v>245</v>
      </c>
      <c r="D260" s="264">
        <v>0</v>
      </c>
      <c r="E260" s="359">
        <f t="shared" si="84"/>
        <v>0</v>
      </c>
      <c r="F260" s="264">
        <v>0</v>
      </c>
      <c r="G260" s="359">
        <f t="shared" si="85"/>
        <v>0</v>
      </c>
      <c r="H260" s="264">
        <v>0</v>
      </c>
      <c r="I260" s="359">
        <f t="shared" si="86"/>
        <v>0</v>
      </c>
      <c r="J260" s="264">
        <v>0</v>
      </c>
      <c r="K260" s="360">
        <f t="shared" si="87"/>
        <v>0</v>
      </c>
    </row>
    <row r="261" spans="2:11" ht="14.4" hidden="1" outlineLevel="2">
      <c r="B261" s="32"/>
      <c r="C261" s="66" t="s">
        <v>246</v>
      </c>
      <c r="D261" s="264">
        <v>0</v>
      </c>
      <c r="E261" s="359">
        <f t="shared" si="84"/>
        <v>0</v>
      </c>
      <c r="F261" s="264">
        <v>0</v>
      </c>
      <c r="G261" s="359">
        <f t="shared" si="85"/>
        <v>0</v>
      </c>
      <c r="H261" s="264">
        <v>0</v>
      </c>
      <c r="I261" s="359">
        <f t="shared" si="86"/>
        <v>0</v>
      </c>
      <c r="J261" s="264">
        <v>0</v>
      </c>
      <c r="K261" s="360">
        <f t="shared" si="87"/>
        <v>0</v>
      </c>
    </row>
    <row r="262" spans="2:11" ht="14.4" hidden="1" outlineLevel="2">
      <c r="B262" s="32"/>
      <c r="C262" s="66" t="s">
        <v>247</v>
      </c>
      <c r="D262" s="264">
        <v>0</v>
      </c>
      <c r="E262" s="359">
        <f t="shared" si="84"/>
        <v>0</v>
      </c>
      <c r="F262" s="264">
        <v>0</v>
      </c>
      <c r="G262" s="359">
        <f t="shared" si="85"/>
        <v>0</v>
      </c>
      <c r="H262" s="264">
        <v>0</v>
      </c>
      <c r="I262" s="359">
        <f t="shared" si="86"/>
        <v>0</v>
      </c>
      <c r="J262" s="264">
        <v>0</v>
      </c>
      <c r="K262" s="360">
        <f t="shared" si="87"/>
        <v>0</v>
      </c>
    </row>
    <row r="263" spans="2:11" ht="14.4" hidden="1" outlineLevel="2">
      <c r="B263" s="32"/>
      <c r="C263" s="66" t="s">
        <v>248</v>
      </c>
      <c r="D263" s="264">
        <v>0</v>
      </c>
      <c r="E263" s="359">
        <f t="shared" si="84"/>
        <v>0</v>
      </c>
      <c r="F263" s="264">
        <v>0</v>
      </c>
      <c r="G263" s="359">
        <f t="shared" si="85"/>
        <v>0</v>
      </c>
      <c r="H263" s="264">
        <v>0</v>
      </c>
      <c r="I263" s="359">
        <f t="shared" si="86"/>
        <v>0</v>
      </c>
      <c r="J263" s="264">
        <v>0</v>
      </c>
      <c r="K263" s="360">
        <f t="shared" si="87"/>
        <v>0</v>
      </c>
    </row>
    <row r="264" spans="2:11" ht="14.4" hidden="1" outlineLevel="2">
      <c r="B264" s="32"/>
      <c r="C264" s="66" t="s">
        <v>249</v>
      </c>
      <c r="D264" s="264">
        <v>0</v>
      </c>
      <c r="E264" s="359">
        <f t="shared" si="84"/>
        <v>0</v>
      </c>
      <c r="F264" s="264">
        <v>0</v>
      </c>
      <c r="G264" s="359">
        <f t="shared" si="85"/>
        <v>0</v>
      </c>
      <c r="H264" s="264">
        <v>0</v>
      </c>
      <c r="I264" s="359">
        <f t="shared" si="86"/>
        <v>0</v>
      </c>
      <c r="J264" s="264">
        <v>0</v>
      </c>
      <c r="K264" s="360">
        <f t="shared" si="87"/>
        <v>0</v>
      </c>
    </row>
    <row r="265" spans="2:11" ht="14.4" hidden="1" outlineLevel="2">
      <c r="B265" s="32"/>
      <c r="C265" s="66" t="s">
        <v>249</v>
      </c>
      <c r="D265" s="264">
        <v>0</v>
      </c>
      <c r="E265" s="359">
        <f t="shared" si="84"/>
        <v>0</v>
      </c>
      <c r="F265" s="264">
        <v>0</v>
      </c>
      <c r="G265" s="359">
        <f t="shared" si="85"/>
        <v>0</v>
      </c>
      <c r="H265" s="264">
        <v>0</v>
      </c>
      <c r="I265" s="359">
        <f t="shared" si="86"/>
        <v>0</v>
      </c>
      <c r="J265" s="264">
        <v>0</v>
      </c>
      <c r="K265" s="360">
        <f t="shared" si="87"/>
        <v>0</v>
      </c>
    </row>
    <row r="266" spans="2:11" ht="14.4" hidden="1" outlineLevel="2">
      <c r="B266" s="32"/>
      <c r="C266" s="66" t="s">
        <v>249</v>
      </c>
      <c r="D266" s="264">
        <v>0</v>
      </c>
      <c r="E266" s="359">
        <f t="shared" si="84"/>
        <v>0</v>
      </c>
      <c r="F266" s="264">
        <v>0</v>
      </c>
      <c r="G266" s="359">
        <f t="shared" si="85"/>
        <v>0</v>
      </c>
      <c r="H266" s="264">
        <v>0</v>
      </c>
      <c r="I266" s="359">
        <f t="shared" si="86"/>
        <v>0</v>
      </c>
      <c r="J266" s="264">
        <v>0</v>
      </c>
      <c r="K266" s="360">
        <f t="shared" si="87"/>
        <v>0</v>
      </c>
    </row>
    <row r="267" spans="2:11" ht="14.4" hidden="1" outlineLevel="1">
      <c r="B267" s="49" t="s">
        <v>224</v>
      </c>
      <c r="C267" s="66" t="s">
        <v>249</v>
      </c>
      <c r="D267" s="264">
        <v>0</v>
      </c>
      <c r="E267" s="359">
        <f t="shared" si="84"/>
        <v>0</v>
      </c>
      <c r="F267" s="264">
        <v>0</v>
      </c>
      <c r="G267" s="359">
        <f t="shared" si="85"/>
        <v>0</v>
      </c>
      <c r="H267" s="264">
        <v>0</v>
      </c>
      <c r="I267" s="359">
        <f t="shared" si="86"/>
        <v>0</v>
      </c>
      <c r="J267" s="264">
        <v>0</v>
      </c>
      <c r="K267" s="360">
        <f t="shared" si="87"/>
        <v>0</v>
      </c>
    </row>
    <row r="268" spans="2:11" ht="14.4" hidden="1" outlineLevel="1">
      <c r="B268" s="32"/>
      <c r="C268" s="66" t="s">
        <v>249</v>
      </c>
      <c r="D268" s="251">
        <f>0-SUM(D245:D267)</f>
        <v>0</v>
      </c>
      <c r="E268" s="359">
        <f t="shared" si="84"/>
        <v>0</v>
      </c>
      <c r="F268" s="251">
        <f>0-SUM(F245:F267)</f>
        <v>0</v>
      </c>
      <c r="G268" s="359">
        <f t="shared" si="85"/>
        <v>0</v>
      </c>
      <c r="H268" s="251">
        <f>0-SUM(H245:H267)</f>
        <v>0</v>
      </c>
      <c r="I268" s="359">
        <f t="shared" si="86"/>
        <v>0</v>
      </c>
      <c r="J268" s="251">
        <f>0-SUM(J245:J267)</f>
        <v>0</v>
      </c>
      <c r="K268" s="360">
        <f t="shared" si="87"/>
        <v>0</v>
      </c>
    </row>
    <row r="269" spans="2:11" ht="14.4" hidden="1" outlineLevel="1">
      <c r="B269" s="32"/>
      <c r="C269" s="26" t="s">
        <v>250</v>
      </c>
      <c r="D269" s="277">
        <f>SUM(D245:D268)</f>
        <v>0</v>
      </c>
      <c r="E269" s="359">
        <f t="shared" si="84"/>
        <v>0</v>
      </c>
      <c r="F269" s="277">
        <f>SUM(F245:F268)</f>
        <v>0</v>
      </c>
      <c r="G269" s="359">
        <f t="shared" si="85"/>
        <v>0</v>
      </c>
      <c r="H269" s="277">
        <f>SUM(H245:H268)</f>
        <v>0</v>
      </c>
      <c r="I269" s="359">
        <f t="shared" si="86"/>
        <v>0</v>
      </c>
      <c r="J269" s="277">
        <f>SUM(J245:J268)</f>
        <v>0</v>
      </c>
      <c r="K269" s="360">
        <f t="shared" si="87"/>
        <v>0</v>
      </c>
    </row>
    <row r="270" spans="2:11" ht="14.4" hidden="1" outlineLevel="1">
      <c r="B270" s="32"/>
      <c r="C270" s="26"/>
      <c r="D270" s="278"/>
      <c r="E270" s="361"/>
      <c r="F270" s="278"/>
      <c r="G270" s="361"/>
      <c r="H270" s="278"/>
      <c r="I270" s="361"/>
      <c r="J270" s="278"/>
      <c r="K270" s="362"/>
    </row>
    <row r="271" spans="2:11" ht="14.4" hidden="1" outlineLevel="1">
      <c r="B271" s="32"/>
      <c r="C271" s="26" t="s">
        <v>251</v>
      </c>
      <c r="D271" s="277">
        <f>D242-D269</f>
        <v>0</v>
      </c>
      <c r="E271" s="359">
        <f>IF(D$240=0,0,D271/D$240)</f>
        <v>0</v>
      </c>
      <c r="F271" s="277">
        <f>F242-F269</f>
        <v>0</v>
      </c>
      <c r="G271" s="359">
        <f>IF(F$240=0,0,F271/F$240)</f>
        <v>0</v>
      </c>
      <c r="H271" s="277">
        <f>H242-H269</f>
        <v>0</v>
      </c>
      <c r="I271" s="359">
        <f>IF(H$240=0,0,H271/H$240)</f>
        <v>0</v>
      </c>
      <c r="J271" s="277">
        <f>J242-J269</f>
        <v>0</v>
      </c>
      <c r="K271" s="360">
        <f>IF(J$240=0,0,J271/J$240)</f>
        <v>0</v>
      </c>
    </row>
    <row r="272" spans="2:11" ht="14.4" hidden="1" outlineLevel="1">
      <c r="B272" s="32"/>
      <c r="C272" s="26"/>
      <c r="D272" s="280"/>
      <c r="E272" s="361"/>
      <c r="F272" s="280"/>
      <c r="G272" s="361"/>
      <c r="H272" s="280"/>
      <c r="I272" s="361"/>
      <c r="J272" s="280"/>
      <c r="K272" s="362"/>
    </row>
    <row r="273" spans="2:11" ht="14.4" hidden="1" outlineLevel="1">
      <c r="B273" s="32"/>
      <c r="C273" s="66" t="s">
        <v>252</v>
      </c>
      <c r="D273" s="245">
        <v>0</v>
      </c>
      <c r="E273" s="359">
        <f t="shared" ref="E273:E277" si="88">IF(D$240=0,0,D273/D$240)</f>
        <v>0</v>
      </c>
      <c r="F273" s="245">
        <v>0</v>
      </c>
      <c r="G273" s="359">
        <f t="shared" ref="G273:G277" si="89">IF(F$240=0,0,F273/F$240)</f>
        <v>0</v>
      </c>
      <c r="H273" s="245">
        <v>0</v>
      </c>
      <c r="I273" s="359">
        <f t="shared" ref="I273:I277" si="90">IF(H$240=0,0,H273/H$240)</f>
        <v>0</v>
      </c>
      <c r="J273" s="245">
        <v>0</v>
      </c>
      <c r="K273" s="360">
        <f t="shared" ref="K273:K277" si="91">IF(J$240=0,0,J273/J$240)</f>
        <v>0</v>
      </c>
    </row>
    <row r="274" spans="2:11" ht="14.4" hidden="1" outlineLevel="1">
      <c r="B274" s="32"/>
      <c r="C274" s="66" t="s">
        <v>252</v>
      </c>
      <c r="D274" s="264">
        <v>0</v>
      </c>
      <c r="E274" s="359">
        <f t="shared" si="88"/>
        <v>0</v>
      </c>
      <c r="F274" s="264">
        <v>0</v>
      </c>
      <c r="G274" s="359">
        <f t="shared" si="89"/>
        <v>0</v>
      </c>
      <c r="H274" s="264">
        <v>0</v>
      </c>
      <c r="I274" s="359">
        <f t="shared" si="90"/>
        <v>0</v>
      </c>
      <c r="J274" s="264">
        <v>0</v>
      </c>
      <c r="K274" s="360">
        <f t="shared" si="91"/>
        <v>0</v>
      </c>
    </row>
    <row r="275" spans="2:11" ht="14.4" hidden="1" outlineLevel="1">
      <c r="B275" s="32"/>
      <c r="C275" s="66" t="s">
        <v>254</v>
      </c>
      <c r="D275" s="264">
        <v>0</v>
      </c>
      <c r="E275" s="359">
        <f t="shared" si="88"/>
        <v>0</v>
      </c>
      <c r="F275" s="264">
        <v>0</v>
      </c>
      <c r="G275" s="359">
        <f t="shared" si="89"/>
        <v>0</v>
      </c>
      <c r="H275" s="264">
        <v>0</v>
      </c>
      <c r="I275" s="359">
        <f t="shared" si="90"/>
        <v>0</v>
      </c>
      <c r="J275" s="264">
        <v>0</v>
      </c>
      <c r="K275" s="360">
        <f t="shared" si="91"/>
        <v>0</v>
      </c>
    </row>
    <row r="276" spans="2:11" ht="14.4" hidden="1" outlineLevel="1">
      <c r="B276" s="32"/>
      <c r="C276" s="66" t="s">
        <v>254</v>
      </c>
      <c r="D276" s="251">
        <v>0</v>
      </c>
      <c r="E276" s="359">
        <f t="shared" si="88"/>
        <v>0</v>
      </c>
      <c r="F276" s="251">
        <v>0</v>
      </c>
      <c r="G276" s="359">
        <f t="shared" si="89"/>
        <v>0</v>
      </c>
      <c r="H276" s="251">
        <v>0</v>
      </c>
      <c r="I276" s="359">
        <f t="shared" si="90"/>
        <v>0</v>
      </c>
      <c r="J276" s="251">
        <v>0</v>
      </c>
      <c r="K276" s="360">
        <f t="shared" si="91"/>
        <v>0</v>
      </c>
    </row>
    <row r="277" spans="2:11" ht="14.4" hidden="1" outlineLevel="1">
      <c r="B277" s="32"/>
      <c r="C277" s="26" t="s">
        <v>255</v>
      </c>
      <c r="D277" s="277">
        <f>SUM(D273:D276)</f>
        <v>0</v>
      </c>
      <c r="E277" s="359">
        <f t="shared" si="88"/>
        <v>0</v>
      </c>
      <c r="F277" s="277">
        <f>SUM(F273:F276)</f>
        <v>0</v>
      </c>
      <c r="G277" s="359">
        <f t="shared" si="89"/>
        <v>0</v>
      </c>
      <c r="H277" s="277">
        <f>SUM(H273:H276)</f>
        <v>0</v>
      </c>
      <c r="I277" s="359">
        <f t="shared" si="90"/>
        <v>0</v>
      </c>
      <c r="J277" s="277">
        <f>SUM(J273:J276)</f>
        <v>0</v>
      </c>
      <c r="K277" s="360">
        <f t="shared" si="91"/>
        <v>0</v>
      </c>
    </row>
    <row r="278" spans="2:11" ht="14.4" hidden="1" outlineLevel="1">
      <c r="B278" s="32"/>
      <c r="C278" s="26"/>
      <c r="D278" s="278"/>
      <c r="E278" s="361"/>
      <c r="F278" s="278"/>
      <c r="G278" s="361"/>
      <c r="H278" s="278"/>
      <c r="I278" s="361"/>
      <c r="J278" s="278"/>
      <c r="K278" s="363"/>
    </row>
    <row r="279" spans="2:11" ht="14.4" hidden="1" outlineLevel="1">
      <c r="B279" s="32"/>
      <c r="C279" s="26" t="s">
        <v>256</v>
      </c>
      <c r="D279" s="277">
        <f>D242-D269+D277</f>
        <v>0</v>
      </c>
      <c r="E279" s="359">
        <f t="shared" ref="E279:E280" si="92">IF(D$240=0,0,D279/D$240)</f>
        <v>0</v>
      </c>
      <c r="F279" s="277">
        <f>F242-F269+F277</f>
        <v>0</v>
      </c>
      <c r="G279" s="359">
        <f t="shared" ref="G279:G280" si="93">IF(F$240=0,0,F279/F$240)</f>
        <v>0</v>
      </c>
      <c r="H279" s="277">
        <f>H242-H269+H277</f>
        <v>0</v>
      </c>
      <c r="I279" s="359">
        <f t="shared" ref="I279:I280" si="94">IF(H$240=0,0,H279/H$240)</f>
        <v>0</v>
      </c>
      <c r="J279" s="277">
        <f>J242-J269+J277</f>
        <v>0</v>
      </c>
      <c r="K279" s="360">
        <f t="shared" ref="K279:K280" si="95">IF(J$240=0,0,J279/J$240)</f>
        <v>0</v>
      </c>
    </row>
    <row r="280" spans="2:11" ht="14.4" hidden="1" outlineLevel="1">
      <c r="B280" s="32"/>
      <c r="C280" s="26" t="s">
        <v>257</v>
      </c>
      <c r="D280" s="277">
        <v>0</v>
      </c>
      <c r="E280" s="359">
        <f t="shared" si="92"/>
        <v>0</v>
      </c>
      <c r="F280" s="277">
        <v>0</v>
      </c>
      <c r="G280" s="359">
        <f t="shared" si="93"/>
        <v>0</v>
      </c>
      <c r="H280" s="277">
        <v>0</v>
      </c>
      <c r="I280" s="359">
        <f t="shared" si="94"/>
        <v>0</v>
      </c>
      <c r="J280" s="277">
        <v>0</v>
      </c>
      <c r="K280" s="360">
        <f t="shared" si="95"/>
        <v>0</v>
      </c>
    </row>
    <row r="281" spans="2:11" ht="14.4" hidden="1" outlineLevel="1">
      <c r="B281" s="32"/>
      <c r="C281" s="282"/>
      <c r="D281" s="283"/>
      <c r="E281" s="246"/>
      <c r="F281" s="283"/>
      <c r="G281" s="359"/>
      <c r="H281" s="283"/>
      <c r="I281" s="359"/>
      <c r="J281" s="283"/>
      <c r="K281" s="364"/>
    </row>
    <row r="282" spans="2:11" ht="14.4" hidden="1" outlineLevel="1">
      <c r="B282" s="32"/>
      <c r="C282" s="26" t="s">
        <v>258</v>
      </c>
      <c r="D282" s="277">
        <f>D279-D280</f>
        <v>0</v>
      </c>
      <c r="E282" s="359">
        <f>IF(D$240=0,0,D282/D$240)</f>
        <v>0</v>
      </c>
      <c r="F282" s="277">
        <f>F279-F280</f>
        <v>0</v>
      </c>
      <c r="G282" s="359">
        <f>IF(F$240=0,0,F282/F$240)</f>
        <v>0</v>
      </c>
      <c r="H282" s="277">
        <f>H279-H280</f>
        <v>0</v>
      </c>
      <c r="I282" s="359">
        <f>IF(H$240=0,0,H282/H$240)</f>
        <v>0</v>
      </c>
      <c r="J282" s="277">
        <f>J279-J280</f>
        <v>0</v>
      </c>
      <c r="K282" s="360">
        <f>IF(J$240=0,0,J282/J$240)</f>
        <v>0</v>
      </c>
    </row>
    <row r="283" spans="2:11" ht="15" hidden="1" outlineLevel="1" thickBot="1">
      <c r="B283" s="74"/>
      <c r="C283" s="76"/>
      <c r="D283" s="365"/>
      <c r="E283" s="366"/>
      <c r="F283" s="365"/>
      <c r="G283" s="366"/>
      <c r="H283" s="365"/>
      <c r="I283" s="366"/>
      <c r="J283" s="365"/>
      <c r="K283" s="367"/>
    </row>
    <row r="284" spans="2:11" ht="14.4" hidden="1" outlineLevel="1">
      <c r="B284" s="190"/>
      <c r="C284" s="289" t="s">
        <v>259</v>
      </c>
      <c r="D284" s="13"/>
      <c r="E284" s="13"/>
      <c r="F284" s="13"/>
      <c r="G284" s="13"/>
      <c r="H284" s="13"/>
      <c r="I284" s="13"/>
      <c r="J284" s="13"/>
      <c r="K284" s="192"/>
    </row>
    <row r="285" spans="2:11" ht="13.95" hidden="1" customHeight="1" outlineLevel="1">
      <c r="B285" s="32"/>
      <c r="C285" s="291" t="s">
        <v>260</v>
      </c>
      <c r="D285" s="292">
        <f>D245</f>
        <v>0</v>
      </c>
      <c r="E285" s="13"/>
      <c r="F285" s="292">
        <f>F245</f>
        <v>0</v>
      </c>
      <c r="G285" s="13"/>
      <c r="H285" s="292">
        <f>H245</f>
        <v>0</v>
      </c>
      <c r="I285" s="13"/>
      <c r="J285" s="292">
        <f>J245</f>
        <v>0</v>
      </c>
      <c r="K285" s="18"/>
    </row>
    <row r="286" spans="2:11" ht="14.4" hidden="1" outlineLevel="1">
      <c r="B286" s="32"/>
      <c r="C286" s="294" t="s">
        <v>261</v>
      </c>
      <c r="D286" s="292">
        <f>D252</f>
        <v>0</v>
      </c>
      <c r="E286" s="13"/>
      <c r="F286" s="292">
        <f>F252</f>
        <v>0</v>
      </c>
      <c r="G286" s="13"/>
      <c r="H286" s="292">
        <f>H252</f>
        <v>0</v>
      </c>
      <c r="I286" s="13"/>
      <c r="J286" s="292">
        <f>J252</f>
        <v>0</v>
      </c>
      <c r="K286" s="18"/>
    </row>
    <row r="287" spans="2:11" ht="14.4" hidden="1" outlineLevel="1">
      <c r="B287" s="32"/>
      <c r="C287" s="294" t="s">
        <v>262</v>
      </c>
      <c r="D287" s="292">
        <f>D251</f>
        <v>0</v>
      </c>
      <c r="E287" s="13"/>
      <c r="F287" s="292">
        <f>F251</f>
        <v>0</v>
      </c>
      <c r="G287" s="13"/>
      <c r="H287" s="292">
        <f>H251</f>
        <v>0</v>
      </c>
      <c r="I287" s="13"/>
      <c r="J287" s="292">
        <f>J251</f>
        <v>0</v>
      </c>
      <c r="K287" s="18"/>
    </row>
    <row r="288" spans="2:11" ht="14.4" hidden="1" outlineLevel="1">
      <c r="B288" s="32"/>
      <c r="C288" s="294" t="s">
        <v>263</v>
      </c>
      <c r="D288" s="292">
        <v>0</v>
      </c>
      <c r="E288" s="13"/>
      <c r="F288" s="292">
        <v>0</v>
      </c>
      <c r="G288" s="13"/>
      <c r="H288" s="292">
        <v>0</v>
      </c>
      <c r="I288" s="13"/>
      <c r="J288" s="292">
        <v>0</v>
      </c>
      <c r="K288" s="18"/>
    </row>
    <row r="289" spans="2:11" ht="14.4" hidden="1" outlineLevel="1">
      <c r="B289" s="32"/>
      <c r="C289" s="296" t="s">
        <v>264</v>
      </c>
      <c r="D289" s="292">
        <v>0</v>
      </c>
      <c r="E289" s="13"/>
      <c r="F289" s="292">
        <v>0</v>
      </c>
      <c r="G289" s="13"/>
      <c r="H289" s="292">
        <v>0</v>
      </c>
      <c r="I289" s="13"/>
      <c r="J289" s="292">
        <v>0</v>
      </c>
      <c r="K289" s="18"/>
    </row>
    <row r="290" spans="2:11" ht="14.4" hidden="1" outlineLevel="1">
      <c r="B290" s="32"/>
      <c r="C290" s="296" t="s">
        <v>264</v>
      </c>
      <c r="D290" s="292">
        <v>0</v>
      </c>
      <c r="E290" s="13"/>
      <c r="F290" s="292">
        <v>0</v>
      </c>
      <c r="G290" s="13"/>
      <c r="H290" s="292">
        <v>0</v>
      </c>
      <c r="I290" s="13"/>
      <c r="J290" s="292">
        <v>0</v>
      </c>
      <c r="K290" s="18"/>
    </row>
    <row r="291" spans="2:11" ht="14.4" hidden="1" outlineLevel="1">
      <c r="B291" s="32"/>
      <c r="C291" s="294" t="s">
        <v>265</v>
      </c>
      <c r="D291" s="292">
        <v>0</v>
      </c>
      <c r="E291" s="13"/>
      <c r="F291" s="292">
        <v>0</v>
      </c>
      <c r="G291" s="13"/>
      <c r="H291" s="292">
        <v>0</v>
      </c>
      <c r="I291" s="13"/>
      <c r="J291" s="292">
        <v>0</v>
      </c>
      <c r="K291" s="18"/>
    </row>
    <row r="292" spans="2:11" ht="14.4" hidden="1" outlineLevel="1">
      <c r="B292" s="32"/>
      <c r="C292" s="294" t="s">
        <v>266</v>
      </c>
      <c r="D292" s="298">
        <v>0</v>
      </c>
      <c r="E292" s="13"/>
      <c r="F292" s="298">
        <v>0</v>
      </c>
      <c r="G292" s="13"/>
      <c r="H292" s="298">
        <v>0</v>
      </c>
      <c r="I292" s="13"/>
      <c r="J292" s="298">
        <v>0</v>
      </c>
      <c r="K292" s="18"/>
    </row>
    <row r="293" spans="2:11" ht="14.4" hidden="1" outlineLevel="1">
      <c r="B293" s="32"/>
      <c r="C293" s="294"/>
      <c r="D293" s="13"/>
      <c r="E293" s="13"/>
      <c r="F293" s="13"/>
      <c r="G293" s="13"/>
      <c r="H293" s="13"/>
      <c r="I293" s="13"/>
      <c r="J293" s="13"/>
      <c r="K293" s="18"/>
    </row>
    <row r="294" spans="2:11" ht="14.4" hidden="1" outlineLevel="1">
      <c r="B294" s="32"/>
      <c r="C294" s="294" t="s">
        <v>267</v>
      </c>
      <c r="D294" s="299">
        <f>D282+SUM(D285:D292)</f>
        <v>0</v>
      </c>
      <c r="E294" s="294"/>
      <c r="F294" s="299">
        <f>F282+SUM(F285:F292)</f>
        <v>0</v>
      </c>
      <c r="G294" s="294"/>
      <c r="H294" s="299">
        <f>H282+SUM(H285:H292)</f>
        <v>0</v>
      </c>
      <c r="I294" s="294"/>
      <c r="J294" s="299">
        <f>J282+SUM(J285:J292)</f>
        <v>0</v>
      </c>
      <c r="K294" s="18"/>
    </row>
    <row r="295" spans="2:11" ht="14.4" hidden="1" outlineLevel="1">
      <c r="B295" s="32"/>
      <c r="C295" s="294"/>
      <c r="D295" s="13"/>
      <c r="E295" s="13"/>
      <c r="F295" s="13"/>
      <c r="G295" s="13"/>
      <c r="H295" s="13"/>
      <c r="I295" s="13"/>
      <c r="J295" s="13"/>
      <c r="K295" s="18"/>
    </row>
    <row r="296" spans="2:11" ht="14.4" hidden="1" outlineLevel="1">
      <c r="B296" s="32"/>
      <c r="C296" s="66" t="s">
        <v>316</v>
      </c>
      <c r="D296" s="292">
        <v>0</v>
      </c>
      <c r="E296" s="13"/>
      <c r="F296" s="292">
        <v>0</v>
      </c>
      <c r="G296" s="13"/>
      <c r="H296" s="292">
        <v>0</v>
      </c>
      <c r="I296" s="13"/>
      <c r="J296" s="292">
        <v>0</v>
      </c>
      <c r="K296" s="18"/>
    </row>
    <row r="297" spans="2:11" ht="14.4" hidden="1" outlineLevel="1">
      <c r="B297" s="32"/>
      <c r="C297" s="66" t="s">
        <v>268</v>
      </c>
      <c r="D297" s="252">
        <f>D296*D227</f>
        <v>0</v>
      </c>
      <c r="E297" s="13"/>
      <c r="F297" s="252">
        <f>F296*F227</f>
        <v>0</v>
      </c>
      <c r="G297" s="13"/>
      <c r="H297" s="252">
        <f>H296*H227</f>
        <v>0</v>
      </c>
      <c r="I297" s="13"/>
      <c r="J297" s="252">
        <f>J296*J227</f>
        <v>0</v>
      </c>
      <c r="K297" s="18"/>
    </row>
    <row r="298" spans="2:11" ht="14.4" hidden="1" outlineLevel="1">
      <c r="B298" s="32"/>
      <c r="C298" s="13"/>
      <c r="D298" s="13"/>
      <c r="E298" s="13"/>
      <c r="F298" s="13"/>
      <c r="G298" s="13"/>
      <c r="H298" s="13"/>
      <c r="I298" s="13"/>
      <c r="J298" s="13"/>
      <c r="K298" s="18"/>
    </row>
    <row r="299" spans="2:11" ht="14.4" hidden="1" outlineLevel="1">
      <c r="B299" s="32"/>
      <c r="C299" s="26" t="s">
        <v>275</v>
      </c>
      <c r="D299" s="301">
        <f>IFERROR(D294/D297,0)</f>
        <v>0</v>
      </c>
      <c r="E299" s="13"/>
      <c r="F299" s="301">
        <f>IFERROR(F294/F297,0)</f>
        <v>0</v>
      </c>
      <c r="G299" s="13"/>
      <c r="H299" s="301">
        <f>IFERROR(H294/H297,0)</f>
        <v>0</v>
      </c>
      <c r="I299" s="13"/>
      <c r="J299" s="301">
        <f>IFERROR(J294/J297,0)</f>
        <v>0</v>
      </c>
      <c r="K299" s="18"/>
    </row>
    <row r="300" spans="2:11" ht="15" collapsed="1" thickBot="1">
      <c r="B300" s="823" t="s">
        <v>317</v>
      </c>
      <c r="C300" s="824"/>
      <c r="D300" s="824"/>
      <c r="E300" s="75"/>
      <c r="F300" s="75"/>
      <c r="G300" s="75"/>
      <c r="H300" s="75"/>
      <c r="I300" s="75"/>
      <c r="J300" s="75"/>
      <c r="K300" s="35"/>
    </row>
    <row r="301" spans="2:11" ht="16.05" customHeight="1" thickBot="1">
      <c r="B301" s="368"/>
      <c r="C301" s="368"/>
      <c r="D301" s="368"/>
      <c r="E301" s="369"/>
      <c r="F301" s="369"/>
      <c r="G301" s="369"/>
      <c r="H301" s="369"/>
      <c r="I301" s="369"/>
      <c r="J301" s="369"/>
      <c r="K301" s="369"/>
    </row>
    <row r="302" spans="2:11" ht="16.05" hidden="1" customHeight="1" outlineLevel="1" thickBot="1">
      <c r="B302" s="860" t="s">
        <v>190</v>
      </c>
      <c r="C302" s="861"/>
      <c r="D302" s="861"/>
      <c r="E302" s="861"/>
      <c r="F302" s="861"/>
      <c r="G302" s="861"/>
      <c r="H302" s="861"/>
      <c r="I302" s="861"/>
      <c r="J302" s="861"/>
      <c r="K302" s="862"/>
    </row>
    <row r="303" spans="2:11" ht="16.05" hidden="1" customHeight="1" outlineLevel="1" thickBot="1">
      <c r="B303" s="882" t="s">
        <v>318</v>
      </c>
      <c r="C303" s="883"/>
      <c r="D303" s="883"/>
      <c r="E303" s="883"/>
      <c r="F303" s="883"/>
      <c r="G303" s="883"/>
      <c r="H303" s="883"/>
      <c r="I303" s="883"/>
      <c r="J303" s="883"/>
      <c r="K303" s="884"/>
    </row>
    <row r="304" spans="2:11" ht="16.05" hidden="1" customHeight="1" outlineLevel="1" thickBot="1">
      <c r="B304" s="227" t="s">
        <v>193</v>
      </c>
      <c r="C304" s="356" t="s">
        <v>79</v>
      </c>
      <c r="D304" s="21"/>
      <c r="E304" s="21"/>
      <c r="F304" s="21"/>
      <c r="G304" s="21"/>
      <c r="H304" s="21"/>
      <c r="I304" s="21"/>
      <c r="J304" s="21"/>
      <c r="K304" s="229"/>
    </row>
    <row r="305" spans="2:11" ht="16.05" hidden="1" customHeight="1" outlineLevel="1">
      <c r="B305" s="230" t="s">
        <v>196</v>
      </c>
      <c r="C305" s="66"/>
      <c r="D305" s="231">
        <v>44926</v>
      </c>
      <c r="E305" s="29"/>
      <c r="F305" s="231">
        <f>EOMONTH(D305,F306)</f>
        <v>45291</v>
      </c>
      <c r="G305" s="29"/>
      <c r="H305" s="231">
        <f>EOMONTH(F305,H306)</f>
        <v>45657</v>
      </c>
      <c r="I305" s="29"/>
      <c r="J305" s="231">
        <f>EOMONTH(H305,J306)</f>
        <v>45747</v>
      </c>
      <c r="K305" s="18"/>
    </row>
    <row r="306" spans="2:11" ht="16.05" hidden="1" customHeight="1" outlineLevel="1">
      <c r="B306" s="230" t="s">
        <v>198</v>
      </c>
      <c r="C306" s="66"/>
      <c r="D306" s="234">
        <v>12</v>
      </c>
      <c r="E306" s="235"/>
      <c r="F306" s="234">
        <v>12</v>
      </c>
      <c r="G306" s="235"/>
      <c r="H306" s="234">
        <v>12</v>
      </c>
      <c r="I306" s="235"/>
      <c r="J306" s="234">
        <v>3</v>
      </c>
      <c r="K306" s="236"/>
    </row>
    <row r="307" spans="2:11" ht="16.05" hidden="1" customHeight="1" outlineLevel="1">
      <c r="B307" s="230" t="s">
        <v>201</v>
      </c>
      <c r="C307" s="66"/>
      <c r="D307" s="237" t="s">
        <v>202</v>
      </c>
      <c r="E307" s="238"/>
      <c r="F307" s="237" t="s">
        <v>202</v>
      </c>
      <c r="G307" s="238"/>
      <c r="H307" s="237"/>
      <c r="I307" s="238"/>
      <c r="J307" s="237" t="s">
        <v>203</v>
      </c>
      <c r="K307" s="236"/>
    </row>
    <row r="308" spans="2:11" ht="16.05" hidden="1" customHeight="1" outlineLevel="1">
      <c r="B308" s="230" t="s">
        <v>205</v>
      </c>
      <c r="C308" s="66"/>
      <c r="D308" s="237"/>
      <c r="E308" s="238"/>
      <c r="F308" s="237"/>
      <c r="G308" s="238"/>
      <c r="H308" s="237"/>
      <c r="I308" s="238"/>
      <c r="J308" s="237"/>
      <c r="K308" s="236"/>
    </row>
    <row r="309" spans="2:11" ht="16.05" hidden="1" customHeight="1" outlineLevel="1">
      <c r="B309" s="19" t="s">
        <v>206</v>
      </c>
      <c r="C309" s="20"/>
      <c r="D309" s="357"/>
      <c r="E309" s="358"/>
      <c r="F309" s="357"/>
      <c r="G309" s="358"/>
      <c r="H309" s="357"/>
      <c r="I309" s="358"/>
      <c r="J309" s="242">
        <f>(J310/J306)*12</f>
        <v>0</v>
      </c>
      <c r="K309" s="243"/>
    </row>
    <row r="310" spans="2:11" ht="16.05" hidden="1" customHeight="1" outlineLevel="1">
      <c r="B310" s="49" t="s">
        <v>207</v>
      </c>
      <c r="C310" s="66" t="s">
        <v>208</v>
      </c>
      <c r="D310" s="245">
        <v>0</v>
      </c>
      <c r="E310" s="359">
        <f t="shared" ref="E310:E321" si="96">IF(D$319=0,0,D310/D$319)</f>
        <v>0</v>
      </c>
      <c r="F310" s="245">
        <v>0</v>
      </c>
      <c r="G310" s="359">
        <f t="shared" ref="G310:G321" si="97">IF(F$319=0,0,F310/F$319)</f>
        <v>0</v>
      </c>
      <c r="H310" s="245">
        <v>0</v>
      </c>
      <c r="I310" s="359">
        <f t="shared" ref="I310:I321" si="98">IF(H$319=0,0,H310/H$319)</f>
        <v>0</v>
      </c>
      <c r="J310" s="245">
        <v>0</v>
      </c>
      <c r="K310" s="360">
        <f t="shared" ref="K310:K321" si="99">IF(J$319=0,0,J310/J$319)</f>
        <v>0</v>
      </c>
    </row>
    <row r="311" spans="2:11" ht="14.4" hidden="1" outlineLevel="1">
      <c r="B311" s="49" t="s">
        <v>210</v>
      </c>
      <c r="C311" s="66" t="s">
        <v>208</v>
      </c>
      <c r="D311" s="251">
        <v>0</v>
      </c>
      <c r="E311" s="359">
        <f t="shared" si="96"/>
        <v>0</v>
      </c>
      <c r="F311" s="251">
        <v>0</v>
      </c>
      <c r="G311" s="359">
        <f t="shared" si="97"/>
        <v>0</v>
      </c>
      <c r="H311" s="251">
        <v>0</v>
      </c>
      <c r="I311" s="359">
        <f t="shared" si="98"/>
        <v>0</v>
      </c>
      <c r="J311" s="251">
        <v>0</v>
      </c>
      <c r="K311" s="360">
        <f t="shared" si="99"/>
        <v>0</v>
      </c>
    </row>
    <row r="312" spans="2:11" ht="14.4" hidden="1" outlineLevel="2">
      <c r="B312" s="49" t="s">
        <v>212</v>
      </c>
      <c r="C312" s="66" t="s">
        <v>208</v>
      </c>
      <c r="D312" s="252">
        <f>D310-D311</f>
        <v>0</v>
      </c>
      <c r="E312" s="359">
        <f t="shared" si="96"/>
        <v>0</v>
      </c>
      <c r="F312" s="252">
        <f>F310-F311</f>
        <v>0</v>
      </c>
      <c r="G312" s="359">
        <f t="shared" si="97"/>
        <v>0</v>
      </c>
      <c r="H312" s="252">
        <f>H310-H311</f>
        <v>0</v>
      </c>
      <c r="I312" s="359">
        <f t="shared" si="98"/>
        <v>0</v>
      </c>
      <c r="J312" s="252">
        <f>J310-J311</f>
        <v>0</v>
      </c>
      <c r="K312" s="360">
        <f t="shared" si="99"/>
        <v>0</v>
      </c>
    </row>
    <row r="313" spans="2:11" ht="14.4" hidden="1" outlineLevel="2">
      <c r="B313" s="49" t="s">
        <v>207</v>
      </c>
      <c r="C313" s="66" t="s">
        <v>215</v>
      </c>
      <c r="D313" s="245">
        <v>0</v>
      </c>
      <c r="E313" s="359">
        <f t="shared" si="96"/>
        <v>0</v>
      </c>
      <c r="F313" s="245">
        <v>0</v>
      </c>
      <c r="G313" s="359">
        <f t="shared" si="97"/>
        <v>0</v>
      </c>
      <c r="H313" s="245">
        <v>0</v>
      </c>
      <c r="I313" s="359">
        <f t="shared" si="98"/>
        <v>0</v>
      </c>
      <c r="J313" s="245">
        <v>0</v>
      </c>
      <c r="K313" s="360">
        <f t="shared" si="99"/>
        <v>0</v>
      </c>
    </row>
    <row r="314" spans="2:11" ht="14.4" hidden="1" outlineLevel="2">
      <c r="B314" s="49" t="s">
        <v>210</v>
      </c>
      <c r="C314" s="66" t="s">
        <v>215</v>
      </c>
      <c r="D314" s="251">
        <v>0</v>
      </c>
      <c r="E314" s="359">
        <f t="shared" si="96"/>
        <v>0</v>
      </c>
      <c r="F314" s="251">
        <v>0</v>
      </c>
      <c r="G314" s="359">
        <f t="shared" si="97"/>
        <v>0</v>
      </c>
      <c r="H314" s="251">
        <v>0</v>
      </c>
      <c r="I314" s="359">
        <f t="shared" si="98"/>
        <v>0</v>
      </c>
      <c r="J314" s="251">
        <v>0</v>
      </c>
      <c r="K314" s="360">
        <f t="shared" si="99"/>
        <v>0</v>
      </c>
    </row>
    <row r="315" spans="2:11" ht="14.4" hidden="1" outlineLevel="2">
      <c r="B315" s="49" t="s">
        <v>212</v>
      </c>
      <c r="C315" s="66" t="s">
        <v>215</v>
      </c>
      <c r="D315" s="252">
        <f>D313-D314</f>
        <v>0</v>
      </c>
      <c r="E315" s="359">
        <f t="shared" si="96"/>
        <v>0</v>
      </c>
      <c r="F315" s="252">
        <f>F313-F314</f>
        <v>0</v>
      </c>
      <c r="G315" s="359">
        <f t="shared" si="97"/>
        <v>0</v>
      </c>
      <c r="H315" s="252">
        <f>H313-H314</f>
        <v>0</v>
      </c>
      <c r="I315" s="359">
        <f t="shared" si="98"/>
        <v>0</v>
      </c>
      <c r="J315" s="252">
        <f>J313-J314</f>
        <v>0</v>
      </c>
      <c r="K315" s="360">
        <f t="shared" si="99"/>
        <v>0</v>
      </c>
    </row>
    <row r="316" spans="2:11" ht="14.4" hidden="1" outlineLevel="2">
      <c r="B316" s="49" t="s">
        <v>207</v>
      </c>
      <c r="C316" s="66" t="s">
        <v>219</v>
      </c>
      <c r="D316" s="245">
        <v>0</v>
      </c>
      <c r="E316" s="359">
        <f t="shared" si="96"/>
        <v>0</v>
      </c>
      <c r="F316" s="245">
        <v>0</v>
      </c>
      <c r="G316" s="359">
        <f t="shared" si="97"/>
        <v>0</v>
      </c>
      <c r="H316" s="245">
        <v>0</v>
      </c>
      <c r="I316" s="359">
        <f t="shared" si="98"/>
        <v>0</v>
      </c>
      <c r="J316" s="245">
        <v>0</v>
      </c>
      <c r="K316" s="360">
        <f t="shared" si="99"/>
        <v>0</v>
      </c>
    </row>
    <row r="317" spans="2:11" ht="14.4" hidden="1" outlineLevel="2">
      <c r="B317" s="49" t="s">
        <v>210</v>
      </c>
      <c r="C317" s="66" t="s">
        <v>219</v>
      </c>
      <c r="D317" s="251">
        <v>0</v>
      </c>
      <c r="E317" s="359">
        <f t="shared" si="96"/>
        <v>0</v>
      </c>
      <c r="F317" s="251">
        <v>0</v>
      </c>
      <c r="G317" s="359">
        <f t="shared" si="97"/>
        <v>0</v>
      </c>
      <c r="H317" s="251">
        <v>0</v>
      </c>
      <c r="I317" s="359">
        <f t="shared" si="98"/>
        <v>0</v>
      </c>
      <c r="J317" s="251">
        <v>0</v>
      </c>
      <c r="K317" s="360">
        <f t="shared" si="99"/>
        <v>0</v>
      </c>
    </row>
    <row r="318" spans="2:11" ht="14.4" hidden="1" outlineLevel="2">
      <c r="B318" s="49" t="s">
        <v>212</v>
      </c>
      <c r="C318" s="66" t="s">
        <v>219</v>
      </c>
      <c r="D318" s="252">
        <f>D316-D317</f>
        <v>0</v>
      </c>
      <c r="E318" s="359">
        <f t="shared" si="96"/>
        <v>0</v>
      </c>
      <c r="F318" s="252">
        <f>F316-F317</f>
        <v>0</v>
      </c>
      <c r="G318" s="359">
        <f t="shared" si="97"/>
        <v>0</v>
      </c>
      <c r="H318" s="252">
        <f>H316-H317</f>
        <v>0</v>
      </c>
      <c r="I318" s="359">
        <f t="shared" si="98"/>
        <v>0</v>
      </c>
      <c r="J318" s="252">
        <f>J316-J317</f>
        <v>0</v>
      </c>
      <c r="K318" s="360">
        <f t="shared" si="99"/>
        <v>0</v>
      </c>
    </row>
    <row r="319" spans="2:11" ht="14.4" hidden="1" outlineLevel="1" collapsed="1">
      <c r="B319" s="49" t="s">
        <v>224</v>
      </c>
      <c r="C319" s="26" t="s">
        <v>225</v>
      </c>
      <c r="D319" s="254">
        <f t="shared" ref="D319:D320" si="100">D310+D313+D316</f>
        <v>0</v>
      </c>
      <c r="E319" s="359">
        <f t="shared" si="96"/>
        <v>0</v>
      </c>
      <c r="F319" s="254">
        <f t="shared" ref="F319:F320" si="101">F310+F313+F316</f>
        <v>0</v>
      </c>
      <c r="G319" s="359">
        <f t="shared" si="97"/>
        <v>0</v>
      </c>
      <c r="H319" s="254">
        <f t="shared" ref="H319:H320" si="102">H310+H313+H316</f>
        <v>0</v>
      </c>
      <c r="I319" s="359">
        <f t="shared" si="98"/>
        <v>0</v>
      </c>
      <c r="J319" s="254">
        <f t="shared" ref="J319:J320" si="103">J310+J313+J316</f>
        <v>0</v>
      </c>
      <c r="K319" s="360">
        <f t="shared" si="99"/>
        <v>0</v>
      </c>
    </row>
    <row r="320" spans="2:11" ht="14.4" hidden="1" outlineLevel="1">
      <c r="B320" s="32"/>
      <c r="C320" s="26" t="s">
        <v>226</v>
      </c>
      <c r="D320" s="256">
        <f t="shared" si="100"/>
        <v>0</v>
      </c>
      <c r="E320" s="359">
        <f t="shared" si="96"/>
        <v>0</v>
      </c>
      <c r="F320" s="256">
        <f t="shared" si="101"/>
        <v>0</v>
      </c>
      <c r="G320" s="359">
        <f t="shared" si="97"/>
        <v>0</v>
      </c>
      <c r="H320" s="256">
        <f t="shared" si="102"/>
        <v>0</v>
      </c>
      <c r="I320" s="359">
        <f t="shared" si="98"/>
        <v>0</v>
      </c>
      <c r="J320" s="256">
        <f t="shared" si="103"/>
        <v>0</v>
      </c>
      <c r="K320" s="360">
        <f t="shared" si="99"/>
        <v>0</v>
      </c>
    </row>
    <row r="321" spans="2:11" ht="14.4" hidden="1" outlineLevel="1">
      <c r="B321" s="32"/>
      <c r="C321" s="26" t="s">
        <v>227</v>
      </c>
      <c r="D321" s="257">
        <f>D319-D320</f>
        <v>0</v>
      </c>
      <c r="E321" s="359">
        <f t="shared" si="96"/>
        <v>0</v>
      </c>
      <c r="F321" s="257">
        <f>F319-F320</f>
        <v>0</v>
      </c>
      <c r="G321" s="359">
        <f t="shared" si="97"/>
        <v>0</v>
      </c>
      <c r="H321" s="257">
        <f>H319-H320</f>
        <v>0</v>
      </c>
      <c r="I321" s="359">
        <f t="shared" si="98"/>
        <v>0</v>
      </c>
      <c r="J321" s="257">
        <f>J319-J320</f>
        <v>0</v>
      </c>
      <c r="K321" s="360">
        <f t="shared" si="99"/>
        <v>0</v>
      </c>
    </row>
    <row r="322" spans="2:11" ht="14.4" hidden="1" outlineLevel="1">
      <c r="B322" s="32"/>
      <c r="C322" s="26"/>
      <c r="D322" s="258"/>
      <c r="E322" s="361"/>
      <c r="F322" s="258"/>
      <c r="G322" s="361"/>
      <c r="H322" s="258"/>
      <c r="I322" s="361"/>
      <c r="J322" s="258"/>
      <c r="K322" s="362"/>
    </row>
    <row r="323" spans="2:11" ht="14.4" hidden="1" outlineLevel="1">
      <c r="B323" s="32"/>
      <c r="C323" s="26" t="s">
        <v>228</v>
      </c>
      <c r="D323" s="262"/>
      <c r="E323" s="359"/>
      <c r="F323" s="262"/>
      <c r="G323" s="359"/>
      <c r="H323" s="262"/>
      <c r="I323" s="359"/>
      <c r="J323" s="262"/>
      <c r="K323" s="362"/>
    </row>
    <row r="324" spans="2:11" ht="14.4" hidden="1" outlineLevel="1">
      <c r="B324" s="32"/>
      <c r="C324" s="66" t="s">
        <v>229</v>
      </c>
      <c r="D324" s="245">
        <v>0</v>
      </c>
      <c r="E324" s="359">
        <f t="shared" ref="E324:E348" si="104">IF(D$319=0,0,D324/D$319)</f>
        <v>0</v>
      </c>
      <c r="F324" s="245">
        <v>0</v>
      </c>
      <c r="G324" s="359">
        <f t="shared" ref="G324:G348" si="105">IF(F$319=0,0,F324/F$319)</f>
        <v>0</v>
      </c>
      <c r="H324" s="245">
        <v>0</v>
      </c>
      <c r="I324" s="359">
        <f t="shared" ref="I324:I348" si="106">IF(H$319=0,0,H324/H$319)</f>
        <v>0</v>
      </c>
      <c r="J324" s="245">
        <v>0</v>
      </c>
      <c r="K324" s="360">
        <f t="shared" ref="K324:K348" si="107">IF(J$319=0,0,J324/J$319)</f>
        <v>0</v>
      </c>
    </row>
    <row r="325" spans="2:11" ht="14.4" hidden="1" outlineLevel="1">
      <c r="B325" s="32"/>
      <c r="C325" s="66" t="s">
        <v>231</v>
      </c>
      <c r="D325" s="264">
        <v>0</v>
      </c>
      <c r="E325" s="359">
        <f t="shared" si="104"/>
        <v>0</v>
      </c>
      <c r="F325" s="264">
        <v>0</v>
      </c>
      <c r="G325" s="359">
        <f t="shared" si="105"/>
        <v>0</v>
      </c>
      <c r="H325" s="264">
        <v>0</v>
      </c>
      <c r="I325" s="359">
        <f t="shared" si="106"/>
        <v>0</v>
      </c>
      <c r="J325" s="264">
        <v>0</v>
      </c>
      <c r="K325" s="360">
        <f t="shared" si="107"/>
        <v>0</v>
      </c>
    </row>
    <row r="326" spans="2:11" ht="14.4" hidden="1" outlineLevel="1">
      <c r="B326" s="32"/>
      <c r="C326" s="66" t="s">
        <v>232</v>
      </c>
      <c r="D326" s="264">
        <v>0</v>
      </c>
      <c r="E326" s="359">
        <f t="shared" si="104"/>
        <v>0</v>
      </c>
      <c r="F326" s="264">
        <v>0</v>
      </c>
      <c r="G326" s="359">
        <f t="shared" si="105"/>
        <v>0</v>
      </c>
      <c r="H326" s="264">
        <v>0</v>
      </c>
      <c r="I326" s="359">
        <f t="shared" si="106"/>
        <v>0</v>
      </c>
      <c r="J326" s="264">
        <v>0</v>
      </c>
      <c r="K326" s="360">
        <f t="shared" si="107"/>
        <v>0</v>
      </c>
    </row>
    <row r="327" spans="2:11" ht="14.4" hidden="1" outlineLevel="1">
      <c r="B327" s="32"/>
      <c r="C327" s="66" t="s">
        <v>233</v>
      </c>
      <c r="D327" s="264">
        <v>0</v>
      </c>
      <c r="E327" s="359">
        <f t="shared" si="104"/>
        <v>0</v>
      </c>
      <c r="F327" s="264">
        <v>0</v>
      </c>
      <c r="G327" s="359">
        <f t="shared" si="105"/>
        <v>0</v>
      </c>
      <c r="H327" s="264">
        <v>0</v>
      </c>
      <c r="I327" s="359">
        <f t="shared" si="106"/>
        <v>0</v>
      </c>
      <c r="J327" s="264">
        <v>0</v>
      </c>
      <c r="K327" s="360">
        <f t="shared" si="107"/>
        <v>0</v>
      </c>
    </row>
    <row r="328" spans="2:11" ht="14.4" hidden="1" outlineLevel="1">
      <c r="B328" s="32"/>
      <c r="C328" s="66" t="s">
        <v>234</v>
      </c>
      <c r="D328" s="264">
        <v>0</v>
      </c>
      <c r="E328" s="359">
        <f t="shared" si="104"/>
        <v>0</v>
      </c>
      <c r="F328" s="264">
        <v>0</v>
      </c>
      <c r="G328" s="359">
        <f t="shared" si="105"/>
        <v>0</v>
      </c>
      <c r="H328" s="264">
        <v>0</v>
      </c>
      <c r="I328" s="359">
        <f t="shared" si="106"/>
        <v>0</v>
      </c>
      <c r="J328" s="264">
        <v>0</v>
      </c>
      <c r="K328" s="360">
        <f t="shared" si="107"/>
        <v>0</v>
      </c>
    </row>
    <row r="329" spans="2:11" ht="14.4" hidden="1" outlineLevel="1">
      <c r="B329" s="32"/>
      <c r="C329" s="66" t="s">
        <v>235</v>
      </c>
      <c r="D329" s="264">
        <v>0</v>
      </c>
      <c r="E329" s="359">
        <f t="shared" si="104"/>
        <v>0</v>
      </c>
      <c r="F329" s="264">
        <v>0</v>
      </c>
      <c r="G329" s="359">
        <f t="shared" si="105"/>
        <v>0</v>
      </c>
      <c r="H329" s="264">
        <v>0</v>
      </c>
      <c r="I329" s="359">
        <f t="shared" si="106"/>
        <v>0</v>
      </c>
      <c r="J329" s="264">
        <v>0</v>
      </c>
      <c r="K329" s="360">
        <f t="shared" si="107"/>
        <v>0</v>
      </c>
    </row>
    <row r="330" spans="2:11" ht="14.4" hidden="1" outlineLevel="1">
      <c r="B330" s="32"/>
      <c r="C330" s="66" t="s">
        <v>236</v>
      </c>
      <c r="D330" s="264">
        <v>0</v>
      </c>
      <c r="E330" s="359">
        <f t="shared" si="104"/>
        <v>0</v>
      </c>
      <c r="F330" s="264">
        <v>0</v>
      </c>
      <c r="G330" s="359">
        <f t="shared" si="105"/>
        <v>0</v>
      </c>
      <c r="H330" s="264">
        <v>0</v>
      </c>
      <c r="I330" s="359">
        <f t="shared" si="106"/>
        <v>0</v>
      </c>
      <c r="J330" s="264">
        <v>0</v>
      </c>
      <c r="K330" s="360">
        <f t="shared" si="107"/>
        <v>0</v>
      </c>
    </row>
    <row r="331" spans="2:11" ht="14.4" hidden="1" outlineLevel="1">
      <c r="B331" s="32"/>
      <c r="C331" s="66" t="s">
        <v>237</v>
      </c>
      <c r="D331" s="264">
        <v>0</v>
      </c>
      <c r="E331" s="359">
        <f t="shared" si="104"/>
        <v>0</v>
      </c>
      <c r="F331" s="264">
        <v>0</v>
      </c>
      <c r="G331" s="359">
        <f t="shared" si="105"/>
        <v>0</v>
      </c>
      <c r="H331" s="264">
        <v>0</v>
      </c>
      <c r="I331" s="359">
        <f t="shared" si="106"/>
        <v>0</v>
      </c>
      <c r="J331" s="264">
        <v>0</v>
      </c>
      <c r="K331" s="360">
        <f t="shared" si="107"/>
        <v>0</v>
      </c>
    </row>
    <row r="332" spans="2:11" ht="14.4" hidden="1" outlineLevel="1">
      <c r="B332" s="32"/>
      <c r="C332" s="66" t="s">
        <v>238</v>
      </c>
      <c r="D332" s="264">
        <v>0</v>
      </c>
      <c r="E332" s="359">
        <f t="shared" si="104"/>
        <v>0</v>
      </c>
      <c r="F332" s="264">
        <v>0</v>
      </c>
      <c r="G332" s="359">
        <f t="shared" si="105"/>
        <v>0</v>
      </c>
      <c r="H332" s="264">
        <v>0</v>
      </c>
      <c r="I332" s="359">
        <f t="shared" si="106"/>
        <v>0</v>
      </c>
      <c r="J332" s="264">
        <v>0</v>
      </c>
      <c r="K332" s="360">
        <f t="shared" si="107"/>
        <v>0</v>
      </c>
    </row>
    <row r="333" spans="2:11" ht="14.4" hidden="1" outlineLevel="2">
      <c r="B333" s="32"/>
      <c r="C333" s="66" t="s">
        <v>239</v>
      </c>
      <c r="D333" s="264">
        <v>0</v>
      </c>
      <c r="E333" s="359">
        <f t="shared" si="104"/>
        <v>0</v>
      </c>
      <c r="F333" s="264">
        <v>0</v>
      </c>
      <c r="G333" s="359">
        <f t="shared" si="105"/>
        <v>0</v>
      </c>
      <c r="H333" s="264">
        <v>0</v>
      </c>
      <c r="I333" s="359">
        <f t="shared" si="106"/>
        <v>0</v>
      </c>
      <c r="J333" s="264">
        <v>0</v>
      </c>
      <c r="K333" s="360">
        <f t="shared" si="107"/>
        <v>0</v>
      </c>
    </row>
    <row r="334" spans="2:11" ht="14.4" hidden="1" outlineLevel="2">
      <c r="B334" s="32"/>
      <c r="C334" s="66" t="s">
        <v>240</v>
      </c>
      <c r="D334" s="264">
        <v>0</v>
      </c>
      <c r="E334" s="359">
        <f t="shared" si="104"/>
        <v>0</v>
      </c>
      <c r="F334" s="264">
        <v>0</v>
      </c>
      <c r="G334" s="359">
        <f t="shared" si="105"/>
        <v>0</v>
      </c>
      <c r="H334" s="264">
        <v>0</v>
      </c>
      <c r="I334" s="359">
        <f t="shared" si="106"/>
        <v>0</v>
      </c>
      <c r="J334" s="264">
        <v>0</v>
      </c>
      <c r="K334" s="360">
        <f t="shared" si="107"/>
        <v>0</v>
      </c>
    </row>
    <row r="335" spans="2:11" ht="14.4" hidden="1" outlineLevel="2">
      <c r="B335" s="32"/>
      <c r="C335" s="66" t="s">
        <v>241</v>
      </c>
      <c r="D335" s="264">
        <v>0</v>
      </c>
      <c r="E335" s="359">
        <f t="shared" si="104"/>
        <v>0</v>
      </c>
      <c r="F335" s="264">
        <v>0</v>
      </c>
      <c r="G335" s="359">
        <f t="shared" si="105"/>
        <v>0</v>
      </c>
      <c r="H335" s="264">
        <v>0</v>
      </c>
      <c r="I335" s="359">
        <f t="shared" si="106"/>
        <v>0</v>
      </c>
      <c r="J335" s="264">
        <v>0</v>
      </c>
      <c r="K335" s="360">
        <f t="shared" si="107"/>
        <v>0</v>
      </c>
    </row>
    <row r="336" spans="2:11" ht="14.4" hidden="1" outlineLevel="2">
      <c r="B336" s="32"/>
      <c r="C336" s="66" t="s">
        <v>242</v>
      </c>
      <c r="D336" s="264">
        <v>0</v>
      </c>
      <c r="E336" s="359">
        <f t="shared" si="104"/>
        <v>0</v>
      </c>
      <c r="F336" s="264">
        <v>0</v>
      </c>
      <c r="G336" s="359">
        <f t="shared" si="105"/>
        <v>0</v>
      </c>
      <c r="H336" s="264">
        <v>0</v>
      </c>
      <c r="I336" s="359">
        <f t="shared" si="106"/>
        <v>0</v>
      </c>
      <c r="J336" s="264">
        <v>0</v>
      </c>
      <c r="K336" s="360">
        <f t="shared" si="107"/>
        <v>0</v>
      </c>
    </row>
    <row r="337" spans="2:11" ht="14.4" hidden="1" outlineLevel="2">
      <c r="B337" s="32"/>
      <c r="C337" s="66" t="s">
        <v>243</v>
      </c>
      <c r="D337" s="264">
        <v>0</v>
      </c>
      <c r="E337" s="359">
        <f t="shared" si="104"/>
        <v>0</v>
      </c>
      <c r="F337" s="264">
        <v>0</v>
      </c>
      <c r="G337" s="359">
        <f t="shared" si="105"/>
        <v>0</v>
      </c>
      <c r="H337" s="264">
        <v>0</v>
      </c>
      <c r="I337" s="359">
        <f t="shared" si="106"/>
        <v>0</v>
      </c>
      <c r="J337" s="264">
        <v>0</v>
      </c>
      <c r="K337" s="360">
        <f t="shared" si="107"/>
        <v>0</v>
      </c>
    </row>
    <row r="338" spans="2:11" ht="14.4" hidden="1" outlineLevel="2">
      <c r="B338" s="32"/>
      <c r="C338" s="66" t="s">
        <v>244</v>
      </c>
      <c r="D338" s="264">
        <v>0</v>
      </c>
      <c r="E338" s="359">
        <f t="shared" si="104"/>
        <v>0</v>
      </c>
      <c r="F338" s="264">
        <v>0</v>
      </c>
      <c r="G338" s="359">
        <f t="shared" si="105"/>
        <v>0</v>
      </c>
      <c r="H338" s="264">
        <v>0</v>
      </c>
      <c r="I338" s="359">
        <f t="shared" si="106"/>
        <v>0</v>
      </c>
      <c r="J338" s="264">
        <v>0</v>
      </c>
      <c r="K338" s="360">
        <f t="shared" si="107"/>
        <v>0</v>
      </c>
    </row>
    <row r="339" spans="2:11" ht="14.4" hidden="1" outlineLevel="2">
      <c r="B339" s="32"/>
      <c r="C339" s="66" t="s">
        <v>245</v>
      </c>
      <c r="D339" s="264">
        <v>0</v>
      </c>
      <c r="E339" s="359">
        <f t="shared" si="104"/>
        <v>0</v>
      </c>
      <c r="F339" s="264">
        <v>0</v>
      </c>
      <c r="G339" s="359">
        <f t="shared" si="105"/>
        <v>0</v>
      </c>
      <c r="H339" s="264">
        <v>0</v>
      </c>
      <c r="I339" s="359">
        <f t="shared" si="106"/>
        <v>0</v>
      </c>
      <c r="J339" s="264">
        <v>0</v>
      </c>
      <c r="K339" s="360">
        <f t="shared" si="107"/>
        <v>0</v>
      </c>
    </row>
    <row r="340" spans="2:11" ht="14.4" hidden="1" outlineLevel="2">
      <c r="B340" s="32"/>
      <c r="C340" s="66" t="s">
        <v>246</v>
      </c>
      <c r="D340" s="264">
        <v>0</v>
      </c>
      <c r="E340" s="359">
        <f t="shared" si="104"/>
        <v>0</v>
      </c>
      <c r="F340" s="264">
        <v>0</v>
      </c>
      <c r="G340" s="359">
        <f t="shared" si="105"/>
        <v>0</v>
      </c>
      <c r="H340" s="264">
        <v>0</v>
      </c>
      <c r="I340" s="359">
        <f t="shared" si="106"/>
        <v>0</v>
      </c>
      <c r="J340" s="264">
        <v>0</v>
      </c>
      <c r="K340" s="360">
        <f t="shared" si="107"/>
        <v>0</v>
      </c>
    </row>
    <row r="341" spans="2:11" ht="14.4" hidden="1" outlineLevel="2">
      <c r="B341" s="32"/>
      <c r="C341" s="66" t="s">
        <v>247</v>
      </c>
      <c r="D341" s="264">
        <v>0</v>
      </c>
      <c r="E341" s="359">
        <f t="shared" si="104"/>
        <v>0</v>
      </c>
      <c r="F341" s="264">
        <v>0</v>
      </c>
      <c r="G341" s="359">
        <f t="shared" si="105"/>
        <v>0</v>
      </c>
      <c r="H341" s="264">
        <v>0</v>
      </c>
      <c r="I341" s="359">
        <f t="shared" si="106"/>
        <v>0</v>
      </c>
      <c r="J341" s="264">
        <v>0</v>
      </c>
      <c r="K341" s="360">
        <f t="shared" si="107"/>
        <v>0</v>
      </c>
    </row>
    <row r="342" spans="2:11" ht="14.4" hidden="1" outlineLevel="2">
      <c r="B342" s="32"/>
      <c r="C342" s="66" t="s">
        <v>248</v>
      </c>
      <c r="D342" s="264">
        <v>0</v>
      </c>
      <c r="E342" s="359">
        <f t="shared" si="104"/>
        <v>0</v>
      </c>
      <c r="F342" s="264">
        <v>0</v>
      </c>
      <c r="G342" s="359">
        <f t="shared" si="105"/>
        <v>0</v>
      </c>
      <c r="H342" s="264">
        <v>0</v>
      </c>
      <c r="I342" s="359">
        <f t="shared" si="106"/>
        <v>0</v>
      </c>
      <c r="J342" s="264">
        <v>0</v>
      </c>
      <c r="K342" s="360">
        <f t="shared" si="107"/>
        <v>0</v>
      </c>
    </row>
    <row r="343" spans="2:11" ht="14.4" hidden="1" outlineLevel="2">
      <c r="B343" s="32"/>
      <c r="C343" s="66" t="s">
        <v>249</v>
      </c>
      <c r="D343" s="264">
        <v>0</v>
      </c>
      <c r="E343" s="359">
        <f t="shared" si="104"/>
        <v>0</v>
      </c>
      <c r="F343" s="264">
        <v>0</v>
      </c>
      <c r="G343" s="359">
        <f t="shared" si="105"/>
        <v>0</v>
      </c>
      <c r="H343" s="264">
        <v>0</v>
      </c>
      <c r="I343" s="359">
        <f t="shared" si="106"/>
        <v>0</v>
      </c>
      <c r="J343" s="264">
        <v>0</v>
      </c>
      <c r="K343" s="360">
        <f t="shared" si="107"/>
        <v>0</v>
      </c>
    </row>
    <row r="344" spans="2:11" ht="14.4" hidden="1" outlineLevel="2">
      <c r="B344" s="32"/>
      <c r="C344" s="66" t="s">
        <v>249</v>
      </c>
      <c r="D344" s="264">
        <v>0</v>
      </c>
      <c r="E344" s="359">
        <f t="shared" si="104"/>
        <v>0</v>
      </c>
      <c r="F344" s="264">
        <v>0</v>
      </c>
      <c r="G344" s="359">
        <f t="shared" si="105"/>
        <v>0</v>
      </c>
      <c r="H344" s="264">
        <v>0</v>
      </c>
      <c r="I344" s="359">
        <f t="shared" si="106"/>
        <v>0</v>
      </c>
      <c r="J344" s="264">
        <v>0</v>
      </c>
      <c r="K344" s="360">
        <f t="shared" si="107"/>
        <v>0</v>
      </c>
    </row>
    <row r="345" spans="2:11" ht="14.4" hidden="1" outlineLevel="2">
      <c r="B345" s="32"/>
      <c r="C345" s="66" t="s">
        <v>249</v>
      </c>
      <c r="D345" s="264">
        <v>0</v>
      </c>
      <c r="E345" s="359">
        <f t="shared" si="104"/>
        <v>0</v>
      </c>
      <c r="F345" s="264">
        <v>0</v>
      </c>
      <c r="G345" s="359">
        <f t="shared" si="105"/>
        <v>0</v>
      </c>
      <c r="H345" s="264">
        <v>0</v>
      </c>
      <c r="I345" s="359">
        <f t="shared" si="106"/>
        <v>0</v>
      </c>
      <c r="J345" s="264">
        <v>0</v>
      </c>
      <c r="K345" s="360">
        <f t="shared" si="107"/>
        <v>0</v>
      </c>
    </row>
    <row r="346" spans="2:11" ht="14.4" hidden="1" outlineLevel="1">
      <c r="B346" s="49" t="s">
        <v>224</v>
      </c>
      <c r="C346" s="66" t="s">
        <v>249</v>
      </c>
      <c r="D346" s="264">
        <v>0</v>
      </c>
      <c r="E346" s="359">
        <f t="shared" si="104"/>
        <v>0</v>
      </c>
      <c r="F346" s="264">
        <v>0</v>
      </c>
      <c r="G346" s="359">
        <f t="shared" si="105"/>
        <v>0</v>
      </c>
      <c r="H346" s="264">
        <v>0</v>
      </c>
      <c r="I346" s="359">
        <f t="shared" si="106"/>
        <v>0</v>
      </c>
      <c r="J346" s="264">
        <v>0</v>
      </c>
      <c r="K346" s="360">
        <f t="shared" si="107"/>
        <v>0</v>
      </c>
    </row>
    <row r="347" spans="2:11" ht="14.4" hidden="1" outlineLevel="1">
      <c r="B347" s="32"/>
      <c r="C347" s="66" t="s">
        <v>249</v>
      </c>
      <c r="D347" s="251">
        <f>0-SUM(D324:D346)</f>
        <v>0</v>
      </c>
      <c r="E347" s="359">
        <f t="shared" si="104"/>
        <v>0</v>
      </c>
      <c r="F347" s="251">
        <f>0-SUM(F324:F346)</f>
        <v>0</v>
      </c>
      <c r="G347" s="359">
        <f t="shared" si="105"/>
        <v>0</v>
      </c>
      <c r="H347" s="251">
        <f>0-SUM(H324:H346)</f>
        <v>0</v>
      </c>
      <c r="I347" s="359">
        <f t="shared" si="106"/>
        <v>0</v>
      </c>
      <c r="J347" s="251">
        <f>0-SUM(J324:J346)</f>
        <v>0</v>
      </c>
      <c r="K347" s="360">
        <f t="shared" si="107"/>
        <v>0</v>
      </c>
    </row>
    <row r="348" spans="2:11" ht="14.4" hidden="1" outlineLevel="1">
      <c r="B348" s="32"/>
      <c r="C348" s="26" t="s">
        <v>250</v>
      </c>
      <c r="D348" s="277">
        <f>SUM(D324:D347)</f>
        <v>0</v>
      </c>
      <c r="E348" s="359">
        <f t="shared" si="104"/>
        <v>0</v>
      </c>
      <c r="F348" s="277">
        <f>SUM(F324:F347)</f>
        <v>0</v>
      </c>
      <c r="G348" s="359">
        <f t="shared" si="105"/>
        <v>0</v>
      </c>
      <c r="H348" s="277">
        <f>SUM(H324:H347)</f>
        <v>0</v>
      </c>
      <c r="I348" s="359">
        <f t="shared" si="106"/>
        <v>0</v>
      </c>
      <c r="J348" s="277">
        <f>SUM(J324:J347)</f>
        <v>0</v>
      </c>
      <c r="K348" s="360">
        <f t="shared" si="107"/>
        <v>0</v>
      </c>
    </row>
    <row r="349" spans="2:11" ht="14.4" hidden="1" outlineLevel="1">
      <c r="B349" s="32"/>
      <c r="C349" s="26"/>
      <c r="D349" s="278"/>
      <c r="E349" s="361"/>
      <c r="F349" s="278"/>
      <c r="G349" s="361"/>
      <c r="H349" s="278"/>
      <c r="I349" s="361"/>
      <c r="J349" s="278"/>
      <c r="K349" s="362"/>
    </row>
    <row r="350" spans="2:11" ht="14.4" hidden="1" outlineLevel="1">
      <c r="B350" s="32"/>
      <c r="C350" s="26" t="s">
        <v>251</v>
      </c>
      <c r="D350" s="277">
        <f>D321-D348</f>
        <v>0</v>
      </c>
      <c r="E350" s="359">
        <f>IF(D$319=0,0,D350/D$319)</f>
        <v>0</v>
      </c>
      <c r="F350" s="277">
        <f>F321-F348</f>
        <v>0</v>
      </c>
      <c r="G350" s="359">
        <f>IF(F$319=0,0,F350/F$319)</f>
        <v>0</v>
      </c>
      <c r="H350" s="277">
        <f>H321-H348</f>
        <v>0</v>
      </c>
      <c r="I350" s="359">
        <f>IF(H$319=0,0,H350/H$319)</f>
        <v>0</v>
      </c>
      <c r="J350" s="277">
        <f>J321-J348</f>
        <v>0</v>
      </c>
      <c r="K350" s="360">
        <f>IF(J$319=0,0,J350/J$319)</f>
        <v>0</v>
      </c>
    </row>
    <row r="351" spans="2:11" ht="14.4" hidden="1" outlineLevel="1">
      <c r="B351" s="32"/>
      <c r="C351" s="26"/>
      <c r="D351" s="280"/>
      <c r="E351" s="361"/>
      <c r="F351" s="280"/>
      <c r="G351" s="361"/>
      <c r="H351" s="280"/>
      <c r="I351" s="361"/>
      <c r="J351" s="280"/>
      <c r="K351" s="362"/>
    </row>
    <row r="352" spans="2:11" ht="14.4" hidden="1" outlineLevel="1">
      <c r="B352" s="32"/>
      <c r="C352" s="66" t="s">
        <v>252</v>
      </c>
      <c r="D352" s="245">
        <v>0</v>
      </c>
      <c r="E352" s="359">
        <f t="shared" ref="E352:E356" si="108">IF(D$319=0,0,D352/D$319)</f>
        <v>0</v>
      </c>
      <c r="F352" s="245">
        <v>0</v>
      </c>
      <c r="G352" s="359">
        <f t="shared" ref="G352:G356" si="109">IF(F$319=0,0,F352/F$319)</f>
        <v>0</v>
      </c>
      <c r="H352" s="245">
        <v>0</v>
      </c>
      <c r="I352" s="359">
        <f t="shared" ref="I352:I356" si="110">IF(H$319=0,0,H352/H$319)</f>
        <v>0</v>
      </c>
      <c r="J352" s="245">
        <v>0</v>
      </c>
      <c r="K352" s="360">
        <f t="shared" ref="K352:K356" si="111">IF(J$319=0,0,J352/J$319)</f>
        <v>0</v>
      </c>
    </row>
    <row r="353" spans="2:11" ht="14.4" hidden="1" outlineLevel="1">
      <c r="B353" s="32"/>
      <c r="C353" s="66" t="s">
        <v>252</v>
      </c>
      <c r="D353" s="264">
        <v>0</v>
      </c>
      <c r="E353" s="359">
        <f t="shared" si="108"/>
        <v>0</v>
      </c>
      <c r="F353" s="264">
        <v>0</v>
      </c>
      <c r="G353" s="359">
        <f t="shared" si="109"/>
        <v>0</v>
      </c>
      <c r="H353" s="264">
        <v>0</v>
      </c>
      <c r="I353" s="359">
        <f t="shared" si="110"/>
        <v>0</v>
      </c>
      <c r="J353" s="264">
        <v>0</v>
      </c>
      <c r="K353" s="360">
        <f t="shared" si="111"/>
        <v>0</v>
      </c>
    </row>
    <row r="354" spans="2:11" ht="14.4" hidden="1" outlineLevel="1">
      <c r="B354" s="32"/>
      <c r="C354" s="66" t="s">
        <v>254</v>
      </c>
      <c r="D354" s="264">
        <v>0</v>
      </c>
      <c r="E354" s="359">
        <f t="shared" si="108"/>
        <v>0</v>
      </c>
      <c r="F354" s="264">
        <v>0</v>
      </c>
      <c r="G354" s="359">
        <f t="shared" si="109"/>
        <v>0</v>
      </c>
      <c r="H354" s="264">
        <v>0</v>
      </c>
      <c r="I354" s="359">
        <f t="shared" si="110"/>
        <v>0</v>
      </c>
      <c r="J354" s="264">
        <v>0</v>
      </c>
      <c r="K354" s="360">
        <f t="shared" si="111"/>
        <v>0</v>
      </c>
    </row>
    <row r="355" spans="2:11" ht="14.4" hidden="1" outlineLevel="1">
      <c r="B355" s="32"/>
      <c r="C355" s="66" t="s">
        <v>254</v>
      </c>
      <c r="D355" s="251">
        <v>0</v>
      </c>
      <c r="E355" s="359">
        <f t="shared" si="108"/>
        <v>0</v>
      </c>
      <c r="F355" s="251">
        <v>0</v>
      </c>
      <c r="G355" s="359">
        <f t="shared" si="109"/>
        <v>0</v>
      </c>
      <c r="H355" s="251">
        <v>0</v>
      </c>
      <c r="I355" s="359">
        <f t="shared" si="110"/>
        <v>0</v>
      </c>
      <c r="J355" s="251">
        <v>0</v>
      </c>
      <c r="K355" s="360">
        <f t="shared" si="111"/>
        <v>0</v>
      </c>
    </row>
    <row r="356" spans="2:11" ht="14.4" hidden="1" outlineLevel="1">
      <c r="B356" s="32"/>
      <c r="C356" s="26" t="s">
        <v>255</v>
      </c>
      <c r="D356" s="277">
        <f>SUM(D352:D355)</f>
        <v>0</v>
      </c>
      <c r="E356" s="359">
        <f t="shared" si="108"/>
        <v>0</v>
      </c>
      <c r="F356" s="277">
        <f>SUM(F352:F355)</f>
        <v>0</v>
      </c>
      <c r="G356" s="359">
        <f t="shared" si="109"/>
        <v>0</v>
      </c>
      <c r="H356" s="277">
        <f>SUM(H352:H355)</f>
        <v>0</v>
      </c>
      <c r="I356" s="359">
        <f t="shared" si="110"/>
        <v>0</v>
      </c>
      <c r="J356" s="277">
        <f>SUM(J352:J355)</f>
        <v>0</v>
      </c>
      <c r="K356" s="360">
        <f t="shared" si="111"/>
        <v>0</v>
      </c>
    </row>
    <row r="357" spans="2:11" ht="14.4" hidden="1" outlineLevel="1">
      <c r="B357" s="32"/>
      <c r="C357" s="26"/>
      <c r="D357" s="278"/>
      <c r="E357" s="361"/>
      <c r="F357" s="278"/>
      <c r="G357" s="361"/>
      <c r="H357" s="278"/>
      <c r="I357" s="361"/>
      <c r="J357" s="278"/>
      <c r="K357" s="363"/>
    </row>
    <row r="358" spans="2:11" ht="14.4" hidden="1" outlineLevel="1">
      <c r="B358" s="32"/>
      <c r="C358" s="26" t="s">
        <v>256</v>
      </c>
      <c r="D358" s="277">
        <f>D321-D348+D356</f>
        <v>0</v>
      </c>
      <c r="E358" s="359">
        <f t="shared" ref="E358:E359" si="112">IF(D$319=0,0,D358/D$319)</f>
        <v>0</v>
      </c>
      <c r="F358" s="277">
        <f>F321-F348+F356</f>
        <v>0</v>
      </c>
      <c r="G358" s="359">
        <f t="shared" ref="G358:G359" si="113">IF(F$319=0,0,F358/F$319)</f>
        <v>0</v>
      </c>
      <c r="H358" s="277">
        <f>H321-H348+H356</f>
        <v>0</v>
      </c>
      <c r="I358" s="359">
        <f t="shared" ref="I358:I359" si="114">IF(H$319=0,0,H358/H$319)</f>
        <v>0</v>
      </c>
      <c r="J358" s="277">
        <f>J321-J348+J356</f>
        <v>0</v>
      </c>
      <c r="K358" s="360">
        <f t="shared" ref="K358:K359" si="115">IF(J$319=0,0,J358/J$319)</f>
        <v>0</v>
      </c>
    </row>
    <row r="359" spans="2:11" ht="14.4" hidden="1" outlineLevel="1">
      <c r="B359" s="32"/>
      <c r="C359" s="26" t="s">
        <v>257</v>
      </c>
      <c r="D359" s="277">
        <v>0</v>
      </c>
      <c r="E359" s="359">
        <f t="shared" si="112"/>
        <v>0</v>
      </c>
      <c r="F359" s="277">
        <v>0</v>
      </c>
      <c r="G359" s="359">
        <f t="shared" si="113"/>
        <v>0</v>
      </c>
      <c r="H359" s="277">
        <v>0</v>
      </c>
      <c r="I359" s="359">
        <f t="shared" si="114"/>
        <v>0</v>
      </c>
      <c r="J359" s="277">
        <v>0</v>
      </c>
      <c r="K359" s="360">
        <f t="shared" si="115"/>
        <v>0</v>
      </c>
    </row>
    <row r="360" spans="2:11" ht="14.4" hidden="1" outlineLevel="1">
      <c r="B360" s="32"/>
      <c r="C360" s="282"/>
      <c r="D360" s="283"/>
      <c r="E360" s="359"/>
      <c r="F360" s="283"/>
      <c r="G360" s="359"/>
      <c r="H360" s="283"/>
      <c r="I360" s="359"/>
      <c r="J360" s="283"/>
      <c r="K360" s="364"/>
    </row>
    <row r="361" spans="2:11" ht="14.4" hidden="1" outlineLevel="1">
      <c r="B361" s="32"/>
      <c r="C361" s="26" t="s">
        <v>258</v>
      </c>
      <c r="D361" s="277">
        <f>D358-D359</f>
        <v>0</v>
      </c>
      <c r="E361" s="359">
        <f>IF(D$319=0,0,D361/D$319)</f>
        <v>0</v>
      </c>
      <c r="F361" s="277">
        <f>F358-F359</f>
        <v>0</v>
      </c>
      <c r="G361" s="359">
        <f>IF(F$319=0,0,F361/F$319)</f>
        <v>0</v>
      </c>
      <c r="H361" s="277">
        <f>H358-H359</f>
        <v>0</v>
      </c>
      <c r="I361" s="359">
        <f>IF(H$319=0,0,H361/H$319)</f>
        <v>0</v>
      </c>
      <c r="J361" s="277">
        <f>J358-J359</f>
        <v>0</v>
      </c>
      <c r="K361" s="360">
        <f>IF(J$319=0,0,J361/J$319)</f>
        <v>0</v>
      </c>
    </row>
    <row r="362" spans="2:11" ht="15" hidden="1" outlineLevel="1" thickBot="1">
      <c r="B362" s="74"/>
      <c r="C362" s="76"/>
      <c r="D362" s="365"/>
      <c r="E362" s="366"/>
      <c r="F362" s="365"/>
      <c r="G362" s="366"/>
      <c r="H362" s="365"/>
      <c r="I362" s="366"/>
      <c r="J362" s="365"/>
      <c r="K362" s="367"/>
    </row>
    <row r="363" spans="2:11" ht="14.4" hidden="1" outlineLevel="1">
      <c r="B363" s="190"/>
      <c r="C363" s="289" t="s">
        <v>259</v>
      </c>
      <c r="D363" s="13"/>
      <c r="E363" s="13"/>
      <c r="F363" s="13"/>
      <c r="G363" s="13"/>
      <c r="H363" s="13"/>
      <c r="I363" s="13"/>
      <c r="J363" s="13"/>
      <c r="K363" s="192"/>
    </row>
    <row r="364" spans="2:11" ht="14.4" hidden="1" outlineLevel="1">
      <c r="B364" s="32"/>
      <c r="C364" s="291" t="s">
        <v>260</v>
      </c>
      <c r="D364" s="292">
        <f>D324</f>
        <v>0</v>
      </c>
      <c r="E364" s="13"/>
      <c r="F364" s="292">
        <f>F324</f>
        <v>0</v>
      </c>
      <c r="G364" s="13"/>
      <c r="H364" s="292">
        <f>H324</f>
        <v>0</v>
      </c>
      <c r="I364" s="13"/>
      <c r="J364" s="292">
        <f>J324</f>
        <v>0</v>
      </c>
      <c r="K364" s="18"/>
    </row>
    <row r="365" spans="2:11" ht="14.4" hidden="1" outlineLevel="1">
      <c r="B365" s="32"/>
      <c r="C365" s="294" t="s">
        <v>261</v>
      </c>
      <c r="D365" s="292">
        <f>D331</f>
        <v>0</v>
      </c>
      <c r="E365" s="13"/>
      <c r="F365" s="292">
        <f>F331</f>
        <v>0</v>
      </c>
      <c r="G365" s="13"/>
      <c r="H365" s="292">
        <f>H331</f>
        <v>0</v>
      </c>
      <c r="I365" s="13"/>
      <c r="J365" s="292">
        <f>J331</f>
        <v>0</v>
      </c>
      <c r="K365" s="18"/>
    </row>
    <row r="366" spans="2:11" ht="14.4" hidden="1" outlineLevel="1">
      <c r="B366" s="32"/>
      <c r="C366" s="294" t="s">
        <v>262</v>
      </c>
      <c r="D366" s="292">
        <f>D330</f>
        <v>0</v>
      </c>
      <c r="E366" s="13"/>
      <c r="F366" s="292">
        <f>F330</f>
        <v>0</v>
      </c>
      <c r="G366" s="13"/>
      <c r="H366" s="292">
        <f>H330</f>
        <v>0</v>
      </c>
      <c r="I366" s="13"/>
      <c r="J366" s="292">
        <f>J330</f>
        <v>0</v>
      </c>
      <c r="K366" s="18"/>
    </row>
    <row r="367" spans="2:11" ht="14.4" hidden="1" outlineLevel="1">
      <c r="B367" s="32"/>
      <c r="C367" s="294" t="s">
        <v>263</v>
      </c>
      <c r="D367" s="292">
        <v>0</v>
      </c>
      <c r="E367" s="13"/>
      <c r="F367" s="292">
        <v>0</v>
      </c>
      <c r="G367" s="13"/>
      <c r="H367" s="292">
        <v>0</v>
      </c>
      <c r="I367" s="13"/>
      <c r="J367" s="292">
        <v>0</v>
      </c>
      <c r="K367" s="18"/>
    </row>
    <row r="368" spans="2:11" ht="14.4" hidden="1" outlineLevel="1">
      <c r="B368" s="32"/>
      <c r="C368" s="296" t="s">
        <v>264</v>
      </c>
      <c r="D368" s="292">
        <v>0</v>
      </c>
      <c r="E368" s="13"/>
      <c r="F368" s="292">
        <v>0</v>
      </c>
      <c r="G368" s="13"/>
      <c r="H368" s="292">
        <v>0</v>
      </c>
      <c r="I368" s="13"/>
      <c r="J368" s="292">
        <v>0</v>
      </c>
      <c r="K368" s="18"/>
    </row>
    <row r="369" spans="2:11" ht="14.4" hidden="1" outlineLevel="1">
      <c r="B369" s="32"/>
      <c r="C369" s="296" t="s">
        <v>264</v>
      </c>
      <c r="D369" s="292">
        <v>0</v>
      </c>
      <c r="E369" s="13"/>
      <c r="F369" s="292">
        <v>0</v>
      </c>
      <c r="G369" s="13"/>
      <c r="H369" s="292">
        <v>0</v>
      </c>
      <c r="I369" s="13"/>
      <c r="J369" s="292">
        <v>0</v>
      </c>
      <c r="K369" s="18"/>
    </row>
    <row r="370" spans="2:11" ht="14.4" hidden="1" outlineLevel="1">
      <c r="B370" s="32"/>
      <c r="C370" s="294" t="s">
        <v>265</v>
      </c>
      <c r="D370" s="292">
        <v>0</v>
      </c>
      <c r="E370" s="13"/>
      <c r="F370" s="292">
        <v>0</v>
      </c>
      <c r="G370" s="13"/>
      <c r="H370" s="292">
        <v>0</v>
      </c>
      <c r="I370" s="13"/>
      <c r="J370" s="292">
        <v>0</v>
      </c>
      <c r="K370" s="18"/>
    </row>
    <row r="371" spans="2:11" ht="14.4" hidden="1" outlineLevel="1">
      <c r="B371" s="32"/>
      <c r="C371" s="294" t="s">
        <v>266</v>
      </c>
      <c r="D371" s="298">
        <v>0</v>
      </c>
      <c r="E371" s="13"/>
      <c r="F371" s="298">
        <v>0</v>
      </c>
      <c r="G371" s="13"/>
      <c r="H371" s="298">
        <v>0</v>
      </c>
      <c r="I371" s="13"/>
      <c r="J371" s="298">
        <v>0</v>
      </c>
      <c r="K371" s="18"/>
    </row>
    <row r="372" spans="2:11" ht="14.4" hidden="1" outlineLevel="1">
      <c r="B372" s="32"/>
      <c r="C372" s="294"/>
      <c r="D372" s="13"/>
      <c r="E372" s="13"/>
      <c r="F372" s="13"/>
      <c r="G372" s="13"/>
      <c r="H372" s="13"/>
      <c r="I372" s="13"/>
      <c r="J372" s="13"/>
      <c r="K372" s="18"/>
    </row>
    <row r="373" spans="2:11" ht="14.4" hidden="1" outlineLevel="1">
      <c r="B373" s="32"/>
      <c r="C373" s="294" t="s">
        <v>267</v>
      </c>
      <c r="D373" s="299">
        <f>D361+SUM(D364:D371)</f>
        <v>0</v>
      </c>
      <c r="E373" s="294"/>
      <c r="F373" s="299">
        <f>F361+SUM(F364:F371)</f>
        <v>0</v>
      </c>
      <c r="G373" s="294"/>
      <c r="H373" s="299">
        <f>H361+SUM(H364:H371)</f>
        <v>0</v>
      </c>
      <c r="I373" s="294"/>
      <c r="J373" s="299">
        <f>J361+SUM(J364:J371)</f>
        <v>0</v>
      </c>
      <c r="K373" s="18"/>
    </row>
    <row r="374" spans="2:11" ht="14.4" hidden="1" outlineLevel="1">
      <c r="B374" s="32"/>
      <c r="C374" s="294"/>
      <c r="D374" s="13"/>
      <c r="E374" s="13"/>
      <c r="F374" s="13"/>
      <c r="G374" s="13"/>
      <c r="H374" s="13"/>
      <c r="I374" s="13"/>
      <c r="J374" s="13"/>
      <c r="K374" s="18"/>
    </row>
    <row r="375" spans="2:11" ht="14.4" hidden="1" outlineLevel="1">
      <c r="B375" s="32"/>
      <c r="C375" s="66" t="s">
        <v>316</v>
      </c>
      <c r="D375" s="292">
        <v>0</v>
      </c>
      <c r="E375" s="13"/>
      <c r="F375" s="292">
        <v>0</v>
      </c>
      <c r="G375" s="13"/>
      <c r="H375" s="292">
        <v>0</v>
      </c>
      <c r="I375" s="13"/>
      <c r="J375" s="292">
        <v>0</v>
      </c>
      <c r="K375" s="18"/>
    </row>
    <row r="376" spans="2:11" ht="14.4" hidden="1" outlineLevel="1">
      <c r="B376" s="32"/>
      <c r="C376" s="66" t="s">
        <v>268</v>
      </c>
      <c r="D376" s="252">
        <f>D375*D306</f>
        <v>0</v>
      </c>
      <c r="E376" s="13"/>
      <c r="F376" s="252">
        <f>F375*F306</f>
        <v>0</v>
      </c>
      <c r="G376" s="13"/>
      <c r="H376" s="252">
        <f>H375*H306</f>
        <v>0</v>
      </c>
      <c r="I376" s="13"/>
      <c r="J376" s="252">
        <f>J375*J306</f>
        <v>0</v>
      </c>
      <c r="K376" s="18"/>
    </row>
    <row r="377" spans="2:11" ht="14.4" hidden="1" outlineLevel="1">
      <c r="B377" s="32"/>
      <c r="C377" s="13"/>
      <c r="D377" s="13"/>
      <c r="E377" s="13"/>
      <c r="F377" s="13"/>
      <c r="G377" s="13"/>
      <c r="H377" s="13"/>
      <c r="I377" s="13"/>
      <c r="J377" s="13"/>
      <c r="K377" s="18"/>
    </row>
    <row r="378" spans="2:11" ht="14.4" hidden="1" outlineLevel="1">
      <c r="B378" s="32"/>
      <c r="C378" s="26" t="s">
        <v>275</v>
      </c>
      <c r="D378" s="301">
        <f>IFERROR(D373/D376,0)</f>
        <v>0</v>
      </c>
      <c r="E378" s="13"/>
      <c r="F378" s="301">
        <f>IFERROR(F373/F376,0)</f>
        <v>0</v>
      </c>
      <c r="G378" s="13"/>
      <c r="H378" s="301">
        <f>IFERROR(H373/H376,0)</f>
        <v>0</v>
      </c>
      <c r="I378" s="13"/>
      <c r="J378" s="301">
        <f>IFERROR(J373/J376,0)</f>
        <v>0</v>
      </c>
      <c r="K378" s="18"/>
    </row>
    <row r="379" spans="2:11" ht="15" collapsed="1" thickBot="1">
      <c r="B379" s="823" t="s">
        <v>319</v>
      </c>
      <c r="C379" s="824"/>
      <c r="D379" s="824"/>
      <c r="E379" s="75"/>
      <c r="F379" s="75"/>
      <c r="G379" s="75"/>
      <c r="H379" s="75"/>
      <c r="I379" s="75"/>
      <c r="J379" s="75"/>
      <c r="K379" s="35"/>
    </row>
    <row r="380" spans="2:11" ht="15" thickBot="1">
      <c r="B380" s="368"/>
      <c r="C380" s="368"/>
      <c r="D380" s="368"/>
      <c r="E380" s="369"/>
      <c r="F380" s="369"/>
      <c r="G380" s="369"/>
      <c r="H380" s="369"/>
      <c r="I380" s="369"/>
      <c r="J380" s="369"/>
      <c r="K380" s="369"/>
    </row>
    <row r="381" spans="2:11" ht="16.2" hidden="1" outlineLevel="1" thickBot="1">
      <c r="B381" s="860" t="s">
        <v>190</v>
      </c>
      <c r="C381" s="861"/>
      <c r="D381" s="861"/>
      <c r="E381" s="861"/>
      <c r="F381" s="861"/>
      <c r="G381" s="861"/>
      <c r="H381" s="861"/>
      <c r="I381" s="861"/>
      <c r="J381" s="861"/>
      <c r="K381" s="862"/>
    </row>
    <row r="382" spans="2:11" ht="15.6" hidden="1" outlineLevel="1">
      <c r="B382" s="857" t="s">
        <v>320</v>
      </c>
      <c r="C382" s="858"/>
      <c r="D382" s="858"/>
      <c r="E382" s="858"/>
      <c r="F382" s="858"/>
      <c r="G382" s="858"/>
      <c r="H382" s="858"/>
      <c r="I382" s="858"/>
      <c r="J382" s="858"/>
      <c r="K382" s="859"/>
    </row>
    <row r="383" spans="2:11" ht="15" hidden="1" outlineLevel="1" thickBot="1">
      <c r="B383" s="227" t="s">
        <v>193</v>
      </c>
      <c r="C383" s="356" t="s">
        <v>79</v>
      </c>
      <c r="D383" s="21"/>
      <c r="E383" s="21"/>
      <c r="F383" s="21"/>
      <c r="G383" s="21"/>
      <c r="H383" s="21"/>
      <c r="I383" s="21"/>
      <c r="J383" s="21"/>
      <c r="K383" s="229"/>
    </row>
    <row r="384" spans="2:11" ht="14.4" hidden="1" outlineLevel="1">
      <c r="B384" s="230" t="s">
        <v>196</v>
      </c>
      <c r="C384" s="66"/>
      <c r="D384" s="231">
        <v>44926</v>
      </c>
      <c r="E384" s="29"/>
      <c r="F384" s="231">
        <f>EOMONTH(D384,F385)</f>
        <v>45291</v>
      </c>
      <c r="G384" s="29"/>
      <c r="H384" s="231">
        <f>EOMONTH(F384,H385)</f>
        <v>45657</v>
      </c>
      <c r="I384" s="29"/>
      <c r="J384" s="231">
        <f>EOMONTH(H384,J385)</f>
        <v>45747</v>
      </c>
      <c r="K384" s="18"/>
    </row>
    <row r="385" spans="2:11" ht="14.4" hidden="1" outlineLevel="1">
      <c r="B385" s="230" t="s">
        <v>198</v>
      </c>
      <c r="C385" s="66"/>
      <c r="D385" s="234">
        <v>12</v>
      </c>
      <c r="E385" s="235"/>
      <c r="F385" s="234">
        <v>12</v>
      </c>
      <c r="G385" s="235"/>
      <c r="H385" s="234">
        <v>12</v>
      </c>
      <c r="I385" s="235"/>
      <c r="J385" s="234">
        <v>3</v>
      </c>
      <c r="K385" s="236"/>
    </row>
    <row r="386" spans="2:11" ht="14.4" hidden="1" outlineLevel="1">
      <c r="B386" s="230" t="s">
        <v>201</v>
      </c>
      <c r="C386" s="66"/>
      <c r="D386" s="237" t="s">
        <v>202</v>
      </c>
      <c r="E386" s="238"/>
      <c r="F386" s="237" t="s">
        <v>202</v>
      </c>
      <c r="G386" s="238"/>
      <c r="H386" s="237"/>
      <c r="I386" s="238"/>
      <c r="J386" s="237" t="s">
        <v>203</v>
      </c>
      <c r="K386" s="236"/>
    </row>
    <row r="387" spans="2:11" ht="14.4" hidden="1" outlineLevel="1">
      <c r="B387" s="230" t="s">
        <v>205</v>
      </c>
      <c r="C387" s="66"/>
      <c r="D387" s="237"/>
      <c r="E387" s="238"/>
      <c r="F387" s="237"/>
      <c r="G387" s="238"/>
      <c r="H387" s="237"/>
      <c r="I387" s="238"/>
      <c r="J387" s="237"/>
      <c r="K387" s="236"/>
    </row>
    <row r="388" spans="2:11" ht="14.4" hidden="1" outlineLevel="1">
      <c r="B388" s="19" t="s">
        <v>206</v>
      </c>
      <c r="C388" s="20"/>
      <c r="D388" s="357"/>
      <c r="E388" s="358"/>
      <c r="F388" s="357"/>
      <c r="G388" s="358"/>
      <c r="H388" s="357"/>
      <c r="I388" s="358"/>
      <c r="J388" s="242">
        <f>(J389/J385)*12</f>
        <v>0</v>
      </c>
      <c r="K388" s="243"/>
    </row>
    <row r="389" spans="2:11" ht="14.4" hidden="1" outlineLevel="1">
      <c r="B389" s="49" t="s">
        <v>207</v>
      </c>
      <c r="C389" s="66" t="s">
        <v>208</v>
      </c>
      <c r="D389" s="245">
        <v>0</v>
      </c>
      <c r="E389" s="359">
        <f t="shared" ref="E389:E400" si="116">IF(D$398=0,0,D389/D$398)</f>
        <v>0</v>
      </c>
      <c r="F389" s="245">
        <v>0</v>
      </c>
      <c r="G389" s="359">
        <f t="shared" ref="G389:G400" si="117">IF(F$398=0,0,F389/F$398)</f>
        <v>0</v>
      </c>
      <c r="H389" s="245">
        <v>0</v>
      </c>
      <c r="I389" s="359">
        <f t="shared" ref="I389:I400" si="118">IF(H$398=0,0,H389/H$398)</f>
        <v>0</v>
      </c>
      <c r="J389" s="245">
        <v>0</v>
      </c>
      <c r="K389" s="360">
        <f t="shared" ref="K389:K400" si="119">IF(J$398=0,0,J389/J$398)</f>
        <v>0</v>
      </c>
    </row>
    <row r="390" spans="2:11" ht="14.4" hidden="1" outlineLevel="1">
      <c r="B390" s="49" t="s">
        <v>210</v>
      </c>
      <c r="C390" s="66" t="s">
        <v>208</v>
      </c>
      <c r="D390" s="251">
        <v>0</v>
      </c>
      <c r="E390" s="359">
        <f t="shared" si="116"/>
        <v>0</v>
      </c>
      <c r="F390" s="251">
        <v>0</v>
      </c>
      <c r="G390" s="359">
        <f t="shared" si="117"/>
        <v>0</v>
      </c>
      <c r="H390" s="251">
        <v>0</v>
      </c>
      <c r="I390" s="359">
        <f t="shared" si="118"/>
        <v>0</v>
      </c>
      <c r="J390" s="251">
        <v>0</v>
      </c>
      <c r="K390" s="360">
        <f t="shared" si="119"/>
        <v>0</v>
      </c>
    </row>
    <row r="391" spans="2:11" ht="14.4" hidden="1" outlineLevel="2">
      <c r="B391" s="49" t="s">
        <v>212</v>
      </c>
      <c r="C391" s="66" t="s">
        <v>208</v>
      </c>
      <c r="D391" s="252">
        <f>D389-D390</f>
        <v>0</v>
      </c>
      <c r="E391" s="359">
        <f t="shared" si="116"/>
        <v>0</v>
      </c>
      <c r="F391" s="252">
        <f>F389-F390</f>
        <v>0</v>
      </c>
      <c r="G391" s="359">
        <f t="shared" si="117"/>
        <v>0</v>
      </c>
      <c r="H391" s="252">
        <f>H389-H390</f>
        <v>0</v>
      </c>
      <c r="I391" s="359">
        <f t="shared" si="118"/>
        <v>0</v>
      </c>
      <c r="J391" s="252">
        <f>J389-J390</f>
        <v>0</v>
      </c>
      <c r="K391" s="360">
        <f t="shared" si="119"/>
        <v>0</v>
      </c>
    </row>
    <row r="392" spans="2:11" ht="14.4" hidden="1" outlineLevel="2">
      <c r="B392" s="49" t="s">
        <v>207</v>
      </c>
      <c r="C392" s="66" t="s">
        <v>215</v>
      </c>
      <c r="D392" s="245">
        <v>0</v>
      </c>
      <c r="E392" s="359">
        <f t="shared" si="116"/>
        <v>0</v>
      </c>
      <c r="F392" s="245">
        <v>0</v>
      </c>
      <c r="G392" s="359">
        <f t="shared" si="117"/>
        <v>0</v>
      </c>
      <c r="H392" s="245">
        <v>0</v>
      </c>
      <c r="I392" s="359">
        <f t="shared" si="118"/>
        <v>0</v>
      </c>
      <c r="J392" s="245">
        <v>0</v>
      </c>
      <c r="K392" s="360">
        <f t="shared" si="119"/>
        <v>0</v>
      </c>
    </row>
    <row r="393" spans="2:11" ht="14.4" hidden="1" outlineLevel="2">
      <c r="B393" s="49" t="s">
        <v>210</v>
      </c>
      <c r="C393" s="66" t="s">
        <v>215</v>
      </c>
      <c r="D393" s="251">
        <v>0</v>
      </c>
      <c r="E393" s="359">
        <f t="shared" si="116"/>
        <v>0</v>
      </c>
      <c r="F393" s="251">
        <v>0</v>
      </c>
      <c r="G393" s="359">
        <f t="shared" si="117"/>
        <v>0</v>
      </c>
      <c r="H393" s="251">
        <v>0</v>
      </c>
      <c r="I393" s="359">
        <f t="shared" si="118"/>
        <v>0</v>
      </c>
      <c r="J393" s="251">
        <v>0</v>
      </c>
      <c r="K393" s="360">
        <f t="shared" si="119"/>
        <v>0</v>
      </c>
    </row>
    <row r="394" spans="2:11" ht="14.4" hidden="1" outlineLevel="2">
      <c r="B394" s="49" t="s">
        <v>212</v>
      </c>
      <c r="C394" s="66" t="s">
        <v>215</v>
      </c>
      <c r="D394" s="252">
        <f>D392-D393</f>
        <v>0</v>
      </c>
      <c r="E394" s="359">
        <f t="shared" si="116"/>
        <v>0</v>
      </c>
      <c r="F394" s="252">
        <f>F392-F393</f>
        <v>0</v>
      </c>
      <c r="G394" s="359">
        <f t="shared" si="117"/>
        <v>0</v>
      </c>
      <c r="H394" s="252">
        <f>H392-H393</f>
        <v>0</v>
      </c>
      <c r="I394" s="359">
        <f t="shared" si="118"/>
        <v>0</v>
      </c>
      <c r="J394" s="252">
        <f>J392-J393</f>
        <v>0</v>
      </c>
      <c r="K394" s="360">
        <f t="shared" si="119"/>
        <v>0</v>
      </c>
    </row>
    <row r="395" spans="2:11" ht="14.4" hidden="1" outlineLevel="2">
      <c r="B395" s="49" t="s">
        <v>207</v>
      </c>
      <c r="C395" s="66" t="s">
        <v>219</v>
      </c>
      <c r="D395" s="245">
        <v>0</v>
      </c>
      <c r="E395" s="359">
        <f t="shared" si="116"/>
        <v>0</v>
      </c>
      <c r="F395" s="245">
        <v>0</v>
      </c>
      <c r="G395" s="359">
        <f t="shared" si="117"/>
        <v>0</v>
      </c>
      <c r="H395" s="245">
        <v>0</v>
      </c>
      <c r="I395" s="359">
        <f t="shared" si="118"/>
        <v>0</v>
      </c>
      <c r="J395" s="245">
        <v>0</v>
      </c>
      <c r="K395" s="360">
        <f t="shared" si="119"/>
        <v>0</v>
      </c>
    </row>
    <row r="396" spans="2:11" ht="14.4" hidden="1" outlineLevel="2">
      <c r="B396" s="49" t="s">
        <v>210</v>
      </c>
      <c r="C396" s="66" t="s">
        <v>219</v>
      </c>
      <c r="D396" s="251">
        <v>0</v>
      </c>
      <c r="E396" s="359">
        <f t="shared" si="116"/>
        <v>0</v>
      </c>
      <c r="F396" s="251">
        <v>0</v>
      </c>
      <c r="G396" s="359">
        <f t="shared" si="117"/>
        <v>0</v>
      </c>
      <c r="H396" s="251">
        <v>0</v>
      </c>
      <c r="I396" s="359">
        <f t="shared" si="118"/>
        <v>0</v>
      </c>
      <c r="J396" s="251">
        <v>0</v>
      </c>
      <c r="K396" s="360">
        <f t="shared" si="119"/>
        <v>0</v>
      </c>
    </row>
    <row r="397" spans="2:11" ht="14.4" hidden="1" outlineLevel="2">
      <c r="B397" s="49" t="s">
        <v>212</v>
      </c>
      <c r="C397" s="66" t="s">
        <v>219</v>
      </c>
      <c r="D397" s="252">
        <f>D395-D396</f>
        <v>0</v>
      </c>
      <c r="E397" s="359">
        <f t="shared" si="116"/>
        <v>0</v>
      </c>
      <c r="F397" s="252">
        <f>F395-F396</f>
        <v>0</v>
      </c>
      <c r="G397" s="359">
        <f t="shared" si="117"/>
        <v>0</v>
      </c>
      <c r="H397" s="252">
        <f>H395-H396</f>
        <v>0</v>
      </c>
      <c r="I397" s="359">
        <f t="shared" si="118"/>
        <v>0</v>
      </c>
      <c r="J397" s="252">
        <f>J395-J396</f>
        <v>0</v>
      </c>
      <c r="K397" s="360">
        <f t="shared" si="119"/>
        <v>0</v>
      </c>
    </row>
    <row r="398" spans="2:11" ht="14.4" hidden="1" outlineLevel="1" collapsed="1">
      <c r="B398" s="49" t="s">
        <v>224</v>
      </c>
      <c r="C398" s="26" t="s">
        <v>225</v>
      </c>
      <c r="D398" s="254">
        <f t="shared" ref="D398:D399" si="120">D389+D392+D395</f>
        <v>0</v>
      </c>
      <c r="E398" s="359">
        <f t="shared" si="116"/>
        <v>0</v>
      </c>
      <c r="F398" s="254">
        <f t="shared" ref="F398:F399" si="121">F389+F392+F395</f>
        <v>0</v>
      </c>
      <c r="G398" s="359">
        <f t="shared" si="117"/>
        <v>0</v>
      </c>
      <c r="H398" s="254">
        <f t="shared" ref="H398:H399" si="122">H389+H392+H395</f>
        <v>0</v>
      </c>
      <c r="I398" s="359">
        <f t="shared" si="118"/>
        <v>0</v>
      </c>
      <c r="J398" s="254">
        <f t="shared" ref="J398:J399" si="123">J389+J392+J395</f>
        <v>0</v>
      </c>
      <c r="K398" s="360">
        <f t="shared" si="119"/>
        <v>0</v>
      </c>
    </row>
    <row r="399" spans="2:11" ht="14.4" hidden="1" outlineLevel="1">
      <c r="B399" s="32"/>
      <c r="C399" s="26" t="s">
        <v>226</v>
      </c>
      <c r="D399" s="256">
        <f t="shared" si="120"/>
        <v>0</v>
      </c>
      <c r="E399" s="359">
        <f t="shared" si="116"/>
        <v>0</v>
      </c>
      <c r="F399" s="256">
        <f t="shared" si="121"/>
        <v>0</v>
      </c>
      <c r="G399" s="359">
        <f t="shared" si="117"/>
        <v>0</v>
      </c>
      <c r="H399" s="256">
        <f t="shared" si="122"/>
        <v>0</v>
      </c>
      <c r="I399" s="359">
        <f t="shared" si="118"/>
        <v>0</v>
      </c>
      <c r="J399" s="256">
        <f t="shared" si="123"/>
        <v>0</v>
      </c>
      <c r="K399" s="360">
        <f t="shared" si="119"/>
        <v>0</v>
      </c>
    </row>
    <row r="400" spans="2:11" ht="14.4" hidden="1" outlineLevel="1">
      <c r="B400" s="32"/>
      <c r="C400" s="26" t="s">
        <v>227</v>
      </c>
      <c r="D400" s="257">
        <f>D398-D399</f>
        <v>0</v>
      </c>
      <c r="E400" s="359">
        <f t="shared" si="116"/>
        <v>0</v>
      </c>
      <c r="F400" s="257">
        <f>F398-F399</f>
        <v>0</v>
      </c>
      <c r="G400" s="359">
        <f t="shared" si="117"/>
        <v>0</v>
      </c>
      <c r="H400" s="257">
        <f>H398-H399</f>
        <v>0</v>
      </c>
      <c r="I400" s="359">
        <f t="shared" si="118"/>
        <v>0</v>
      </c>
      <c r="J400" s="257">
        <f>J398-J399</f>
        <v>0</v>
      </c>
      <c r="K400" s="360">
        <f t="shared" si="119"/>
        <v>0</v>
      </c>
    </row>
    <row r="401" spans="2:11" ht="14.4" hidden="1" outlineLevel="1">
      <c r="B401" s="32"/>
      <c r="C401" s="26"/>
      <c r="D401" s="258"/>
      <c r="E401" s="361"/>
      <c r="F401" s="258"/>
      <c r="G401" s="361"/>
      <c r="H401" s="258"/>
      <c r="I401" s="361"/>
      <c r="J401" s="258"/>
      <c r="K401" s="362"/>
    </row>
    <row r="402" spans="2:11" ht="14.4" hidden="1" outlineLevel="1">
      <c r="B402" s="32"/>
      <c r="C402" s="26" t="s">
        <v>228</v>
      </c>
      <c r="D402" s="262"/>
      <c r="E402" s="359"/>
      <c r="F402" s="262"/>
      <c r="G402" s="359"/>
      <c r="H402" s="262"/>
      <c r="I402" s="359"/>
      <c r="J402" s="262"/>
      <c r="K402" s="362"/>
    </row>
    <row r="403" spans="2:11" ht="14.4" hidden="1" outlineLevel="1">
      <c r="B403" s="32"/>
      <c r="C403" s="66" t="s">
        <v>229</v>
      </c>
      <c r="D403" s="245">
        <v>0</v>
      </c>
      <c r="E403" s="359">
        <f t="shared" ref="E403:E427" si="124">IF(D$398=0,0,D403/D$398)</f>
        <v>0</v>
      </c>
      <c r="F403" s="245">
        <v>0</v>
      </c>
      <c r="G403" s="359">
        <f t="shared" ref="G403:G427" si="125">IF(F$398=0,0,F403/F$398)</f>
        <v>0</v>
      </c>
      <c r="H403" s="245">
        <v>0</v>
      </c>
      <c r="I403" s="359">
        <f t="shared" ref="I403:I427" si="126">IF(H$398=0,0,H403/H$398)</f>
        <v>0</v>
      </c>
      <c r="J403" s="245">
        <v>0</v>
      </c>
      <c r="K403" s="360">
        <f t="shared" ref="K403:K427" si="127">IF(J$398=0,0,J403/J$398)</f>
        <v>0</v>
      </c>
    </row>
    <row r="404" spans="2:11" ht="14.4" hidden="1" outlineLevel="1">
      <c r="B404" s="32"/>
      <c r="C404" s="66" t="s">
        <v>231</v>
      </c>
      <c r="D404" s="264">
        <v>0</v>
      </c>
      <c r="E404" s="359">
        <f t="shared" si="124"/>
        <v>0</v>
      </c>
      <c r="F404" s="264">
        <v>0</v>
      </c>
      <c r="G404" s="359">
        <f t="shared" si="125"/>
        <v>0</v>
      </c>
      <c r="H404" s="264">
        <v>0</v>
      </c>
      <c r="I404" s="359">
        <f t="shared" si="126"/>
        <v>0</v>
      </c>
      <c r="J404" s="264">
        <v>0</v>
      </c>
      <c r="K404" s="360">
        <f t="shared" si="127"/>
        <v>0</v>
      </c>
    </row>
    <row r="405" spans="2:11" ht="14.4" hidden="1" outlineLevel="1">
      <c r="B405" s="32"/>
      <c r="C405" s="66" t="s">
        <v>232</v>
      </c>
      <c r="D405" s="264">
        <v>0</v>
      </c>
      <c r="E405" s="359">
        <f t="shared" si="124"/>
        <v>0</v>
      </c>
      <c r="F405" s="264">
        <v>0</v>
      </c>
      <c r="G405" s="359">
        <f t="shared" si="125"/>
        <v>0</v>
      </c>
      <c r="H405" s="264">
        <v>0</v>
      </c>
      <c r="I405" s="359">
        <f t="shared" si="126"/>
        <v>0</v>
      </c>
      <c r="J405" s="264">
        <v>0</v>
      </c>
      <c r="K405" s="360">
        <f t="shared" si="127"/>
        <v>0</v>
      </c>
    </row>
    <row r="406" spans="2:11" ht="14.4" hidden="1" outlineLevel="1">
      <c r="B406" s="32"/>
      <c r="C406" s="66" t="s">
        <v>233</v>
      </c>
      <c r="D406" s="264">
        <v>0</v>
      </c>
      <c r="E406" s="359">
        <f t="shared" si="124"/>
        <v>0</v>
      </c>
      <c r="F406" s="264">
        <v>0</v>
      </c>
      <c r="G406" s="359">
        <f t="shared" si="125"/>
        <v>0</v>
      </c>
      <c r="H406" s="264">
        <v>0</v>
      </c>
      <c r="I406" s="359">
        <f t="shared" si="126"/>
        <v>0</v>
      </c>
      <c r="J406" s="264">
        <v>0</v>
      </c>
      <c r="K406" s="360">
        <f t="shared" si="127"/>
        <v>0</v>
      </c>
    </row>
    <row r="407" spans="2:11" ht="14.4" hidden="1" outlineLevel="1">
      <c r="B407" s="32"/>
      <c r="C407" s="66" t="s">
        <v>234</v>
      </c>
      <c r="D407" s="264">
        <v>0</v>
      </c>
      <c r="E407" s="359">
        <f t="shared" si="124"/>
        <v>0</v>
      </c>
      <c r="F407" s="264">
        <v>0</v>
      </c>
      <c r="G407" s="359">
        <f t="shared" si="125"/>
        <v>0</v>
      </c>
      <c r="H407" s="264">
        <v>0</v>
      </c>
      <c r="I407" s="359">
        <f t="shared" si="126"/>
        <v>0</v>
      </c>
      <c r="J407" s="264">
        <v>0</v>
      </c>
      <c r="K407" s="360">
        <f t="shared" si="127"/>
        <v>0</v>
      </c>
    </row>
    <row r="408" spans="2:11" ht="14.4" hidden="1" outlineLevel="1">
      <c r="B408" s="32"/>
      <c r="C408" s="66" t="s">
        <v>235</v>
      </c>
      <c r="D408" s="264">
        <v>0</v>
      </c>
      <c r="E408" s="359">
        <f t="shared" si="124"/>
        <v>0</v>
      </c>
      <c r="F408" s="264">
        <v>0</v>
      </c>
      <c r="G408" s="359">
        <f t="shared" si="125"/>
        <v>0</v>
      </c>
      <c r="H408" s="264">
        <v>0</v>
      </c>
      <c r="I408" s="359">
        <f t="shared" si="126"/>
        <v>0</v>
      </c>
      <c r="J408" s="264">
        <v>0</v>
      </c>
      <c r="K408" s="360">
        <f t="shared" si="127"/>
        <v>0</v>
      </c>
    </row>
    <row r="409" spans="2:11" ht="14.4" hidden="1" outlineLevel="1">
      <c r="B409" s="32"/>
      <c r="C409" s="66" t="s">
        <v>236</v>
      </c>
      <c r="D409" s="264">
        <v>0</v>
      </c>
      <c r="E409" s="359">
        <f t="shared" si="124"/>
        <v>0</v>
      </c>
      <c r="F409" s="264">
        <v>0</v>
      </c>
      <c r="G409" s="359">
        <f t="shared" si="125"/>
        <v>0</v>
      </c>
      <c r="H409" s="264">
        <v>0</v>
      </c>
      <c r="I409" s="359">
        <f t="shared" si="126"/>
        <v>0</v>
      </c>
      <c r="J409" s="264">
        <v>0</v>
      </c>
      <c r="K409" s="360">
        <f t="shared" si="127"/>
        <v>0</v>
      </c>
    </row>
    <row r="410" spans="2:11" ht="14.4" hidden="1" outlineLevel="1">
      <c r="B410" s="32"/>
      <c r="C410" s="66" t="s">
        <v>237</v>
      </c>
      <c r="D410" s="264">
        <v>0</v>
      </c>
      <c r="E410" s="359">
        <f t="shared" si="124"/>
        <v>0</v>
      </c>
      <c r="F410" s="264">
        <v>0</v>
      </c>
      <c r="G410" s="359">
        <f t="shared" si="125"/>
        <v>0</v>
      </c>
      <c r="H410" s="264">
        <v>0</v>
      </c>
      <c r="I410" s="359">
        <f t="shared" si="126"/>
        <v>0</v>
      </c>
      <c r="J410" s="264">
        <v>0</v>
      </c>
      <c r="K410" s="360">
        <f t="shared" si="127"/>
        <v>0</v>
      </c>
    </row>
    <row r="411" spans="2:11" ht="14.4" hidden="1" outlineLevel="1">
      <c r="B411" s="32"/>
      <c r="C411" s="66" t="s">
        <v>238</v>
      </c>
      <c r="D411" s="264">
        <v>0</v>
      </c>
      <c r="E411" s="359">
        <f t="shared" si="124"/>
        <v>0</v>
      </c>
      <c r="F411" s="264">
        <v>0</v>
      </c>
      <c r="G411" s="359">
        <f t="shared" si="125"/>
        <v>0</v>
      </c>
      <c r="H411" s="264">
        <v>0</v>
      </c>
      <c r="I411" s="359">
        <f t="shared" si="126"/>
        <v>0</v>
      </c>
      <c r="J411" s="264">
        <v>0</v>
      </c>
      <c r="K411" s="360">
        <f t="shared" si="127"/>
        <v>0</v>
      </c>
    </row>
    <row r="412" spans="2:11" ht="14.4" hidden="1" outlineLevel="2">
      <c r="B412" s="32"/>
      <c r="C412" s="66" t="s">
        <v>239</v>
      </c>
      <c r="D412" s="264">
        <v>0</v>
      </c>
      <c r="E412" s="359">
        <f t="shared" si="124"/>
        <v>0</v>
      </c>
      <c r="F412" s="264">
        <v>0</v>
      </c>
      <c r="G412" s="359">
        <f t="shared" si="125"/>
        <v>0</v>
      </c>
      <c r="H412" s="264">
        <v>0</v>
      </c>
      <c r="I412" s="359">
        <f t="shared" si="126"/>
        <v>0</v>
      </c>
      <c r="J412" s="264">
        <v>0</v>
      </c>
      <c r="K412" s="360">
        <f t="shared" si="127"/>
        <v>0</v>
      </c>
    </row>
    <row r="413" spans="2:11" ht="14.4" hidden="1" outlineLevel="2">
      <c r="B413" s="32"/>
      <c r="C413" s="66" t="s">
        <v>240</v>
      </c>
      <c r="D413" s="264">
        <v>0</v>
      </c>
      <c r="E413" s="359">
        <f t="shared" si="124"/>
        <v>0</v>
      </c>
      <c r="F413" s="264">
        <v>0</v>
      </c>
      <c r="G413" s="359">
        <f t="shared" si="125"/>
        <v>0</v>
      </c>
      <c r="H413" s="264">
        <v>0</v>
      </c>
      <c r="I413" s="359">
        <f t="shared" si="126"/>
        <v>0</v>
      </c>
      <c r="J413" s="264">
        <v>0</v>
      </c>
      <c r="K413" s="360">
        <f t="shared" si="127"/>
        <v>0</v>
      </c>
    </row>
    <row r="414" spans="2:11" ht="14.4" hidden="1" outlineLevel="2">
      <c r="B414" s="32"/>
      <c r="C414" s="66" t="s">
        <v>241</v>
      </c>
      <c r="D414" s="264">
        <v>0</v>
      </c>
      <c r="E414" s="359">
        <f t="shared" si="124"/>
        <v>0</v>
      </c>
      <c r="F414" s="264">
        <v>0</v>
      </c>
      <c r="G414" s="359">
        <f t="shared" si="125"/>
        <v>0</v>
      </c>
      <c r="H414" s="264">
        <v>0</v>
      </c>
      <c r="I414" s="359">
        <f t="shared" si="126"/>
        <v>0</v>
      </c>
      <c r="J414" s="264">
        <v>0</v>
      </c>
      <c r="K414" s="360">
        <f t="shared" si="127"/>
        <v>0</v>
      </c>
    </row>
    <row r="415" spans="2:11" ht="14.4" hidden="1" outlineLevel="2">
      <c r="B415" s="32"/>
      <c r="C415" s="66" t="s">
        <v>242</v>
      </c>
      <c r="D415" s="264">
        <v>0</v>
      </c>
      <c r="E415" s="359">
        <f t="shared" si="124"/>
        <v>0</v>
      </c>
      <c r="F415" s="264">
        <v>0</v>
      </c>
      <c r="G415" s="359">
        <f t="shared" si="125"/>
        <v>0</v>
      </c>
      <c r="H415" s="264">
        <v>0</v>
      </c>
      <c r="I415" s="359">
        <f t="shared" si="126"/>
        <v>0</v>
      </c>
      <c r="J415" s="264">
        <v>0</v>
      </c>
      <c r="K415" s="360">
        <f t="shared" si="127"/>
        <v>0</v>
      </c>
    </row>
    <row r="416" spans="2:11" ht="14.4" hidden="1" outlineLevel="2">
      <c r="B416" s="32"/>
      <c r="C416" s="66" t="s">
        <v>243</v>
      </c>
      <c r="D416" s="264">
        <v>0</v>
      </c>
      <c r="E416" s="359">
        <f t="shared" si="124"/>
        <v>0</v>
      </c>
      <c r="F416" s="264">
        <v>0</v>
      </c>
      <c r="G416" s="359">
        <f t="shared" si="125"/>
        <v>0</v>
      </c>
      <c r="H416" s="264">
        <v>0</v>
      </c>
      <c r="I416" s="359">
        <f t="shared" si="126"/>
        <v>0</v>
      </c>
      <c r="J416" s="264">
        <v>0</v>
      </c>
      <c r="K416" s="360">
        <f t="shared" si="127"/>
        <v>0</v>
      </c>
    </row>
    <row r="417" spans="2:11" ht="14.4" hidden="1" outlineLevel="2">
      <c r="B417" s="32"/>
      <c r="C417" s="66" t="s">
        <v>244</v>
      </c>
      <c r="D417" s="264">
        <v>0</v>
      </c>
      <c r="E417" s="359">
        <f t="shared" si="124"/>
        <v>0</v>
      </c>
      <c r="F417" s="264">
        <v>0</v>
      </c>
      <c r="G417" s="359">
        <f t="shared" si="125"/>
        <v>0</v>
      </c>
      <c r="H417" s="264">
        <v>0</v>
      </c>
      <c r="I417" s="359">
        <f t="shared" si="126"/>
        <v>0</v>
      </c>
      <c r="J417" s="264">
        <v>0</v>
      </c>
      <c r="K417" s="360">
        <f t="shared" si="127"/>
        <v>0</v>
      </c>
    </row>
    <row r="418" spans="2:11" ht="14.4" hidden="1" outlineLevel="2">
      <c r="B418" s="32"/>
      <c r="C418" s="66" t="s">
        <v>245</v>
      </c>
      <c r="D418" s="264">
        <v>0</v>
      </c>
      <c r="E418" s="359">
        <f t="shared" si="124"/>
        <v>0</v>
      </c>
      <c r="F418" s="264">
        <v>0</v>
      </c>
      <c r="G418" s="359">
        <f t="shared" si="125"/>
        <v>0</v>
      </c>
      <c r="H418" s="264">
        <v>0</v>
      </c>
      <c r="I418" s="359">
        <f t="shared" si="126"/>
        <v>0</v>
      </c>
      <c r="J418" s="264">
        <v>0</v>
      </c>
      <c r="K418" s="360">
        <f t="shared" si="127"/>
        <v>0</v>
      </c>
    </row>
    <row r="419" spans="2:11" ht="14.4" hidden="1" outlineLevel="2">
      <c r="B419" s="32"/>
      <c r="C419" s="66" t="s">
        <v>246</v>
      </c>
      <c r="D419" s="264">
        <v>0</v>
      </c>
      <c r="E419" s="359">
        <f t="shared" si="124"/>
        <v>0</v>
      </c>
      <c r="F419" s="264">
        <v>0</v>
      </c>
      <c r="G419" s="359">
        <f t="shared" si="125"/>
        <v>0</v>
      </c>
      <c r="H419" s="264">
        <v>0</v>
      </c>
      <c r="I419" s="359">
        <f t="shared" si="126"/>
        <v>0</v>
      </c>
      <c r="J419" s="264">
        <v>0</v>
      </c>
      <c r="K419" s="360">
        <f t="shared" si="127"/>
        <v>0</v>
      </c>
    </row>
    <row r="420" spans="2:11" ht="14.4" hidden="1" outlineLevel="2">
      <c r="B420" s="32"/>
      <c r="C420" s="66" t="s">
        <v>247</v>
      </c>
      <c r="D420" s="264">
        <v>0</v>
      </c>
      <c r="E420" s="359">
        <f t="shared" si="124"/>
        <v>0</v>
      </c>
      <c r="F420" s="264">
        <v>0</v>
      </c>
      <c r="G420" s="359">
        <f t="shared" si="125"/>
        <v>0</v>
      </c>
      <c r="H420" s="264">
        <v>0</v>
      </c>
      <c r="I420" s="359">
        <f t="shared" si="126"/>
        <v>0</v>
      </c>
      <c r="J420" s="264">
        <v>0</v>
      </c>
      <c r="K420" s="360">
        <f t="shared" si="127"/>
        <v>0</v>
      </c>
    </row>
    <row r="421" spans="2:11" ht="14.4" hidden="1" outlineLevel="2">
      <c r="B421" s="32"/>
      <c r="C421" s="66" t="s">
        <v>248</v>
      </c>
      <c r="D421" s="264">
        <v>0</v>
      </c>
      <c r="E421" s="359">
        <f t="shared" si="124"/>
        <v>0</v>
      </c>
      <c r="F421" s="264">
        <v>0</v>
      </c>
      <c r="G421" s="359">
        <f t="shared" si="125"/>
        <v>0</v>
      </c>
      <c r="H421" s="264">
        <v>0</v>
      </c>
      <c r="I421" s="359">
        <f t="shared" si="126"/>
        <v>0</v>
      </c>
      <c r="J421" s="264">
        <v>0</v>
      </c>
      <c r="K421" s="360">
        <f t="shared" si="127"/>
        <v>0</v>
      </c>
    </row>
    <row r="422" spans="2:11" ht="14.4" hidden="1" outlineLevel="2">
      <c r="B422" s="32"/>
      <c r="C422" s="66" t="s">
        <v>249</v>
      </c>
      <c r="D422" s="264">
        <v>0</v>
      </c>
      <c r="E422" s="359">
        <f t="shared" si="124"/>
        <v>0</v>
      </c>
      <c r="F422" s="264">
        <v>0</v>
      </c>
      <c r="G422" s="359">
        <f t="shared" si="125"/>
        <v>0</v>
      </c>
      <c r="H422" s="264">
        <v>0</v>
      </c>
      <c r="I422" s="359">
        <f t="shared" si="126"/>
        <v>0</v>
      </c>
      <c r="J422" s="264">
        <v>0</v>
      </c>
      <c r="K422" s="360">
        <f t="shared" si="127"/>
        <v>0</v>
      </c>
    </row>
    <row r="423" spans="2:11" ht="14.4" hidden="1" outlineLevel="2">
      <c r="B423" s="32"/>
      <c r="C423" s="66" t="s">
        <v>249</v>
      </c>
      <c r="D423" s="264">
        <v>0</v>
      </c>
      <c r="E423" s="359">
        <f t="shared" si="124"/>
        <v>0</v>
      </c>
      <c r="F423" s="264">
        <v>0</v>
      </c>
      <c r="G423" s="359">
        <f t="shared" si="125"/>
        <v>0</v>
      </c>
      <c r="H423" s="264">
        <v>0</v>
      </c>
      <c r="I423" s="359">
        <f t="shared" si="126"/>
        <v>0</v>
      </c>
      <c r="J423" s="264">
        <v>0</v>
      </c>
      <c r="K423" s="360">
        <f t="shared" si="127"/>
        <v>0</v>
      </c>
    </row>
    <row r="424" spans="2:11" ht="14.4" hidden="1" outlineLevel="2">
      <c r="B424" s="32"/>
      <c r="C424" s="66" t="s">
        <v>249</v>
      </c>
      <c r="D424" s="264">
        <v>0</v>
      </c>
      <c r="E424" s="359">
        <f t="shared" si="124"/>
        <v>0</v>
      </c>
      <c r="F424" s="264">
        <v>0</v>
      </c>
      <c r="G424" s="359">
        <f t="shared" si="125"/>
        <v>0</v>
      </c>
      <c r="H424" s="264">
        <v>0</v>
      </c>
      <c r="I424" s="359">
        <f t="shared" si="126"/>
        <v>0</v>
      </c>
      <c r="J424" s="264">
        <v>0</v>
      </c>
      <c r="K424" s="360">
        <f t="shared" si="127"/>
        <v>0</v>
      </c>
    </row>
    <row r="425" spans="2:11" ht="14.4" hidden="1" outlineLevel="1" collapsed="1">
      <c r="B425" s="49" t="s">
        <v>224</v>
      </c>
      <c r="C425" s="66" t="s">
        <v>249</v>
      </c>
      <c r="D425" s="264">
        <v>0</v>
      </c>
      <c r="E425" s="359">
        <f t="shared" si="124"/>
        <v>0</v>
      </c>
      <c r="F425" s="264">
        <v>0</v>
      </c>
      <c r="G425" s="359">
        <f t="shared" si="125"/>
        <v>0</v>
      </c>
      <c r="H425" s="264">
        <v>0</v>
      </c>
      <c r="I425" s="359">
        <f t="shared" si="126"/>
        <v>0</v>
      </c>
      <c r="J425" s="264">
        <v>0</v>
      </c>
      <c r="K425" s="360">
        <f t="shared" si="127"/>
        <v>0</v>
      </c>
    </row>
    <row r="426" spans="2:11" ht="14.4" hidden="1" outlineLevel="1">
      <c r="B426" s="32"/>
      <c r="C426" s="66" t="s">
        <v>249</v>
      </c>
      <c r="D426" s="251">
        <f>0-SUM(D403:D425)</f>
        <v>0</v>
      </c>
      <c r="E426" s="359">
        <f t="shared" si="124"/>
        <v>0</v>
      </c>
      <c r="F426" s="251">
        <f>0-SUM(F403:F425)</f>
        <v>0</v>
      </c>
      <c r="G426" s="359">
        <f t="shared" si="125"/>
        <v>0</v>
      </c>
      <c r="H426" s="251">
        <f>0-SUM(H403:H425)</f>
        <v>0</v>
      </c>
      <c r="I426" s="359">
        <f t="shared" si="126"/>
        <v>0</v>
      </c>
      <c r="J426" s="251">
        <f>0-SUM(J403:J425)</f>
        <v>0</v>
      </c>
      <c r="K426" s="360">
        <f t="shared" si="127"/>
        <v>0</v>
      </c>
    </row>
    <row r="427" spans="2:11" ht="14.4" hidden="1" outlineLevel="1">
      <c r="B427" s="32"/>
      <c r="C427" s="26" t="s">
        <v>250</v>
      </c>
      <c r="D427" s="277">
        <f>SUM(D403:D426)</f>
        <v>0</v>
      </c>
      <c r="E427" s="359">
        <f t="shared" si="124"/>
        <v>0</v>
      </c>
      <c r="F427" s="277">
        <f>SUM(F403:F426)</f>
        <v>0</v>
      </c>
      <c r="G427" s="359">
        <f t="shared" si="125"/>
        <v>0</v>
      </c>
      <c r="H427" s="277">
        <f>SUM(H403:H426)</f>
        <v>0</v>
      </c>
      <c r="I427" s="359">
        <f t="shared" si="126"/>
        <v>0</v>
      </c>
      <c r="J427" s="277">
        <f>SUM(J403:J426)</f>
        <v>0</v>
      </c>
      <c r="K427" s="360">
        <f t="shared" si="127"/>
        <v>0</v>
      </c>
    </row>
    <row r="428" spans="2:11" ht="14.4" hidden="1" outlineLevel="1">
      <c r="B428" s="32"/>
      <c r="C428" s="26"/>
      <c r="D428" s="278"/>
      <c r="E428" s="361"/>
      <c r="F428" s="278"/>
      <c r="G428" s="361"/>
      <c r="H428" s="278"/>
      <c r="I428" s="361"/>
      <c r="J428" s="278"/>
      <c r="K428" s="362"/>
    </row>
    <row r="429" spans="2:11" ht="14.4" hidden="1" outlineLevel="1">
      <c r="B429" s="32"/>
      <c r="C429" s="26" t="s">
        <v>251</v>
      </c>
      <c r="D429" s="277">
        <f>D400-D427</f>
        <v>0</v>
      </c>
      <c r="E429" s="359">
        <f>IF(D$398=0,0,D429/D$398)</f>
        <v>0</v>
      </c>
      <c r="F429" s="277">
        <f>F400-F427</f>
        <v>0</v>
      </c>
      <c r="G429" s="359">
        <f>IF(F$398=0,0,F429/F$398)</f>
        <v>0</v>
      </c>
      <c r="H429" s="277">
        <f>H400-H427</f>
        <v>0</v>
      </c>
      <c r="I429" s="359">
        <f>IF(H$398=0,0,H429/H$398)</f>
        <v>0</v>
      </c>
      <c r="J429" s="277">
        <f>J400-J427</f>
        <v>0</v>
      </c>
      <c r="K429" s="360">
        <f>IF(J$398=0,0,J429/J$398)</f>
        <v>0</v>
      </c>
    </row>
    <row r="430" spans="2:11" ht="14.4" hidden="1" outlineLevel="1">
      <c r="B430" s="32"/>
      <c r="C430" s="26"/>
      <c r="D430" s="280"/>
      <c r="E430" s="361"/>
      <c r="F430" s="280"/>
      <c r="G430" s="361"/>
      <c r="H430" s="280"/>
      <c r="I430" s="361"/>
      <c r="J430" s="280"/>
      <c r="K430" s="362"/>
    </row>
    <row r="431" spans="2:11" ht="14.4" hidden="1" outlineLevel="1">
      <c r="B431" s="32"/>
      <c r="C431" s="66" t="s">
        <v>252</v>
      </c>
      <c r="D431" s="245">
        <v>0</v>
      </c>
      <c r="E431" s="359">
        <f t="shared" ref="E431:E435" si="128">IF(D$398=0,0,D431/D$398)</f>
        <v>0</v>
      </c>
      <c r="F431" s="245">
        <v>0</v>
      </c>
      <c r="G431" s="359">
        <f t="shared" ref="G431:G435" si="129">IF(F$398=0,0,F431/F$398)</f>
        <v>0</v>
      </c>
      <c r="H431" s="245">
        <v>0</v>
      </c>
      <c r="I431" s="359">
        <f t="shared" ref="I431:I435" si="130">IF(H$398=0,0,H431/H$398)</f>
        <v>0</v>
      </c>
      <c r="J431" s="245">
        <v>0</v>
      </c>
      <c r="K431" s="360">
        <f t="shared" ref="K431:K435" si="131">IF(J$398=0,0,J431/J$398)</f>
        <v>0</v>
      </c>
    </row>
    <row r="432" spans="2:11" ht="14.4" hidden="1" outlineLevel="1">
      <c r="B432" s="32"/>
      <c r="C432" s="66" t="s">
        <v>252</v>
      </c>
      <c r="D432" s="264">
        <v>0</v>
      </c>
      <c r="E432" s="359">
        <f t="shared" si="128"/>
        <v>0</v>
      </c>
      <c r="F432" s="264">
        <v>0</v>
      </c>
      <c r="G432" s="359">
        <f t="shared" si="129"/>
        <v>0</v>
      </c>
      <c r="H432" s="264">
        <v>0</v>
      </c>
      <c r="I432" s="359">
        <f t="shared" si="130"/>
        <v>0</v>
      </c>
      <c r="J432" s="264">
        <v>0</v>
      </c>
      <c r="K432" s="360">
        <f t="shared" si="131"/>
        <v>0</v>
      </c>
    </row>
    <row r="433" spans="2:11" ht="14.4" hidden="1" outlineLevel="1">
      <c r="B433" s="32"/>
      <c r="C433" s="66" t="s">
        <v>254</v>
      </c>
      <c r="D433" s="264">
        <v>0</v>
      </c>
      <c r="E433" s="359">
        <f t="shared" si="128"/>
        <v>0</v>
      </c>
      <c r="F433" s="264">
        <v>0</v>
      </c>
      <c r="G433" s="359">
        <f t="shared" si="129"/>
        <v>0</v>
      </c>
      <c r="H433" s="264">
        <v>0</v>
      </c>
      <c r="I433" s="359">
        <f t="shared" si="130"/>
        <v>0</v>
      </c>
      <c r="J433" s="264">
        <v>0</v>
      </c>
      <c r="K433" s="360">
        <f t="shared" si="131"/>
        <v>0</v>
      </c>
    </row>
    <row r="434" spans="2:11" ht="14.4" hidden="1" outlineLevel="1">
      <c r="B434" s="32"/>
      <c r="C434" s="66" t="s">
        <v>254</v>
      </c>
      <c r="D434" s="251">
        <v>0</v>
      </c>
      <c r="E434" s="359">
        <f t="shared" si="128"/>
        <v>0</v>
      </c>
      <c r="F434" s="251">
        <v>0</v>
      </c>
      <c r="G434" s="359">
        <f t="shared" si="129"/>
        <v>0</v>
      </c>
      <c r="H434" s="251">
        <v>0</v>
      </c>
      <c r="I434" s="359">
        <f t="shared" si="130"/>
        <v>0</v>
      </c>
      <c r="J434" s="251">
        <v>0</v>
      </c>
      <c r="K434" s="360">
        <f t="shared" si="131"/>
        <v>0</v>
      </c>
    </row>
    <row r="435" spans="2:11" ht="14.4" hidden="1" outlineLevel="1">
      <c r="B435" s="32"/>
      <c r="C435" s="26" t="s">
        <v>255</v>
      </c>
      <c r="D435" s="277">
        <f>SUM(D431:D434)</f>
        <v>0</v>
      </c>
      <c r="E435" s="359">
        <f t="shared" si="128"/>
        <v>0</v>
      </c>
      <c r="F435" s="277">
        <f>SUM(F431:F434)</f>
        <v>0</v>
      </c>
      <c r="G435" s="359">
        <f t="shared" si="129"/>
        <v>0</v>
      </c>
      <c r="H435" s="277">
        <f>SUM(H431:H434)</f>
        <v>0</v>
      </c>
      <c r="I435" s="359">
        <f t="shared" si="130"/>
        <v>0</v>
      </c>
      <c r="J435" s="277">
        <f>SUM(J431:J434)</f>
        <v>0</v>
      </c>
      <c r="K435" s="360">
        <f t="shared" si="131"/>
        <v>0</v>
      </c>
    </row>
    <row r="436" spans="2:11" ht="14.4" hidden="1" outlineLevel="1">
      <c r="B436" s="32"/>
      <c r="C436" s="26"/>
      <c r="D436" s="278"/>
      <c r="E436" s="361"/>
      <c r="F436" s="278"/>
      <c r="G436" s="361"/>
      <c r="H436" s="278"/>
      <c r="I436" s="361"/>
      <c r="J436" s="278"/>
      <c r="K436" s="363"/>
    </row>
    <row r="437" spans="2:11" ht="14.4" hidden="1" outlineLevel="1">
      <c r="B437" s="32"/>
      <c r="C437" s="26" t="s">
        <v>256</v>
      </c>
      <c r="D437" s="277">
        <f>D400-D427+D435</f>
        <v>0</v>
      </c>
      <c r="E437" s="359">
        <f t="shared" ref="E437:E438" si="132">IF(D$398=0,0,D437/D$398)</f>
        <v>0</v>
      </c>
      <c r="F437" s="277">
        <f>F400-F427+F435</f>
        <v>0</v>
      </c>
      <c r="G437" s="359">
        <f t="shared" ref="G437:G438" si="133">IF(F$398=0,0,F437/F$398)</f>
        <v>0</v>
      </c>
      <c r="H437" s="277">
        <f>H400-H427+H435</f>
        <v>0</v>
      </c>
      <c r="I437" s="359">
        <f t="shared" ref="I437:I438" si="134">IF(H$398=0,0,H437/H$398)</f>
        <v>0</v>
      </c>
      <c r="J437" s="277">
        <f>J400-J427+J435</f>
        <v>0</v>
      </c>
      <c r="K437" s="360">
        <f t="shared" ref="K437:K438" si="135">IF(J$398=0,0,J437/J$398)</f>
        <v>0</v>
      </c>
    </row>
    <row r="438" spans="2:11" ht="14.4" hidden="1" outlineLevel="1">
      <c r="B438" s="32"/>
      <c r="C438" s="26" t="s">
        <v>257</v>
      </c>
      <c r="D438" s="277">
        <v>0</v>
      </c>
      <c r="E438" s="359">
        <f t="shared" si="132"/>
        <v>0</v>
      </c>
      <c r="F438" s="277">
        <v>0</v>
      </c>
      <c r="G438" s="359">
        <f t="shared" si="133"/>
        <v>0</v>
      </c>
      <c r="H438" s="277">
        <v>0</v>
      </c>
      <c r="I438" s="359">
        <f t="shared" si="134"/>
        <v>0</v>
      </c>
      <c r="J438" s="277">
        <v>0</v>
      </c>
      <c r="K438" s="360">
        <f t="shared" si="135"/>
        <v>0</v>
      </c>
    </row>
    <row r="439" spans="2:11" ht="14.4" hidden="1" outlineLevel="1">
      <c r="B439" s="32"/>
      <c r="C439" s="282"/>
      <c r="D439" s="283"/>
      <c r="E439" s="359"/>
      <c r="F439" s="283"/>
      <c r="G439" s="359"/>
      <c r="H439" s="283"/>
      <c r="I439" s="359"/>
      <c r="J439" s="283"/>
      <c r="K439" s="364"/>
    </row>
    <row r="440" spans="2:11" ht="14.4" hidden="1" outlineLevel="1">
      <c r="B440" s="32"/>
      <c r="C440" s="26" t="s">
        <v>258</v>
      </c>
      <c r="D440" s="277">
        <f>D437-D438</f>
        <v>0</v>
      </c>
      <c r="E440" s="359">
        <f>IF(D$398=0,0,D440/D$398)</f>
        <v>0</v>
      </c>
      <c r="F440" s="277">
        <f>F437-F438</f>
        <v>0</v>
      </c>
      <c r="G440" s="359">
        <f>IF(F$398=0,0,F440/F$398)</f>
        <v>0</v>
      </c>
      <c r="H440" s="277">
        <f>H437-H438</f>
        <v>0</v>
      </c>
      <c r="I440" s="359">
        <f>IF(H$398=0,0,H440/H$398)</f>
        <v>0</v>
      </c>
      <c r="J440" s="277">
        <f>J437-J438</f>
        <v>0</v>
      </c>
      <c r="K440" s="360">
        <f>IF(J$398=0,0,J440/J$398)</f>
        <v>0</v>
      </c>
    </row>
    <row r="441" spans="2:11" ht="15" hidden="1" outlineLevel="1" thickBot="1">
      <c r="B441" s="74"/>
      <c r="C441" s="76"/>
      <c r="D441" s="365"/>
      <c r="E441" s="366"/>
      <c r="F441" s="365"/>
      <c r="G441" s="366"/>
      <c r="H441" s="365"/>
      <c r="I441" s="366"/>
      <c r="J441" s="365"/>
      <c r="K441" s="367"/>
    </row>
    <row r="442" spans="2:11" ht="14.4" hidden="1" outlineLevel="1">
      <c r="B442" s="190"/>
      <c r="C442" s="289" t="s">
        <v>259</v>
      </c>
      <c r="D442" s="13"/>
      <c r="E442" s="13"/>
      <c r="F442" s="13"/>
      <c r="G442" s="13"/>
      <c r="H442" s="13"/>
      <c r="I442" s="13"/>
      <c r="J442" s="13"/>
      <c r="K442" s="192"/>
    </row>
    <row r="443" spans="2:11" ht="14.4" hidden="1" outlineLevel="1">
      <c r="B443" s="32"/>
      <c r="C443" s="291" t="s">
        <v>260</v>
      </c>
      <c r="D443" s="292">
        <f>D403</f>
        <v>0</v>
      </c>
      <c r="E443" s="13"/>
      <c r="F443" s="292">
        <f>F403</f>
        <v>0</v>
      </c>
      <c r="G443" s="13"/>
      <c r="H443" s="292">
        <f>H403</f>
        <v>0</v>
      </c>
      <c r="I443" s="13"/>
      <c r="J443" s="292">
        <f>J403</f>
        <v>0</v>
      </c>
      <c r="K443" s="18"/>
    </row>
    <row r="444" spans="2:11" ht="14.4" hidden="1" outlineLevel="1">
      <c r="B444" s="32"/>
      <c r="C444" s="294" t="s">
        <v>261</v>
      </c>
      <c r="D444" s="292">
        <f>D410</f>
        <v>0</v>
      </c>
      <c r="E444" s="13"/>
      <c r="F444" s="292">
        <f>F410</f>
        <v>0</v>
      </c>
      <c r="G444" s="13"/>
      <c r="H444" s="292">
        <f>H410</f>
        <v>0</v>
      </c>
      <c r="I444" s="13"/>
      <c r="J444" s="292">
        <f>J410</f>
        <v>0</v>
      </c>
      <c r="K444" s="18"/>
    </row>
    <row r="445" spans="2:11" ht="14.4" hidden="1" outlineLevel="1">
      <c r="B445" s="32"/>
      <c r="C445" s="294" t="s">
        <v>262</v>
      </c>
      <c r="D445" s="292">
        <f>D409</f>
        <v>0</v>
      </c>
      <c r="E445" s="13"/>
      <c r="F445" s="292">
        <f>F409</f>
        <v>0</v>
      </c>
      <c r="G445" s="13"/>
      <c r="H445" s="292">
        <f>H409</f>
        <v>0</v>
      </c>
      <c r="I445" s="13"/>
      <c r="J445" s="292">
        <f>J409</f>
        <v>0</v>
      </c>
      <c r="K445" s="18"/>
    </row>
    <row r="446" spans="2:11" ht="14.4" hidden="1" outlineLevel="1">
      <c r="B446" s="32"/>
      <c r="C446" s="294" t="s">
        <v>263</v>
      </c>
      <c r="D446" s="292">
        <v>0</v>
      </c>
      <c r="E446" s="13"/>
      <c r="F446" s="292">
        <v>0</v>
      </c>
      <c r="G446" s="13"/>
      <c r="H446" s="292">
        <v>0</v>
      </c>
      <c r="I446" s="13"/>
      <c r="J446" s="292">
        <v>0</v>
      </c>
      <c r="K446" s="18"/>
    </row>
    <row r="447" spans="2:11" ht="14.4" hidden="1" outlineLevel="1">
      <c r="B447" s="32"/>
      <c r="C447" s="296" t="s">
        <v>264</v>
      </c>
      <c r="D447" s="292">
        <v>0</v>
      </c>
      <c r="E447" s="13"/>
      <c r="F447" s="292">
        <v>0</v>
      </c>
      <c r="G447" s="13"/>
      <c r="H447" s="292">
        <v>0</v>
      </c>
      <c r="I447" s="13"/>
      <c r="J447" s="292">
        <v>0</v>
      </c>
      <c r="K447" s="18"/>
    </row>
    <row r="448" spans="2:11" ht="14.4" hidden="1" outlineLevel="1">
      <c r="B448" s="32"/>
      <c r="C448" s="296" t="s">
        <v>264</v>
      </c>
      <c r="D448" s="292">
        <v>0</v>
      </c>
      <c r="E448" s="13"/>
      <c r="F448" s="292">
        <v>0</v>
      </c>
      <c r="G448" s="13"/>
      <c r="H448" s="292">
        <v>0</v>
      </c>
      <c r="I448" s="13"/>
      <c r="J448" s="292">
        <v>0</v>
      </c>
      <c r="K448" s="18"/>
    </row>
    <row r="449" spans="2:11" ht="14.4" hidden="1" outlineLevel="1">
      <c r="B449" s="32"/>
      <c r="C449" s="294" t="s">
        <v>265</v>
      </c>
      <c r="D449" s="292">
        <v>0</v>
      </c>
      <c r="E449" s="13"/>
      <c r="F449" s="292">
        <v>0</v>
      </c>
      <c r="G449" s="13"/>
      <c r="H449" s="292">
        <v>0</v>
      </c>
      <c r="I449" s="13"/>
      <c r="J449" s="292">
        <v>0</v>
      </c>
      <c r="K449" s="18"/>
    </row>
    <row r="450" spans="2:11" ht="14.4" hidden="1" outlineLevel="1">
      <c r="B450" s="32"/>
      <c r="C450" s="294" t="s">
        <v>266</v>
      </c>
      <c r="D450" s="298">
        <v>0</v>
      </c>
      <c r="E450" s="13"/>
      <c r="F450" s="298">
        <v>0</v>
      </c>
      <c r="G450" s="13"/>
      <c r="H450" s="298">
        <v>0</v>
      </c>
      <c r="I450" s="13"/>
      <c r="J450" s="298">
        <v>0</v>
      </c>
      <c r="K450" s="18"/>
    </row>
    <row r="451" spans="2:11" ht="14.4" hidden="1" outlineLevel="1">
      <c r="B451" s="32"/>
      <c r="C451" s="294"/>
      <c r="D451" s="13"/>
      <c r="E451" s="13"/>
      <c r="F451" s="13"/>
      <c r="G451" s="13"/>
      <c r="H451" s="13"/>
      <c r="I451" s="13"/>
      <c r="J451" s="13"/>
      <c r="K451" s="18"/>
    </row>
    <row r="452" spans="2:11" ht="14.4" hidden="1" outlineLevel="1">
      <c r="B452" s="32"/>
      <c r="C452" s="294" t="s">
        <v>267</v>
      </c>
      <c r="D452" s="299">
        <f>D440+SUM(D443:D450)</f>
        <v>0</v>
      </c>
      <c r="E452" s="294"/>
      <c r="F452" s="299">
        <f>F440+SUM(F443:F450)</f>
        <v>0</v>
      </c>
      <c r="G452" s="294"/>
      <c r="H452" s="299">
        <f>H440+SUM(H443:H450)</f>
        <v>0</v>
      </c>
      <c r="I452" s="294"/>
      <c r="J452" s="299">
        <f>J440+SUM(J443:J450)</f>
        <v>0</v>
      </c>
      <c r="K452" s="18"/>
    </row>
    <row r="453" spans="2:11" ht="14.4" hidden="1" outlineLevel="1">
      <c r="B453" s="32"/>
      <c r="C453" s="294"/>
      <c r="D453" s="13"/>
      <c r="E453" s="13"/>
      <c r="F453" s="13"/>
      <c r="G453" s="13"/>
      <c r="H453" s="13"/>
      <c r="I453" s="13"/>
      <c r="J453" s="13"/>
      <c r="K453" s="18"/>
    </row>
    <row r="454" spans="2:11" ht="14.4" hidden="1" outlineLevel="1">
      <c r="B454" s="32"/>
      <c r="C454" s="66" t="s">
        <v>316</v>
      </c>
      <c r="D454" s="292">
        <v>0</v>
      </c>
      <c r="E454" s="13"/>
      <c r="F454" s="292">
        <v>0</v>
      </c>
      <c r="G454" s="13"/>
      <c r="H454" s="292">
        <v>0</v>
      </c>
      <c r="I454" s="13"/>
      <c r="J454" s="292">
        <v>0</v>
      </c>
      <c r="K454" s="18"/>
    </row>
    <row r="455" spans="2:11" ht="14.4" hidden="1" outlineLevel="1">
      <c r="B455" s="32"/>
      <c r="C455" s="66" t="s">
        <v>268</v>
      </c>
      <c r="D455" s="252">
        <f>D454*D385</f>
        <v>0</v>
      </c>
      <c r="E455" s="13"/>
      <c r="F455" s="252">
        <f>F454*F385</f>
        <v>0</v>
      </c>
      <c r="G455" s="13"/>
      <c r="H455" s="252">
        <f>H454*H385</f>
        <v>0</v>
      </c>
      <c r="I455" s="13"/>
      <c r="J455" s="252">
        <f>J454*J385</f>
        <v>0</v>
      </c>
      <c r="K455" s="18"/>
    </row>
    <row r="456" spans="2:11" ht="14.4" hidden="1" outlineLevel="1">
      <c r="B456" s="32"/>
      <c r="C456" s="13"/>
      <c r="D456" s="13"/>
      <c r="E456" s="13"/>
      <c r="F456" s="13"/>
      <c r="G456" s="13"/>
      <c r="H456" s="13"/>
      <c r="I456" s="13"/>
      <c r="J456" s="13"/>
      <c r="K456" s="18"/>
    </row>
    <row r="457" spans="2:11" ht="14.4" hidden="1" outlineLevel="1">
      <c r="B457" s="32"/>
      <c r="C457" s="26" t="s">
        <v>275</v>
      </c>
      <c r="D457" s="301">
        <f>IFERROR(D452/D455,0)</f>
        <v>0</v>
      </c>
      <c r="E457" s="13"/>
      <c r="F457" s="301">
        <f>IFERROR(F452/F455,0)</f>
        <v>0</v>
      </c>
      <c r="G457" s="13"/>
      <c r="H457" s="301">
        <f>IFERROR(H452/H455,0)</f>
        <v>0</v>
      </c>
      <c r="I457" s="13"/>
      <c r="J457" s="301">
        <f>IFERROR(J452/J455,0)</f>
        <v>0</v>
      </c>
      <c r="K457" s="18"/>
    </row>
    <row r="458" spans="2:11" ht="15" collapsed="1" thickBot="1">
      <c r="B458" s="823" t="s">
        <v>321</v>
      </c>
      <c r="C458" s="824"/>
      <c r="D458" s="824"/>
      <c r="E458" s="75"/>
      <c r="F458" s="75"/>
      <c r="G458" s="75"/>
      <c r="H458" s="75"/>
      <c r="I458" s="75"/>
      <c r="J458" s="75"/>
      <c r="K458" s="35"/>
    </row>
    <row r="459" spans="2:11" ht="15" thickBot="1">
      <c r="B459" s="368"/>
      <c r="C459" s="368"/>
      <c r="D459" s="368"/>
      <c r="E459" s="369"/>
      <c r="F459" s="369"/>
      <c r="G459" s="369"/>
      <c r="H459" s="369"/>
      <c r="I459" s="369"/>
      <c r="J459" s="369"/>
      <c r="K459" s="369"/>
    </row>
    <row r="460" spans="2:11" ht="16.05" hidden="1" customHeight="1" outlineLevel="1" thickBot="1">
      <c r="B460" s="860" t="s">
        <v>190</v>
      </c>
      <c r="C460" s="861"/>
      <c r="D460" s="861"/>
      <c r="E460" s="861"/>
      <c r="F460" s="861"/>
      <c r="G460" s="861"/>
      <c r="H460" s="861"/>
      <c r="I460" s="861"/>
      <c r="J460" s="861"/>
      <c r="K460" s="862"/>
    </row>
    <row r="461" spans="2:11" ht="15.6" hidden="1" outlineLevel="1">
      <c r="B461" s="857" t="s">
        <v>322</v>
      </c>
      <c r="C461" s="858"/>
      <c r="D461" s="858"/>
      <c r="E461" s="858"/>
      <c r="F461" s="858"/>
      <c r="G461" s="858"/>
      <c r="H461" s="858"/>
      <c r="I461" s="858"/>
      <c r="J461" s="858"/>
      <c r="K461" s="859"/>
    </row>
    <row r="462" spans="2:11" ht="15" hidden="1" outlineLevel="1" thickBot="1">
      <c r="B462" s="227" t="s">
        <v>193</v>
      </c>
      <c r="C462" s="356" t="s">
        <v>79</v>
      </c>
      <c r="D462" s="21"/>
      <c r="E462" s="21"/>
      <c r="F462" s="21"/>
      <c r="G462" s="21"/>
      <c r="H462" s="21"/>
      <c r="I462" s="21"/>
      <c r="J462" s="21"/>
      <c r="K462" s="229"/>
    </row>
    <row r="463" spans="2:11" ht="16.05" hidden="1" customHeight="1" outlineLevel="1">
      <c r="B463" s="230" t="s">
        <v>196</v>
      </c>
      <c r="C463" s="66"/>
      <c r="D463" s="231">
        <v>44926</v>
      </c>
      <c r="E463" s="29"/>
      <c r="F463" s="231">
        <f>EOMONTH(D463,F464)</f>
        <v>45291</v>
      </c>
      <c r="G463" s="29"/>
      <c r="H463" s="231">
        <f>EOMONTH(F463,H464)</f>
        <v>45657</v>
      </c>
      <c r="I463" s="29"/>
      <c r="J463" s="231">
        <f>EOMONTH(H463,J464)</f>
        <v>45747</v>
      </c>
      <c r="K463" s="18"/>
    </row>
    <row r="464" spans="2:11" ht="16.05" hidden="1" customHeight="1" outlineLevel="1">
      <c r="B464" s="230" t="s">
        <v>198</v>
      </c>
      <c r="C464" s="66"/>
      <c r="D464" s="234">
        <v>12</v>
      </c>
      <c r="E464" s="235"/>
      <c r="F464" s="234">
        <v>12</v>
      </c>
      <c r="G464" s="235"/>
      <c r="H464" s="234">
        <v>12</v>
      </c>
      <c r="I464" s="235"/>
      <c r="J464" s="234">
        <v>3</v>
      </c>
      <c r="K464" s="236"/>
    </row>
    <row r="465" spans="2:11" ht="16.05" hidden="1" customHeight="1" outlineLevel="1">
      <c r="B465" s="230" t="s">
        <v>201</v>
      </c>
      <c r="C465" s="66"/>
      <c r="D465" s="237" t="s">
        <v>202</v>
      </c>
      <c r="E465" s="238"/>
      <c r="F465" s="237" t="s">
        <v>202</v>
      </c>
      <c r="G465" s="238"/>
      <c r="H465" s="237"/>
      <c r="I465" s="238"/>
      <c r="J465" s="237" t="s">
        <v>203</v>
      </c>
      <c r="K465" s="236"/>
    </row>
    <row r="466" spans="2:11" ht="16.05" hidden="1" customHeight="1" outlineLevel="1">
      <c r="B466" s="230" t="s">
        <v>205</v>
      </c>
      <c r="C466" s="66"/>
      <c r="D466" s="237"/>
      <c r="E466" s="238"/>
      <c r="F466" s="237"/>
      <c r="G466" s="238"/>
      <c r="H466" s="237"/>
      <c r="I466" s="238"/>
      <c r="J466" s="237"/>
      <c r="K466" s="236"/>
    </row>
    <row r="467" spans="2:11" ht="16.05" hidden="1" customHeight="1" outlineLevel="1">
      <c r="B467" s="19" t="s">
        <v>206</v>
      </c>
      <c r="C467" s="20"/>
      <c r="D467" s="357"/>
      <c r="E467" s="358"/>
      <c r="F467" s="357"/>
      <c r="G467" s="358"/>
      <c r="H467" s="357"/>
      <c r="I467" s="358"/>
      <c r="J467" s="242">
        <f>(J468/J464)*12</f>
        <v>0</v>
      </c>
      <c r="K467" s="243"/>
    </row>
    <row r="468" spans="2:11" ht="16.05" hidden="1" customHeight="1" outlineLevel="1">
      <c r="B468" s="49" t="s">
        <v>207</v>
      </c>
      <c r="C468" s="66" t="s">
        <v>208</v>
      </c>
      <c r="D468" s="245">
        <v>0</v>
      </c>
      <c r="E468" s="359">
        <f t="shared" ref="E468:E479" si="136">IF(D$477=0,0,D468/D$477)</f>
        <v>0</v>
      </c>
      <c r="F468" s="245">
        <v>0</v>
      </c>
      <c r="G468" s="359">
        <f t="shared" ref="G468:G479" si="137">IF(F$477=0,0,F468/F$477)</f>
        <v>0</v>
      </c>
      <c r="H468" s="245">
        <v>0</v>
      </c>
      <c r="I468" s="359">
        <f t="shared" ref="I468:I479" si="138">IF(H$477=0,0,H468/H$477)</f>
        <v>0</v>
      </c>
      <c r="J468" s="245">
        <v>0</v>
      </c>
      <c r="K468" s="360">
        <f t="shared" ref="K468:K479" si="139">IF(J$477=0,0,J468/J$477)</f>
        <v>0</v>
      </c>
    </row>
    <row r="469" spans="2:11" ht="16.05" hidden="1" customHeight="1" outlineLevel="1">
      <c r="B469" s="49" t="s">
        <v>210</v>
      </c>
      <c r="C469" s="66" t="s">
        <v>208</v>
      </c>
      <c r="D469" s="251">
        <v>0</v>
      </c>
      <c r="E469" s="359">
        <f t="shared" si="136"/>
        <v>0</v>
      </c>
      <c r="F469" s="251">
        <v>0</v>
      </c>
      <c r="G469" s="359">
        <f t="shared" si="137"/>
        <v>0</v>
      </c>
      <c r="H469" s="251">
        <v>0</v>
      </c>
      <c r="I469" s="359">
        <f t="shared" si="138"/>
        <v>0</v>
      </c>
      <c r="J469" s="251">
        <v>0</v>
      </c>
      <c r="K469" s="360">
        <f t="shared" si="139"/>
        <v>0</v>
      </c>
    </row>
    <row r="470" spans="2:11" ht="14.4" hidden="1" outlineLevel="2">
      <c r="B470" s="49" t="s">
        <v>212</v>
      </c>
      <c r="C470" s="66" t="s">
        <v>208</v>
      </c>
      <c r="D470" s="252">
        <f>D468-D469</f>
        <v>0</v>
      </c>
      <c r="E470" s="359">
        <f t="shared" si="136"/>
        <v>0</v>
      </c>
      <c r="F470" s="252">
        <f>F468-F469</f>
        <v>0</v>
      </c>
      <c r="G470" s="359">
        <f t="shared" si="137"/>
        <v>0</v>
      </c>
      <c r="H470" s="252">
        <f>H468-H469</f>
        <v>0</v>
      </c>
      <c r="I470" s="359">
        <f t="shared" si="138"/>
        <v>0</v>
      </c>
      <c r="J470" s="252">
        <f>J468-J469</f>
        <v>0</v>
      </c>
      <c r="K470" s="360">
        <f t="shared" si="139"/>
        <v>0</v>
      </c>
    </row>
    <row r="471" spans="2:11" ht="14.4" hidden="1" outlineLevel="2">
      <c r="B471" s="49" t="s">
        <v>207</v>
      </c>
      <c r="C471" s="66" t="s">
        <v>215</v>
      </c>
      <c r="D471" s="245">
        <v>0</v>
      </c>
      <c r="E471" s="359">
        <f t="shared" si="136"/>
        <v>0</v>
      </c>
      <c r="F471" s="245">
        <v>0</v>
      </c>
      <c r="G471" s="359">
        <f t="shared" si="137"/>
        <v>0</v>
      </c>
      <c r="H471" s="245">
        <v>0</v>
      </c>
      <c r="I471" s="359">
        <f t="shared" si="138"/>
        <v>0</v>
      </c>
      <c r="J471" s="245">
        <v>0</v>
      </c>
      <c r="K471" s="360">
        <f t="shared" si="139"/>
        <v>0</v>
      </c>
    </row>
    <row r="472" spans="2:11" ht="14.4" hidden="1" outlineLevel="2">
      <c r="B472" s="49" t="s">
        <v>210</v>
      </c>
      <c r="C472" s="66" t="s">
        <v>215</v>
      </c>
      <c r="D472" s="251">
        <v>0</v>
      </c>
      <c r="E472" s="359">
        <f t="shared" si="136"/>
        <v>0</v>
      </c>
      <c r="F472" s="251">
        <v>0</v>
      </c>
      <c r="G472" s="359">
        <f t="shared" si="137"/>
        <v>0</v>
      </c>
      <c r="H472" s="251">
        <v>0</v>
      </c>
      <c r="I472" s="359">
        <f t="shared" si="138"/>
        <v>0</v>
      </c>
      <c r="J472" s="251">
        <v>0</v>
      </c>
      <c r="K472" s="360">
        <f t="shared" si="139"/>
        <v>0</v>
      </c>
    </row>
    <row r="473" spans="2:11" ht="14.4" hidden="1" outlineLevel="2">
      <c r="B473" s="49" t="s">
        <v>212</v>
      </c>
      <c r="C473" s="66" t="s">
        <v>215</v>
      </c>
      <c r="D473" s="252">
        <f>D471-D472</f>
        <v>0</v>
      </c>
      <c r="E473" s="359">
        <f t="shared" si="136"/>
        <v>0</v>
      </c>
      <c r="F473" s="252">
        <f>F471-F472</f>
        <v>0</v>
      </c>
      <c r="G473" s="359">
        <f t="shared" si="137"/>
        <v>0</v>
      </c>
      <c r="H473" s="252">
        <f>H471-H472</f>
        <v>0</v>
      </c>
      <c r="I473" s="359">
        <f t="shared" si="138"/>
        <v>0</v>
      </c>
      <c r="J473" s="252">
        <f>J471-J472</f>
        <v>0</v>
      </c>
      <c r="K473" s="360">
        <f t="shared" si="139"/>
        <v>0</v>
      </c>
    </row>
    <row r="474" spans="2:11" ht="14.4" hidden="1" outlineLevel="2">
      <c r="B474" s="49" t="s">
        <v>207</v>
      </c>
      <c r="C474" s="66" t="s">
        <v>219</v>
      </c>
      <c r="D474" s="245">
        <v>0</v>
      </c>
      <c r="E474" s="359">
        <f t="shared" si="136"/>
        <v>0</v>
      </c>
      <c r="F474" s="245">
        <v>0</v>
      </c>
      <c r="G474" s="359">
        <f t="shared" si="137"/>
        <v>0</v>
      </c>
      <c r="H474" s="245">
        <v>0</v>
      </c>
      <c r="I474" s="359">
        <f t="shared" si="138"/>
        <v>0</v>
      </c>
      <c r="J474" s="245">
        <v>0</v>
      </c>
      <c r="K474" s="360">
        <f t="shared" si="139"/>
        <v>0</v>
      </c>
    </row>
    <row r="475" spans="2:11" ht="14.4" hidden="1" outlineLevel="2">
      <c r="B475" s="49" t="s">
        <v>210</v>
      </c>
      <c r="C475" s="66" t="s">
        <v>219</v>
      </c>
      <c r="D475" s="251">
        <v>0</v>
      </c>
      <c r="E475" s="359">
        <f t="shared" si="136"/>
        <v>0</v>
      </c>
      <c r="F475" s="251">
        <v>0</v>
      </c>
      <c r="G475" s="359">
        <f t="shared" si="137"/>
        <v>0</v>
      </c>
      <c r="H475" s="251">
        <v>0</v>
      </c>
      <c r="I475" s="359">
        <f t="shared" si="138"/>
        <v>0</v>
      </c>
      <c r="J475" s="251">
        <v>0</v>
      </c>
      <c r="K475" s="360">
        <f t="shared" si="139"/>
        <v>0</v>
      </c>
    </row>
    <row r="476" spans="2:11" ht="14.4" hidden="1" outlineLevel="2">
      <c r="B476" s="49" t="s">
        <v>212</v>
      </c>
      <c r="C476" s="66" t="s">
        <v>219</v>
      </c>
      <c r="D476" s="252">
        <f>D474-D475</f>
        <v>0</v>
      </c>
      <c r="E476" s="359">
        <f t="shared" si="136"/>
        <v>0</v>
      </c>
      <c r="F476" s="252">
        <f>F474-F475</f>
        <v>0</v>
      </c>
      <c r="G476" s="359">
        <f t="shared" si="137"/>
        <v>0</v>
      </c>
      <c r="H476" s="252">
        <f>H474-H475</f>
        <v>0</v>
      </c>
      <c r="I476" s="359">
        <f t="shared" si="138"/>
        <v>0</v>
      </c>
      <c r="J476" s="252">
        <f>J474-J475</f>
        <v>0</v>
      </c>
      <c r="K476" s="360">
        <f t="shared" si="139"/>
        <v>0</v>
      </c>
    </row>
    <row r="477" spans="2:11" ht="14.4" hidden="1" outlineLevel="1" collapsed="1">
      <c r="B477" s="49" t="s">
        <v>224</v>
      </c>
      <c r="C477" s="26" t="s">
        <v>225</v>
      </c>
      <c r="D477" s="254">
        <f t="shared" ref="D477:D478" si="140">D468+D471+D474</f>
        <v>0</v>
      </c>
      <c r="E477" s="359">
        <f t="shared" si="136"/>
        <v>0</v>
      </c>
      <c r="F477" s="254">
        <f t="shared" ref="F477:F478" si="141">F468+F471+F474</f>
        <v>0</v>
      </c>
      <c r="G477" s="359">
        <f t="shared" si="137"/>
        <v>0</v>
      </c>
      <c r="H477" s="254">
        <f t="shared" ref="H477:H478" si="142">H468+H471+H474</f>
        <v>0</v>
      </c>
      <c r="I477" s="359">
        <f t="shared" si="138"/>
        <v>0</v>
      </c>
      <c r="J477" s="254">
        <f t="shared" ref="J477:J478" si="143">J468+J471+J474</f>
        <v>0</v>
      </c>
      <c r="K477" s="360">
        <f t="shared" si="139"/>
        <v>0</v>
      </c>
    </row>
    <row r="478" spans="2:11" ht="14.4" hidden="1" outlineLevel="1">
      <c r="B478" s="32"/>
      <c r="C478" s="26" t="s">
        <v>226</v>
      </c>
      <c r="D478" s="256">
        <f t="shared" si="140"/>
        <v>0</v>
      </c>
      <c r="E478" s="359">
        <f t="shared" si="136"/>
        <v>0</v>
      </c>
      <c r="F478" s="256">
        <f t="shared" si="141"/>
        <v>0</v>
      </c>
      <c r="G478" s="359">
        <f t="shared" si="137"/>
        <v>0</v>
      </c>
      <c r="H478" s="256">
        <f t="shared" si="142"/>
        <v>0</v>
      </c>
      <c r="I478" s="359">
        <f t="shared" si="138"/>
        <v>0</v>
      </c>
      <c r="J478" s="256">
        <f t="shared" si="143"/>
        <v>0</v>
      </c>
      <c r="K478" s="360">
        <f t="shared" si="139"/>
        <v>0</v>
      </c>
    </row>
    <row r="479" spans="2:11" ht="14.4" hidden="1" outlineLevel="1">
      <c r="B479" s="32"/>
      <c r="C479" s="26" t="s">
        <v>227</v>
      </c>
      <c r="D479" s="257">
        <f>D477-D478</f>
        <v>0</v>
      </c>
      <c r="E479" s="359">
        <f t="shared" si="136"/>
        <v>0</v>
      </c>
      <c r="F479" s="257">
        <f>F477-F478</f>
        <v>0</v>
      </c>
      <c r="G479" s="359">
        <f t="shared" si="137"/>
        <v>0</v>
      </c>
      <c r="H479" s="257">
        <f>H477-H478</f>
        <v>0</v>
      </c>
      <c r="I479" s="359">
        <f t="shared" si="138"/>
        <v>0</v>
      </c>
      <c r="J479" s="257">
        <f>J477-J478</f>
        <v>0</v>
      </c>
      <c r="K479" s="360">
        <f t="shared" si="139"/>
        <v>0</v>
      </c>
    </row>
    <row r="480" spans="2:11" ht="14.4" hidden="1" outlineLevel="1">
      <c r="B480" s="32"/>
      <c r="C480" s="26"/>
      <c r="D480" s="258"/>
      <c r="E480" s="361"/>
      <c r="F480" s="258"/>
      <c r="G480" s="361"/>
      <c r="H480" s="258"/>
      <c r="I480" s="361"/>
      <c r="J480" s="258"/>
      <c r="K480" s="362"/>
    </row>
    <row r="481" spans="2:11" ht="14.4" hidden="1" outlineLevel="1">
      <c r="B481" s="32"/>
      <c r="C481" s="26" t="s">
        <v>228</v>
      </c>
      <c r="D481" s="262"/>
      <c r="E481" s="359"/>
      <c r="F481" s="262"/>
      <c r="G481" s="359"/>
      <c r="H481" s="262"/>
      <c r="I481" s="359"/>
      <c r="J481" s="262"/>
      <c r="K481" s="362"/>
    </row>
    <row r="482" spans="2:11" ht="14.4" hidden="1" outlineLevel="1">
      <c r="B482" s="32"/>
      <c r="C482" s="66" t="s">
        <v>229</v>
      </c>
      <c r="D482" s="245">
        <v>0</v>
      </c>
      <c r="E482" s="359">
        <f t="shared" ref="E482:E506" si="144">IF(D$477=0,0,D482/D$477)</f>
        <v>0</v>
      </c>
      <c r="F482" s="245">
        <v>0</v>
      </c>
      <c r="G482" s="359">
        <f t="shared" ref="G482:G506" si="145">IF(F$477=0,0,F482/F$477)</f>
        <v>0</v>
      </c>
      <c r="H482" s="245">
        <v>0</v>
      </c>
      <c r="I482" s="359">
        <f t="shared" ref="I482:I506" si="146">IF(H$477=0,0,H482/H$477)</f>
        <v>0</v>
      </c>
      <c r="J482" s="245">
        <v>0</v>
      </c>
      <c r="K482" s="360">
        <f t="shared" ref="K482:K506" si="147">IF(J$477=0,0,J482/J$477)</f>
        <v>0</v>
      </c>
    </row>
    <row r="483" spans="2:11" ht="14.4" hidden="1" outlineLevel="1">
      <c r="B483" s="32"/>
      <c r="C483" s="66" t="s">
        <v>231</v>
      </c>
      <c r="D483" s="264">
        <v>0</v>
      </c>
      <c r="E483" s="359">
        <f t="shared" si="144"/>
        <v>0</v>
      </c>
      <c r="F483" s="264">
        <v>0</v>
      </c>
      <c r="G483" s="359">
        <f t="shared" si="145"/>
        <v>0</v>
      </c>
      <c r="H483" s="264">
        <v>0</v>
      </c>
      <c r="I483" s="359">
        <f t="shared" si="146"/>
        <v>0</v>
      </c>
      <c r="J483" s="264">
        <v>0</v>
      </c>
      <c r="K483" s="360">
        <f t="shared" si="147"/>
        <v>0</v>
      </c>
    </row>
    <row r="484" spans="2:11" ht="14.4" hidden="1" outlineLevel="1">
      <c r="B484" s="32"/>
      <c r="C484" s="66" t="s">
        <v>232</v>
      </c>
      <c r="D484" s="264">
        <v>0</v>
      </c>
      <c r="E484" s="359">
        <f t="shared" si="144"/>
        <v>0</v>
      </c>
      <c r="F484" s="264">
        <v>0</v>
      </c>
      <c r="G484" s="359">
        <f t="shared" si="145"/>
        <v>0</v>
      </c>
      <c r="H484" s="264">
        <v>0</v>
      </c>
      <c r="I484" s="359">
        <f t="shared" si="146"/>
        <v>0</v>
      </c>
      <c r="J484" s="264">
        <v>0</v>
      </c>
      <c r="K484" s="360">
        <f t="shared" si="147"/>
        <v>0</v>
      </c>
    </row>
    <row r="485" spans="2:11" ht="14.4" hidden="1" outlineLevel="1">
      <c r="B485" s="32"/>
      <c r="C485" s="66" t="s">
        <v>233</v>
      </c>
      <c r="D485" s="264">
        <v>0</v>
      </c>
      <c r="E485" s="359">
        <f t="shared" si="144"/>
        <v>0</v>
      </c>
      <c r="F485" s="264">
        <v>0</v>
      </c>
      <c r="G485" s="359">
        <f t="shared" si="145"/>
        <v>0</v>
      </c>
      <c r="H485" s="264">
        <v>0</v>
      </c>
      <c r="I485" s="359">
        <f t="shared" si="146"/>
        <v>0</v>
      </c>
      <c r="J485" s="264">
        <v>0</v>
      </c>
      <c r="K485" s="360">
        <f t="shared" si="147"/>
        <v>0</v>
      </c>
    </row>
    <row r="486" spans="2:11" ht="14.4" hidden="1" outlineLevel="1">
      <c r="B486" s="32"/>
      <c r="C486" s="66" t="s">
        <v>234</v>
      </c>
      <c r="D486" s="264">
        <v>0</v>
      </c>
      <c r="E486" s="359">
        <f t="shared" si="144"/>
        <v>0</v>
      </c>
      <c r="F486" s="264">
        <v>0</v>
      </c>
      <c r="G486" s="359">
        <f t="shared" si="145"/>
        <v>0</v>
      </c>
      <c r="H486" s="264">
        <v>0</v>
      </c>
      <c r="I486" s="359">
        <f t="shared" si="146"/>
        <v>0</v>
      </c>
      <c r="J486" s="264">
        <v>0</v>
      </c>
      <c r="K486" s="360">
        <f t="shared" si="147"/>
        <v>0</v>
      </c>
    </row>
    <row r="487" spans="2:11" ht="14.4" hidden="1" outlineLevel="1">
      <c r="B487" s="32"/>
      <c r="C487" s="66" t="s">
        <v>235</v>
      </c>
      <c r="D487" s="264">
        <v>0</v>
      </c>
      <c r="E487" s="359">
        <f t="shared" si="144"/>
        <v>0</v>
      </c>
      <c r="F487" s="264">
        <v>0</v>
      </c>
      <c r="G487" s="359">
        <f t="shared" si="145"/>
        <v>0</v>
      </c>
      <c r="H487" s="264">
        <v>0</v>
      </c>
      <c r="I487" s="359">
        <f t="shared" si="146"/>
        <v>0</v>
      </c>
      <c r="J487" s="264">
        <v>0</v>
      </c>
      <c r="K487" s="360">
        <f t="shared" si="147"/>
        <v>0</v>
      </c>
    </row>
    <row r="488" spans="2:11" ht="14.4" hidden="1" outlineLevel="1">
      <c r="B488" s="32"/>
      <c r="C488" s="66" t="s">
        <v>236</v>
      </c>
      <c r="D488" s="264">
        <v>0</v>
      </c>
      <c r="E488" s="359">
        <f t="shared" si="144"/>
        <v>0</v>
      </c>
      <c r="F488" s="264">
        <v>0</v>
      </c>
      <c r="G488" s="359">
        <f t="shared" si="145"/>
        <v>0</v>
      </c>
      <c r="H488" s="264">
        <v>0</v>
      </c>
      <c r="I488" s="359">
        <f t="shared" si="146"/>
        <v>0</v>
      </c>
      <c r="J488" s="264">
        <v>0</v>
      </c>
      <c r="K488" s="360">
        <f t="shared" si="147"/>
        <v>0</v>
      </c>
    </row>
    <row r="489" spans="2:11" ht="14.4" hidden="1" outlineLevel="1">
      <c r="B489" s="32"/>
      <c r="C489" s="66" t="s">
        <v>237</v>
      </c>
      <c r="D489" s="264">
        <v>0</v>
      </c>
      <c r="E489" s="359">
        <f t="shared" si="144"/>
        <v>0</v>
      </c>
      <c r="F489" s="264">
        <v>0</v>
      </c>
      <c r="G489" s="359">
        <f t="shared" si="145"/>
        <v>0</v>
      </c>
      <c r="H489" s="264">
        <v>0</v>
      </c>
      <c r="I489" s="359">
        <f t="shared" si="146"/>
        <v>0</v>
      </c>
      <c r="J489" s="264">
        <v>0</v>
      </c>
      <c r="K489" s="360">
        <f t="shared" si="147"/>
        <v>0</v>
      </c>
    </row>
    <row r="490" spans="2:11" ht="16.05" hidden="1" customHeight="1" outlineLevel="1">
      <c r="B490" s="32"/>
      <c r="C490" s="66" t="s">
        <v>238</v>
      </c>
      <c r="D490" s="264">
        <v>0</v>
      </c>
      <c r="E490" s="359">
        <f t="shared" si="144"/>
        <v>0</v>
      </c>
      <c r="F490" s="264">
        <v>0</v>
      </c>
      <c r="G490" s="359">
        <f t="shared" si="145"/>
        <v>0</v>
      </c>
      <c r="H490" s="264">
        <v>0</v>
      </c>
      <c r="I490" s="359">
        <f t="shared" si="146"/>
        <v>0</v>
      </c>
      <c r="J490" s="264">
        <v>0</v>
      </c>
      <c r="K490" s="360">
        <f t="shared" si="147"/>
        <v>0</v>
      </c>
    </row>
    <row r="491" spans="2:11" ht="16.05" hidden="1" customHeight="1" outlineLevel="2">
      <c r="B491" s="32"/>
      <c r="C491" s="66" t="s">
        <v>239</v>
      </c>
      <c r="D491" s="264">
        <v>0</v>
      </c>
      <c r="E491" s="359">
        <f t="shared" si="144"/>
        <v>0</v>
      </c>
      <c r="F491" s="264">
        <v>0</v>
      </c>
      <c r="G491" s="359">
        <f t="shared" si="145"/>
        <v>0</v>
      </c>
      <c r="H491" s="264">
        <v>0</v>
      </c>
      <c r="I491" s="359">
        <f t="shared" si="146"/>
        <v>0</v>
      </c>
      <c r="J491" s="264">
        <v>0</v>
      </c>
      <c r="K491" s="360">
        <f t="shared" si="147"/>
        <v>0</v>
      </c>
    </row>
    <row r="492" spans="2:11" ht="16.05" hidden="1" customHeight="1" outlineLevel="2">
      <c r="B492" s="32"/>
      <c r="C492" s="66" t="s">
        <v>240</v>
      </c>
      <c r="D492" s="264">
        <v>0</v>
      </c>
      <c r="E492" s="359">
        <f t="shared" si="144"/>
        <v>0</v>
      </c>
      <c r="F492" s="264">
        <v>0</v>
      </c>
      <c r="G492" s="359">
        <f t="shared" si="145"/>
        <v>0</v>
      </c>
      <c r="H492" s="264">
        <v>0</v>
      </c>
      <c r="I492" s="359">
        <f t="shared" si="146"/>
        <v>0</v>
      </c>
      <c r="J492" s="264">
        <v>0</v>
      </c>
      <c r="K492" s="360">
        <f t="shared" si="147"/>
        <v>0</v>
      </c>
    </row>
    <row r="493" spans="2:11" ht="16.05" hidden="1" customHeight="1" outlineLevel="2">
      <c r="B493" s="32"/>
      <c r="C493" s="66" t="s">
        <v>241</v>
      </c>
      <c r="D493" s="264">
        <v>0</v>
      </c>
      <c r="E493" s="359">
        <f t="shared" si="144"/>
        <v>0</v>
      </c>
      <c r="F493" s="264">
        <v>0</v>
      </c>
      <c r="G493" s="359">
        <f t="shared" si="145"/>
        <v>0</v>
      </c>
      <c r="H493" s="264">
        <v>0</v>
      </c>
      <c r="I493" s="359">
        <f t="shared" si="146"/>
        <v>0</v>
      </c>
      <c r="J493" s="264">
        <v>0</v>
      </c>
      <c r="K493" s="360">
        <f t="shared" si="147"/>
        <v>0</v>
      </c>
    </row>
    <row r="494" spans="2:11" ht="16.05" hidden="1" customHeight="1" outlineLevel="2">
      <c r="B494" s="32"/>
      <c r="C494" s="66" t="s">
        <v>242</v>
      </c>
      <c r="D494" s="264">
        <v>0</v>
      </c>
      <c r="E494" s="359">
        <f t="shared" si="144"/>
        <v>0</v>
      </c>
      <c r="F494" s="264">
        <v>0</v>
      </c>
      <c r="G494" s="359">
        <f t="shared" si="145"/>
        <v>0</v>
      </c>
      <c r="H494" s="264">
        <v>0</v>
      </c>
      <c r="I494" s="359">
        <f t="shared" si="146"/>
        <v>0</v>
      </c>
      <c r="J494" s="264">
        <v>0</v>
      </c>
      <c r="K494" s="360">
        <f t="shared" si="147"/>
        <v>0</v>
      </c>
    </row>
    <row r="495" spans="2:11" ht="16.05" hidden="1" customHeight="1" outlineLevel="2">
      <c r="B495" s="32"/>
      <c r="C495" s="66" t="s">
        <v>243</v>
      </c>
      <c r="D495" s="264">
        <v>0</v>
      </c>
      <c r="E495" s="359">
        <f t="shared" si="144"/>
        <v>0</v>
      </c>
      <c r="F495" s="264">
        <v>0</v>
      </c>
      <c r="G495" s="359">
        <f t="shared" si="145"/>
        <v>0</v>
      </c>
      <c r="H495" s="264">
        <v>0</v>
      </c>
      <c r="I495" s="359">
        <f t="shared" si="146"/>
        <v>0</v>
      </c>
      <c r="J495" s="264">
        <v>0</v>
      </c>
      <c r="K495" s="360">
        <f t="shared" si="147"/>
        <v>0</v>
      </c>
    </row>
    <row r="496" spans="2:11" ht="16.05" hidden="1" customHeight="1" outlineLevel="2">
      <c r="B496" s="32"/>
      <c r="C496" s="66" t="s">
        <v>244</v>
      </c>
      <c r="D496" s="264">
        <v>0</v>
      </c>
      <c r="E496" s="359">
        <f t="shared" si="144"/>
        <v>0</v>
      </c>
      <c r="F496" s="264">
        <v>0</v>
      </c>
      <c r="G496" s="359">
        <f t="shared" si="145"/>
        <v>0</v>
      </c>
      <c r="H496" s="264">
        <v>0</v>
      </c>
      <c r="I496" s="359">
        <f t="shared" si="146"/>
        <v>0</v>
      </c>
      <c r="J496" s="264">
        <v>0</v>
      </c>
      <c r="K496" s="360">
        <f t="shared" si="147"/>
        <v>0</v>
      </c>
    </row>
    <row r="497" spans="2:11" ht="16.05" hidden="1" customHeight="1" outlineLevel="2">
      <c r="B497" s="32"/>
      <c r="C497" s="66" t="s">
        <v>245</v>
      </c>
      <c r="D497" s="264">
        <v>0</v>
      </c>
      <c r="E497" s="359">
        <f t="shared" si="144"/>
        <v>0</v>
      </c>
      <c r="F497" s="264">
        <v>0</v>
      </c>
      <c r="G497" s="359">
        <f t="shared" si="145"/>
        <v>0</v>
      </c>
      <c r="H497" s="264">
        <v>0</v>
      </c>
      <c r="I497" s="359">
        <f t="shared" si="146"/>
        <v>0</v>
      </c>
      <c r="J497" s="264">
        <v>0</v>
      </c>
      <c r="K497" s="360">
        <f t="shared" si="147"/>
        <v>0</v>
      </c>
    </row>
    <row r="498" spans="2:11" ht="16.05" hidden="1" customHeight="1" outlineLevel="2">
      <c r="B498" s="32"/>
      <c r="C498" s="66" t="s">
        <v>246</v>
      </c>
      <c r="D498" s="264">
        <v>0</v>
      </c>
      <c r="E498" s="359">
        <f t="shared" si="144"/>
        <v>0</v>
      </c>
      <c r="F498" s="264">
        <v>0</v>
      </c>
      <c r="G498" s="359">
        <f t="shared" si="145"/>
        <v>0</v>
      </c>
      <c r="H498" s="264">
        <v>0</v>
      </c>
      <c r="I498" s="359">
        <f t="shared" si="146"/>
        <v>0</v>
      </c>
      <c r="J498" s="264">
        <v>0</v>
      </c>
      <c r="K498" s="360">
        <f t="shared" si="147"/>
        <v>0</v>
      </c>
    </row>
    <row r="499" spans="2:11" ht="16.05" hidden="1" customHeight="1" outlineLevel="2">
      <c r="B499" s="32"/>
      <c r="C499" s="66" t="s">
        <v>247</v>
      </c>
      <c r="D499" s="264">
        <v>0</v>
      </c>
      <c r="E499" s="359">
        <f t="shared" si="144"/>
        <v>0</v>
      </c>
      <c r="F499" s="264">
        <v>0</v>
      </c>
      <c r="G499" s="359">
        <f t="shared" si="145"/>
        <v>0</v>
      </c>
      <c r="H499" s="264">
        <v>0</v>
      </c>
      <c r="I499" s="359">
        <f t="shared" si="146"/>
        <v>0</v>
      </c>
      <c r="J499" s="264">
        <v>0</v>
      </c>
      <c r="K499" s="360">
        <f t="shared" si="147"/>
        <v>0</v>
      </c>
    </row>
    <row r="500" spans="2:11" ht="16.05" hidden="1" customHeight="1" outlineLevel="2">
      <c r="B500" s="32"/>
      <c r="C500" s="66" t="s">
        <v>248</v>
      </c>
      <c r="D500" s="264">
        <v>0</v>
      </c>
      <c r="E500" s="359">
        <f t="shared" si="144"/>
        <v>0</v>
      </c>
      <c r="F500" s="264">
        <v>0</v>
      </c>
      <c r="G500" s="359">
        <f t="shared" si="145"/>
        <v>0</v>
      </c>
      <c r="H500" s="264">
        <v>0</v>
      </c>
      <c r="I500" s="359">
        <f t="shared" si="146"/>
        <v>0</v>
      </c>
      <c r="J500" s="264">
        <v>0</v>
      </c>
      <c r="K500" s="360">
        <f t="shared" si="147"/>
        <v>0</v>
      </c>
    </row>
    <row r="501" spans="2:11" ht="16.05" hidden="1" customHeight="1" outlineLevel="2">
      <c r="B501" s="32"/>
      <c r="C501" s="66" t="s">
        <v>249</v>
      </c>
      <c r="D501" s="264">
        <v>0</v>
      </c>
      <c r="E501" s="359">
        <f t="shared" si="144"/>
        <v>0</v>
      </c>
      <c r="F501" s="264">
        <v>0</v>
      </c>
      <c r="G501" s="359">
        <f t="shared" si="145"/>
        <v>0</v>
      </c>
      <c r="H501" s="264">
        <v>0</v>
      </c>
      <c r="I501" s="359">
        <f t="shared" si="146"/>
        <v>0</v>
      </c>
      <c r="J501" s="264">
        <v>0</v>
      </c>
      <c r="K501" s="360">
        <f t="shared" si="147"/>
        <v>0</v>
      </c>
    </row>
    <row r="502" spans="2:11" ht="16.05" hidden="1" customHeight="1" outlineLevel="2">
      <c r="B502" s="32"/>
      <c r="C502" s="66" t="s">
        <v>249</v>
      </c>
      <c r="D502" s="264">
        <v>0</v>
      </c>
      <c r="E502" s="359">
        <f t="shared" si="144"/>
        <v>0</v>
      </c>
      <c r="F502" s="264">
        <v>0</v>
      </c>
      <c r="G502" s="359">
        <f t="shared" si="145"/>
        <v>0</v>
      </c>
      <c r="H502" s="264">
        <v>0</v>
      </c>
      <c r="I502" s="359">
        <f t="shared" si="146"/>
        <v>0</v>
      </c>
      <c r="J502" s="264">
        <v>0</v>
      </c>
      <c r="K502" s="360">
        <f t="shared" si="147"/>
        <v>0</v>
      </c>
    </row>
    <row r="503" spans="2:11" ht="16.05" hidden="1" customHeight="1" outlineLevel="2">
      <c r="B503" s="32"/>
      <c r="C503" s="66" t="s">
        <v>249</v>
      </c>
      <c r="D503" s="264">
        <v>0</v>
      </c>
      <c r="E503" s="359">
        <f t="shared" si="144"/>
        <v>0</v>
      </c>
      <c r="F503" s="264">
        <v>0</v>
      </c>
      <c r="G503" s="359">
        <f t="shared" si="145"/>
        <v>0</v>
      </c>
      <c r="H503" s="264">
        <v>0</v>
      </c>
      <c r="I503" s="359">
        <f t="shared" si="146"/>
        <v>0</v>
      </c>
      <c r="J503" s="264">
        <v>0</v>
      </c>
      <c r="K503" s="360">
        <f t="shared" si="147"/>
        <v>0</v>
      </c>
    </row>
    <row r="504" spans="2:11" ht="14.4" hidden="1" outlineLevel="1" collapsed="1">
      <c r="B504" s="49" t="s">
        <v>224</v>
      </c>
      <c r="C504" s="66" t="s">
        <v>249</v>
      </c>
      <c r="D504" s="264">
        <v>0</v>
      </c>
      <c r="E504" s="359">
        <f t="shared" si="144"/>
        <v>0</v>
      </c>
      <c r="F504" s="264">
        <v>0</v>
      </c>
      <c r="G504" s="359">
        <f t="shared" si="145"/>
        <v>0</v>
      </c>
      <c r="H504" s="264">
        <v>0</v>
      </c>
      <c r="I504" s="359">
        <f t="shared" si="146"/>
        <v>0</v>
      </c>
      <c r="J504" s="264">
        <v>0</v>
      </c>
      <c r="K504" s="360">
        <f t="shared" si="147"/>
        <v>0</v>
      </c>
    </row>
    <row r="505" spans="2:11" ht="14.4" hidden="1" outlineLevel="1">
      <c r="B505" s="32"/>
      <c r="C505" s="66" t="s">
        <v>249</v>
      </c>
      <c r="D505" s="251">
        <f>0-SUM(D482:D504)</f>
        <v>0</v>
      </c>
      <c r="E505" s="359">
        <f t="shared" si="144"/>
        <v>0</v>
      </c>
      <c r="F505" s="251">
        <f>0-SUM(F482:F504)</f>
        <v>0</v>
      </c>
      <c r="G505" s="359">
        <f t="shared" si="145"/>
        <v>0</v>
      </c>
      <c r="H505" s="251">
        <f>0-SUM(H482:H504)</f>
        <v>0</v>
      </c>
      <c r="I505" s="359">
        <f t="shared" si="146"/>
        <v>0</v>
      </c>
      <c r="J505" s="251">
        <f>0-SUM(J482:J504)</f>
        <v>0</v>
      </c>
      <c r="K505" s="360">
        <f t="shared" si="147"/>
        <v>0</v>
      </c>
    </row>
    <row r="506" spans="2:11" ht="14.4" hidden="1" outlineLevel="1">
      <c r="B506" s="32"/>
      <c r="C506" s="26" t="s">
        <v>250</v>
      </c>
      <c r="D506" s="277">
        <f>SUM(D482:D505)</f>
        <v>0</v>
      </c>
      <c r="E506" s="359">
        <f t="shared" si="144"/>
        <v>0</v>
      </c>
      <c r="F506" s="277">
        <f>SUM(F482:F505)</f>
        <v>0</v>
      </c>
      <c r="G506" s="359">
        <f t="shared" si="145"/>
        <v>0</v>
      </c>
      <c r="H506" s="277">
        <f>SUM(H482:H505)</f>
        <v>0</v>
      </c>
      <c r="I506" s="359">
        <f t="shared" si="146"/>
        <v>0</v>
      </c>
      <c r="J506" s="277">
        <f>SUM(J482:J505)</f>
        <v>0</v>
      </c>
      <c r="K506" s="360">
        <f t="shared" si="147"/>
        <v>0</v>
      </c>
    </row>
    <row r="507" spans="2:11" ht="14.4" hidden="1" outlineLevel="1">
      <c r="B507" s="32"/>
      <c r="C507" s="26"/>
      <c r="D507" s="278"/>
      <c r="E507" s="361"/>
      <c r="F507" s="278"/>
      <c r="G507" s="361"/>
      <c r="H507" s="278"/>
      <c r="I507" s="361"/>
      <c r="J507" s="278"/>
      <c r="K507" s="362"/>
    </row>
    <row r="508" spans="2:11" ht="14.4" hidden="1" outlineLevel="1">
      <c r="B508" s="32"/>
      <c r="C508" s="26" t="s">
        <v>251</v>
      </c>
      <c r="D508" s="277">
        <f>D479-D506</f>
        <v>0</v>
      </c>
      <c r="E508" s="359">
        <f>IF(D$477=0,0,D508/D$477)</f>
        <v>0</v>
      </c>
      <c r="F508" s="277">
        <f>F479-F506</f>
        <v>0</v>
      </c>
      <c r="G508" s="359">
        <f>IF(F$477=0,0,F508/F$477)</f>
        <v>0</v>
      </c>
      <c r="H508" s="277">
        <f>H479-H506</f>
        <v>0</v>
      </c>
      <c r="I508" s="359">
        <f>IF(H$477=0,0,H508/H$477)</f>
        <v>0</v>
      </c>
      <c r="J508" s="277">
        <f>J479-J506</f>
        <v>0</v>
      </c>
      <c r="K508" s="360">
        <f>IF(J$477=0,0,J508/J$477)</f>
        <v>0</v>
      </c>
    </row>
    <row r="509" spans="2:11" ht="14.4" hidden="1" outlineLevel="1">
      <c r="B509" s="32"/>
      <c r="C509" s="26"/>
      <c r="D509" s="280"/>
      <c r="E509" s="361"/>
      <c r="F509" s="280"/>
      <c r="G509" s="361"/>
      <c r="H509" s="280"/>
      <c r="I509" s="361"/>
      <c r="J509" s="280"/>
      <c r="K509" s="362"/>
    </row>
    <row r="510" spans="2:11" ht="14.4" hidden="1" outlineLevel="1">
      <c r="B510" s="32"/>
      <c r="C510" s="66" t="s">
        <v>252</v>
      </c>
      <c r="D510" s="245">
        <v>0</v>
      </c>
      <c r="E510" s="359">
        <f t="shared" ref="E510:E514" si="148">IF(D$477=0,0,D510/D$477)</f>
        <v>0</v>
      </c>
      <c r="F510" s="245">
        <v>0</v>
      </c>
      <c r="G510" s="359">
        <f t="shared" ref="G510:G514" si="149">IF(F$477=0,0,F510/F$477)</f>
        <v>0</v>
      </c>
      <c r="H510" s="245">
        <v>0</v>
      </c>
      <c r="I510" s="359">
        <f t="shared" ref="I510:I514" si="150">IF(H$477=0,0,H510/H$477)</f>
        <v>0</v>
      </c>
      <c r="J510" s="245">
        <v>0</v>
      </c>
      <c r="K510" s="360">
        <f t="shared" ref="K510:K514" si="151">IF(J$477=0,0,J510/J$477)</f>
        <v>0</v>
      </c>
    </row>
    <row r="511" spans="2:11" ht="14.4" hidden="1" outlineLevel="1">
      <c r="B511" s="32"/>
      <c r="C511" s="66" t="s">
        <v>252</v>
      </c>
      <c r="D511" s="264">
        <v>0</v>
      </c>
      <c r="E511" s="359">
        <f t="shared" si="148"/>
        <v>0</v>
      </c>
      <c r="F511" s="264">
        <v>0</v>
      </c>
      <c r="G511" s="359">
        <f t="shared" si="149"/>
        <v>0</v>
      </c>
      <c r="H511" s="264">
        <v>0</v>
      </c>
      <c r="I511" s="359">
        <f t="shared" si="150"/>
        <v>0</v>
      </c>
      <c r="J511" s="264">
        <v>0</v>
      </c>
      <c r="K511" s="360">
        <f t="shared" si="151"/>
        <v>0</v>
      </c>
    </row>
    <row r="512" spans="2:11" ht="14.4" hidden="1" outlineLevel="1">
      <c r="B512" s="32"/>
      <c r="C512" s="66" t="s">
        <v>254</v>
      </c>
      <c r="D512" s="264">
        <v>0</v>
      </c>
      <c r="E512" s="359">
        <f t="shared" si="148"/>
        <v>0</v>
      </c>
      <c r="F512" s="264">
        <v>0</v>
      </c>
      <c r="G512" s="359">
        <f t="shared" si="149"/>
        <v>0</v>
      </c>
      <c r="H512" s="264">
        <v>0</v>
      </c>
      <c r="I512" s="359">
        <f t="shared" si="150"/>
        <v>0</v>
      </c>
      <c r="J512" s="264">
        <v>0</v>
      </c>
      <c r="K512" s="360">
        <f t="shared" si="151"/>
        <v>0</v>
      </c>
    </row>
    <row r="513" spans="2:11" ht="14.4" hidden="1" outlineLevel="1">
      <c r="B513" s="32"/>
      <c r="C513" s="66" t="s">
        <v>254</v>
      </c>
      <c r="D513" s="251">
        <v>0</v>
      </c>
      <c r="E513" s="359">
        <f t="shared" si="148"/>
        <v>0</v>
      </c>
      <c r="F513" s="251">
        <v>0</v>
      </c>
      <c r="G513" s="359">
        <f t="shared" si="149"/>
        <v>0</v>
      </c>
      <c r="H513" s="251">
        <v>0</v>
      </c>
      <c r="I513" s="359">
        <f t="shared" si="150"/>
        <v>0</v>
      </c>
      <c r="J513" s="251">
        <v>0</v>
      </c>
      <c r="K513" s="360">
        <f t="shared" si="151"/>
        <v>0</v>
      </c>
    </row>
    <row r="514" spans="2:11" ht="14.4" hidden="1" outlineLevel="1">
      <c r="B514" s="32"/>
      <c r="C514" s="26" t="s">
        <v>255</v>
      </c>
      <c r="D514" s="277">
        <f>SUM(D510:D513)</f>
        <v>0</v>
      </c>
      <c r="E514" s="359">
        <f t="shared" si="148"/>
        <v>0</v>
      </c>
      <c r="F514" s="277">
        <f>SUM(F510:F513)</f>
        <v>0</v>
      </c>
      <c r="G514" s="359">
        <f t="shared" si="149"/>
        <v>0</v>
      </c>
      <c r="H514" s="277">
        <f>SUM(H510:H513)</f>
        <v>0</v>
      </c>
      <c r="I514" s="359">
        <f t="shared" si="150"/>
        <v>0</v>
      </c>
      <c r="J514" s="277">
        <f>SUM(J510:J513)</f>
        <v>0</v>
      </c>
      <c r="K514" s="360">
        <f t="shared" si="151"/>
        <v>0</v>
      </c>
    </row>
    <row r="515" spans="2:11" ht="14.4" hidden="1" outlineLevel="1">
      <c r="B515" s="32"/>
      <c r="C515" s="26"/>
      <c r="D515" s="278"/>
      <c r="E515" s="361"/>
      <c r="F515" s="278"/>
      <c r="G515" s="361"/>
      <c r="H515" s="278"/>
      <c r="I515" s="361"/>
      <c r="J515" s="278"/>
      <c r="K515" s="363"/>
    </row>
    <row r="516" spans="2:11" ht="14.4" hidden="1" outlineLevel="1">
      <c r="B516" s="32"/>
      <c r="C516" s="26" t="s">
        <v>256</v>
      </c>
      <c r="D516" s="277">
        <f>D479-D506+D514</f>
        <v>0</v>
      </c>
      <c r="E516" s="359">
        <f t="shared" ref="E516:E517" si="152">IF(D$477=0,0,D516/D$477)</f>
        <v>0</v>
      </c>
      <c r="F516" s="277">
        <f>F479-F506+F514</f>
        <v>0</v>
      </c>
      <c r="G516" s="359">
        <f t="shared" ref="G516:G517" si="153">IF(F$477=0,0,F516/F$477)</f>
        <v>0</v>
      </c>
      <c r="H516" s="277">
        <f>H479-H506+H514</f>
        <v>0</v>
      </c>
      <c r="I516" s="359">
        <f t="shared" ref="I516:I517" si="154">IF(H$477=0,0,H516/H$477)</f>
        <v>0</v>
      </c>
      <c r="J516" s="277">
        <f>J479-J506+J514</f>
        <v>0</v>
      </c>
      <c r="K516" s="360">
        <f t="shared" ref="K516:K517" si="155">IF(J$477=0,0,J516/J$477)</f>
        <v>0</v>
      </c>
    </row>
    <row r="517" spans="2:11" ht="14.4" hidden="1" outlineLevel="1">
      <c r="B517" s="32"/>
      <c r="C517" s="26" t="s">
        <v>257</v>
      </c>
      <c r="D517" s="277">
        <v>0</v>
      </c>
      <c r="E517" s="359">
        <f t="shared" si="152"/>
        <v>0</v>
      </c>
      <c r="F517" s="277">
        <v>0</v>
      </c>
      <c r="G517" s="359">
        <f t="shared" si="153"/>
        <v>0</v>
      </c>
      <c r="H517" s="277">
        <v>0</v>
      </c>
      <c r="I517" s="359">
        <f t="shared" si="154"/>
        <v>0</v>
      </c>
      <c r="J517" s="277">
        <v>0</v>
      </c>
      <c r="K517" s="360">
        <f t="shared" si="155"/>
        <v>0</v>
      </c>
    </row>
    <row r="518" spans="2:11" ht="14.4" hidden="1" outlineLevel="1">
      <c r="B518" s="32"/>
      <c r="C518" s="282"/>
      <c r="D518" s="283"/>
      <c r="E518" s="359"/>
      <c r="F518" s="283"/>
      <c r="G518" s="359"/>
      <c r="H518" s="283"/>
      <c r="I518" s="359"/>
      <c r="J518" s="283"/>
      <c r="K518" s="364"/>
    </row>
    <row r="519" spans="2:11" ht="14.4" hidden="1" outlineLevel="1">
      <c r="B519" s="32"/>
      <c r="C519" s="26" t="s">
        <v>258</v>
      </c>
      <c r="D519" s="277">
        <f>D516-D517</f>
        <v>0</v>
      </c>
      <c r="E519" s="359">
        <f>IF(D$477=0,0,D519/D$477)</f>
        <v>0</v>
      </c>
      <c r="F519" s="277">
        <f>F516-F517</f>
        <v>0</v>
      </c>
      <c r="G519" s="359">
        <f>IF(F$477=0,0,F519/F$477)</f>
        <v>0</v>
      </c>
      <c r="H519" s="277">
        <f>H516-H517</f>
        <v>0</v>
      </c>
      <c r="I519" s="359">
        <f>IF(H$477=0,0,H519/H$477)</f>
        <v>0</v>
      </c>
      <c r="J519" s="277">
        <f>J516-J517</f>
        <v>0</v>
      </c>
      <c r="K519" s="360">
        <f>IF(J$477=0,0,J519/J$477)</f>
        <v>0</v>
      </c>
    </row>
    <row r="520" spans="2:11" ht="15" hidden="1" outlineLevel="1" thickBot="1">
      <c r="B520" s="74"/>
      <c r="C520" s="76"/>
      <c r="D520" s="365"/>
      <c r="E520" s="366"/>
      <c r="F520" s="365"/>
      <c r="G520" s="366"/>
      <c r="H520" s="365"/>
      <c r="I520" s="366"/>
      <c r="J520" s="365"/>
      <c r="K520" s="367"/>
    </row>
    <row r="521" spans="2:11" ht="14.4" hidden="1" outlineLevel="1">
      <c r="B521" s="190"/>
      <c r="C521" s="289" t="s">
        <v>259</v>
      </c>
      <c r="D521" s="13"/>
      <c r="E521" s="13"/>
      <c r="F521" s="13"/>
      <c r="G521" s="13"/>
      <c r="H521" s="13"/>
      <c r="I521" s="13"/>
      <c r="J521" s="13"/>
      <c r="K521" s="192"/>
    </row>
    <row r="522" spans="2:11" ht="14.4" hidden="1" outlineLevel="1">
      <c r="B522" s="32"/>
      <c r="C522" s="291" t="s">
        <v>260</v>
      </c>
      <c r="D522" s="292">
        <f>D482</f>
        <v>0</v>
      </c>
      <c r="E522" s="13"/>
      <c r="F522" s="292">
        <f>F482</f>
        <v>0</v>
      </c>
      <c r="G522" s="13"/>
      <c r="H522" s="292">
        <f>H482</f>
        <v>0</v>
      </c>
      <c r="I522" s="13"/>
      <c r="J522" s="292">
        <f>J482</f>
        <v>0</v>
      </c>
      <c r="K522" s="18"/>
    </row>
    <row r="523" spans="2:11" ht="14.4" hidden="1" outlineLevel="1">
      <c r="B523" s="32"/>
      <c r="C523" s="294" t="s">
        <v>261</v>
      </c>
      <c r="D523" s="292">
        <f>D489</f>
        <v>0</v>
      </c>
      <c r="E523" s="13"/>
      <c r="F523" s="292">
        <f>F489</f>
        <v>0</v>
      </c>
      <c r="G523" s="13"/>
      <c r="H523" s="292">
        <f>H489</f>
        <v>0</v>
      </c>
      <c r="I523" s="13"/>
      <c r="J523" s="292">
        <f>J489</f>
        <v>0</v>
      </c>
      <c r="K523" s="18"/>
    </row>
    <row r="524" spans="2:11" ht="14.4" hidden="1" outlineLevel="1">
      <c r="B524" s="32"/>
      <c r="C524" s="294" t="s">
        <v>262</v>
      </c>
      <c r="D524" s="292">
        <f>D488</f>
        <v>0</v>
      </c>
      <c r="E524" s="13"/>
      <c r="F524" s="292">
        <f>F488</f>
        <v>0</v>
      </c>
      <c r="G524" s="13"/>
      <c r="H524" s="292">
        <f>H488</f>
        <v>0</v>
      </c>
      <c r="I524" s="13"/>
      <c r="J524" s="292">
        <f>J488</f>
        <v>0</v>
      </c>
      <c r="K524" s="18"/>
    </row>
    <row r="525" spans="2:11" ht="14.4" hidden="1" outlineLevel="1">
      <c r="B525" s="32"/>
      <c r="C525" s="294" t="s">
        <v>263</v>
      </c>
      <c r="D525" s="292">
        <v>0</v>
      </c>
      <c r="E525" s="13"/>
      <c r="F525" s="292">
        <v>0</v>
      </c>
      <c r="G525" s="13"/>
      <c r="H525" s="292">
        <v>0</v>
      </c>
      <c r="I525" s="13"/>
      <c r="J525" s="292">
        <v>0</v>
      </c>
      <c r="K525" s="18"/>
    </row>
    <row r="526" spans="2:11" ht="14.4" hidden="1" outlineLevel="1">
      <c r="B526" s="32"/>
      <c r="C526" s="296" t="s">
        <v>264</v>
      </c>
      <c r="D526" s="292">
        <v>0</v>
      </c>
      <c r="E526" s="13"/>
      <c r="F526" s="292">
        <v>0</v>
      </c>
      <c r="G526" s="13"/>
      <c r="H526" s="292">
        <v>0</v>
      </c>
      <c r="I526" s="13"/>
      <c r="J526" s="292">
        <v>0</v>
      </c>
      <c r="K526" s="18"/>
    </row>
    <row r="527" spans="2:11" ht="14.4" hidden="1" outlineLevel="1">
      <c r="B527" s="32"/>
      <c r="C527" s="296" t="s">
        <v>264</v>
      </c>
      <c r="D527" s="292">
        <v>0</v>
      </c>
      <c r="E527" s="13"/>
      <c r="F527" s="292">
        <v>0</v>
      </c>
      <c r="G527" s="13"/>
      <c r="H527" s="292">
        <v>0</v>
      </c>
      <c r="I527" s="13"/>
      <c r="J527" s="292">
        <v>0</v>
      </c>
      <c r="K527" s="18"/>
    </row>
    <row r="528" spans="2:11" ht="14.4" hidden="1" outlineLevel="1">
      <c r="B528" s="32"/>
      <c r="C528" s="294" t="s">
        <v>265</v>
      </c>
      <c r="D528" s="292">
        <v>0</v>
      </c>
      <c r="E528" s="13"/>
      <c r="F528" s="292">
        <v>0</v>
      </c>
      <c r="G528" s="13"/>
      <c r="H528" s="292">
        <v>0</v>
      </c>
      <c r="I528" s="13"/>
      <c r="J528" s="292">
        <v>0</v>
      </c>
      <c r="K528" s="18"/>
    </row>
    <row r="529" spans="2:11" ht="14.4" hidden="1" outlineLevel="1">
      <c r="B529" s="32"/>
      <c r="C529" s="294" t="s">
        <v>266</v>
      </c>
      <c r="D529" s="298">
        <v>0</v>
      </c>
      <c r="E529" s="13"/>
      <c r="F529" s="298">
        <v>0</v>
      </c>
      <c r="G529" s="13"/>
      <c r="H529" s="298">
        <v>0</v>
      </c>
      <c r="I529" s="13"/>
      <c r="J529" s="298">
        <v>0</v>
      </c>
      <c r="K529" s="18"/>
    </row>
    <row r="530" spans="2:11" ht="14.4" hidden="1" outlineLevel="1">
      <c r="B530" s="32"/>
      <c r="C530" s="294"/>
      <c r="D530" s="13"/>
      <c r="E530" s="13"/>
      <c r="F530" s="13"/>
      <c r="G530" s="13"/>
      <c r="H530" s="13"/>
      <c r="I530" s="13"/>
      <c r="J530" s="13"/>
      <c r="K530" s="18"/>
    </row>
    <row r="531" spans="2:11" ht="14.4" hidden="1" outlineLevel="1">
      <c r="B531" s="32"/>
      <c r="C531" s="294" t="s">
        <v>267</v>
      </c>
      <c r="D531" s="299">
        <f>D519+SUM(D522:D529)</f>
        <v>0</v>
      </c>
      <c r="E531" s="294"/>
      <c r="F531" s="299">
        <f>F519+SUM(F522:F529)</f>
        <v>0</v>
      </c>
      <c r="G531" s="294"/>
      <c r="H531" s="299">
        <f>H519+SUM(H522:H529)</f>
        <v>0</v>
      </c>
      <c r="I531" s="294"/>
      <c r="J531" s="299">
        <f>J519+SUM(J522:J529)</f>
        <v>0</v>
      </c>
      <c r="K531" s="18"/>
    </row>
    <row r="532" spans="2:11" ht="14.4" hidden="1" outlineLevel="1">
      <c r="B532" s="32"/>
      <c r="C532" s="294"/>
      <c r="D532" s="13"/>
      <c r="E532" s="13"/>
      <c r="F532" s="13"/>
      <c r="G532" s="13"/>
      <c r="H532" s="13"/>
      <c r="I532" s="13"/>
      <c r="J532" s="13"/>
      <c r="K532" s="18"/>
    </row>
    <row r="533" spans="2:11" ht="14.4" hidden="1" outlineLevel="1">
      <c r="B533" s="32"/>
      <c r="C533" s="66" t="s">
        <v>316</v>
      </c>
      <c r="D533" s="292">
        <v>0</v>
      </c>
      <c r="E533" s="13"/>
      <c r="F533" s="292">
        <v>0</v>
      </c>
      <c r="G533" s="13"/>
      <c r="H533" s="292">
        <v>0</v>
      </c>
      <c r="I533" s="13"/>
      <c r="J533" s="292">
        <v>0</v>
      </c>
      <c r="K533" s="18"/>
    </row>
    <row r="534" spans="2:11" ht="14.4" hidden="1" outlineLevel="1">
      <c r="B534" s="32"/>
      <c r="C534" s="66" t="s">
        <v>268</v>
      </c>
      <c r="D534" s="252">
        <f>D533*D464</f>
        <v>0</v>
      </c>
      <c r="E534" s="13"/>
      <c r="F534" s="252">
        <f>F533*F464</f>
        <v>0</v>
      </c>
      <c r="G534" s="13"/>
      <c r="H534" s="252">
        <f>H533*H464</f>
        <v>0</v>
      </c>
      <c r="I534" s="13"/>
      <c r="J534" s="252">
        <f>J533*J464</f>
        <v>0</v>
      </c>
      <c r="K534" s="18"/>
    </row>
    <row r="535" spans="2:11" ht="14.4" hidden="1" outlineLevel="1">
      <c r="B535" s="32"/>
      <c r="C535" s="13"/>
      <c r="D535" s="13"/>
      <c r="E535" s="13"/>
      <c r="F535" s="13"/>
      <c r="G535" s="13"/>
      <c r="H535" s="13"/>
      <c r="I535" s="13"/>
      <c r="J535" s="13"/>
      <c r="K535" s="18"/>
    </row>
    <row r="536" spans="2:11" ht="14.4" hidden="1" outlineLevel="1">
      <c r="B536" s="32"/>
      <c r="C536" s="26" t="s">
        <v>275</v>
      </c>
      <c r="D536" s="301">
        <f>IFERROR(D531/D534,0)</f>
        <v>0</v>
      </c>
      <c r="E536" s="13"/>
      <c r="F536" s="301">
        <f>IFERROR(F531/F534,0)</f>
        <v>0</v>
      </c>
      <c r="G536" s="13"/>
      <c r="H536" s="301">
        <f>IFERROR(H531/H534,0)</f>
        <v>0</v>
      </c>
      <c r="I536" s="13"/>
      <c r="J536" s="301">
        <f>IFERROR(J531/J534,0)</f>
        <v>0</v>
      </c>
      <c r="K536" s="18"/>
    </row>
    <row r="537" spans="2:11" ht="15" collapsed="1" thickBot="1">
      <c r="B537" s="823" t="s">
        <v>323</v>
      </c>
      <c r="C537" s="824"/>
      <c r="D537" s="824"/>
      <c r="E537" s="75"/>
      <c r="F537" s="75"/>
      <c r="G537" s="75"/>
      <c r="H537" s="75"/>
      <c r="I537" s="75"/>
      <c r="J537" s="75"/>
      <c r="K537" s="35"/>
    </row>
    <row r="538" spans="2:11" ht="15" thickBot="1">
      <c r="B538" s="368"/>
      <c r="C538" s="368"/>
      <c r="D538" s="368"/>
      <c r="E538" s="369"/>
      <c r="F538" s="369"/>
      <c r="G538" s="369"/>
      <c r="H538" s="369"/>
      <c r="I538" s="369"/>
      <c r="J538" s="369"/>
      <c r="K538" s="369"/>
    </row>
    <row r="539" spans="2:11" ht="16.05" hidden="1" customHeight="1" outlineLevel="1" thickBot="1">
      <c r="B539" s="860" t="s">
        <v>190</v>
      </c>
      <c r="C539" s="861"/>
      <c r="D539" s="861"/>
      <c r="E539" s="861"/>
      <c r="F539" s="861"/>
      <c r="G539" s="861"/>
      <c r="H539" s="861"/>
      <c r="I539" s="861"/>
      <c r="J539" s="861"/>
      <c r="K539" s="862"/>
    </row>
    <row r="540" spans="2:11" ht="16.05" hidden="1" customHeight="1" outlineLevel="1">
      <c r="B540" s="857" t="s">
        <v>324</v>
      </c>
      <c r="C540" s="858"/>
      <c r="D540" s="858"/>
      <c r="E540" s="858"/>
      <c r="F540" s="858"/>
      <c r="G540" s="858"/>
      <c r="H540" s="858"/>
      <c r="I540" s="858"/>
      <c r="J540" s="858"/>
      <c r="K540" s="859"/>
    </row>
    <row r="541" spans="2:11" ht="16.05" hidden="1" customHeight="1" outlineLevel="1" thickBot="1">
      <c r="B541" s="227" t="s">
        <v>193</v>
      </c>
      <c r="C541" s="356" t="s">
        <v>79</v>
      </c>
      <c r="D541" s="21"/>
      <c r="E541" s="21"/>
      <c r="F541" s="21"/>
      <c r="G541" s="21"/>
      <c r="H541" s="21"/>
      <c r="I541" s="21"/>
      <c r="J541" s="21"/>
      <c r="K541" s="229"/>
    </row>
    <row r="542" spans="2:11" ht="16.05" hidden="1" customHeight="1" outlineLevel="1">
      <c r="B542" s="230" t="s">
        <v>196</v>
      </c>
      <c r="C542" s="66"/>
      <c r="D542" s="231">
        <v>44926</v>
      </c>
      <c r="E542" s="29"/>
      <c r="F542" s="231">
        <f>EOMONTH(D542,F543)</f>
        <v>45291</v>
      </c>
      <c r="G542" s="29"/>
      <c r="H542" s="231">
        <f>EOMONTH(F542,H543)</f>
        <v>45657</v>
      </c>
      <c r="I542" s="29"/>
      <c r="J542" s="231">
        <f>EOMONTH(H542,J543)</f>
        <v>45747</v>
      </c>
      <c r="K542" s="18"/>
    </row>
    <row r="543" spans="2:11" ht="16.05" hidden="1" customHeight="1" outlineLevel="1">
      <c r="B543" s="230" t="s">
        <v>198</v>
      </c>
      <c r="C543" s="66"/>
      <c r="D543" s="234">
        <v>12</v>
      </c>
      <c r="E543" s="235"/>
      <c r="F543" s="234">
        <v>12</v>
      </c>
      <c r="G543" s="235"/>
      <c r="H543" s="234">
        <v>12</v>
      </c>
      <c r="I543" s="235"/>
      <c r="J543" s="234">
        <v>3</v>
      </c>
      <c r="K543" s="236"/>
    </row>
    <row r="544" spans="2:11" ht="16.05" hidden="1" customHeight="1" outlineLevel="1">
      <c r="B544" s="230" t="s">
        <v>201</v>
      </c>
      <c r="C544" s="66"/>
      <c r="D544" s="237" t="s">
        <v>202</v>
      </c>
      <c r="E544" s="238"/>
      <c r="F544" s="237" t="s">
        <v>202</v>
      </c>
      <c r="G544" s="238"/>
      <c r="H544" s="237"/>
      <c r="I544" s="238"/>
      <c r="J544" s="237" t="s">
        <v>203</v>
      </c>
      <c r="K544" s="236"/>
    </row>
    <row r="545" spans="2:11" ht="16.05" hidden="1" customHeight="1" outlineLevel="1">
      <c r="B545" s="230" t="s">
        <v>205</v>
      </c>
      <c r="C545" s="66"/>
      <c r="D545" s="237"/>
      <c r="E545" s="238"/>
      <c r="F545" s="237"/>
      <c r="G545" s="238"/>
      <c r="H545" s="237"/>
      <c r="I545" s="238"/>
      <c r="J545" s="237"/>
      <c r="K545" s="236"/>
    </row>
    <row r="546" spans="2:11" ht="16.05" hidden="1" customHeight="1" outlineLevel="1">
      <c r="B546" s="19" t="s">
        <v>206</v>
      </c>
      <c r="C546" s="20"/>
      <c r="D546" s="357"/>
      <c r="E546" s="358"/>
      <c r="F546" s="357"/>
      <c r="G546" s="358"/>
      <c r="H546" s="357"/>
      <c r="I546" s="358"/>
      <c r="J546" s="242">
        <f>(J547/J543)*12</f>
        <v>0</v>
      </c>
      <c r="K546" s="243"/>
    </row>
    <row r="547" spans="2:11" ht="16.05" hidden="1" customHeight="1" outlineLevel="1">
      <c r="B547" s="49" t="s">
        <v>207</v>
      </c>
      <c r="C547" s="66" t="s">
        <v>208</v>
      </c>
      <c r="D547" s="245">
        <v>0</v>
      </c>
      <c r="E547" s="359">
        <f t="shared" ref="E547:E558" si="156">IF(D$556=0,0,D547/D$556)</f>
        <v>0</v>
      </c>
      <c r="F547" s="245">
        <v>0</v>
      </c>
      <c r="G547" s="359">
        <f t="shared" ref="G547:G558" si="157">IF(F$556=0,0,F547/F$556)</f>
        <v>0</v>
      </c>
      <c r="H547" s="245">
        <v>0</v>
      </c>
      <c r="I547" s="359">
        <f t="shared" ref="I547:I558" si="158">IF(H$556=0,0,H547/H$556)</f>
        <v>0</v>
      </c>
      <c r="J547" s="245">
        <v>0</v>
      </c>
      <c r="K547" s="360">
        <f t="shared" ref="K547:K558" si="159">IF(J$556=0,0,J547/J$556)</f>
        <v>0</v>
      </c>
    </row>
    <row r="548" spans="2:11" ht="16.05" hidden="1" customHeight="1" outlineLevel="1">
      <c r="B548" s="49" t="s">
        <v>210</v>
      </c>
      <c r="C548" s="66" t="s">
        <v>208</v>
      </c>
      <c r="D548" s="251">
        <v>0</v>
      </c>
      <c r="E548" s="359">
        <f t="shared" si="156"/>
        <v>0</v>
      </c>
      <c r="F548" s="251">
        <v>0</v>
      </c>
      <c r="G548" s="359">
        <f t="shared" si="157"/>
        <v>0</v>
      </c>
      <c r="H548" s="251">
        <v>0</v>
      </c>
      <c r="I548" s="359">
        <f t="shared" si="158"/>
        <v>0</v>
      </c>
      <c r="J548" s="251">
        <v>0</v>
      </c>
      <c r="K548" s="360">
        <f t="shared" si="159"/>
        <v>0</v>
      </c>
    </row>
    <row r="549" spans="2:11" ht="14.4" hidden="1" outlineLevel="2">
      <c r="B549" s="49" t="s">
        <v>212</v>
      </c>
      <c r="C549" s="66" t="s">
        <v>208</v>
      </c>
      <c r="D549" s="252">
        <f>D547-D548</f>
        <v>0</v>
      </c>
      <c r="E549" s="359">
        <f t="shared" si="156"/>
        <v>0</v>
      </c>
      <c r="F549" s="252">
        <f>F547-F548</f>
        <v>0</v>
      </c>
      <c r="G549" s="359">
        <f t="shared" si="157"/>
        <v>0</v>
      </c>
      <c r="H549" s="252">
        <f>H547-H548</f>
        <v>0</v>
      </c>
      <c r="I549" s="359">
        <f t="shared" si="158"/>
        <v>0</v>
      </c>
      <c r="J549" s="252">
        <f>J547-J548</f>
        <v>0</v>
      </c>
      <c r="K549" s="360">
        <f t="shared" si="159"/>
        <v>0</v>
      </c>
    </row>
    <row r="550" spans="2:11" ht="14.4" hidden="1" outlineLevel="2">
      <c r="B550" s="49" t="s">
        <v>207</v>
      </c>
      <c r="C550" s="66" t="s">
        <v>215</v>
      </c>
      <c r="D550" s="245">
        <v>0</v>
      </c>
      <c r="E550" s="359">
        <f t="shared" si="156"/>
        <v>0</v>
      </c>
      <c r="F550" s="245">
        <v>0</v>
      </c>
      <c r="G550" s="359">
        <f t="shared" si="157"/>
        <v>0</v>
      </c>
      <c r="H550" s="245">
        <v>0</v>
      </c>
      <c r="I550" s="359">
        <f t="shared" si="158"/>
        <v>0</v>
      </c>
      <c r="J550" s="245">
        <v>0</v>
      </c>
      <c r="K550" s="360">
        <f t="shared" si="159"/>
        <v>0</v>
      </c>
    </row>
    <row r="551" spans="2:11" ht="14.4" hidden="1" outlineLevel="2">
      <c r="B551" s="49" t="s">
        <v>210</v>
      </c>
      <c r="C551" s="66" t="s">
        <v>215</v>
      </c>
      <c r="D551" s="251">
        <v>0</v>
      </c>
      <c r="E551" s="359">
        <f t="shared" si="156"/>
        <v>0</v>
      </c>
      <c r="F551" s="251">
        <v>0</v>
      </c>
      <c r="G551" s="359">
        <f t="shared" si="157"/>
        <v>0</v>
      </c>
      <c r="H551" s="251">
        <v>0</v>
      </c>
      <c r="I551" s="359">
        <f t="shared" si="158"/>
        <v>0</v>
      </c>
      <c r="J551" s="251">
        <v>0</v>
      </c>
      <c r="K551" s="360">
        <f t="shared" si="159"/>
        <v>0</v>
      </c>
    </row>
    <row r="552" spans="2:11" ht="14.4" hidden="1" outlineLevel="2">
      <c r="B552" s="49" t="s">
        <v>212</v>
      </c>
      <c r="C552" s="66" t="s">
        <v>215</v>
      </c>
      <c r="D552" s="252">
        <f>D550-D551</f>
        <v>0</v>
      </c>
      <c r="E552" s="359">
        <f t="shared" si="156"/>
        <v>0</v>
      </c>
      <c r="F552" s="252">
        <f>F550-F551</f>
        <v>0</v>
      </c>
      <c r="G552" s="359">
        <f t="shared" si="157"/>
        <v>0</v>
      </c>
      <c r="H552" s="252">
        <f>H550-H551</f>
        <v>0</v>
      </c>
      <c r="I552" s="359">
        <f t="shared" si="158"/>
        <v>0</v>
      </c>
      <c r="J552" s="252">
        <f>J550-J551</f>
        <v>0</v>
      </c>
      <c r="K552" s="360">
        <f t="shared" si="159"/>
        <v>0</v>
      </c>
    </row>
    <row r="553" spans="2:11" ht="14.4" hidden="1" outlineLevel="2">
      <c r="B553" s="49" t="s">
        <v>207</v>
      </c>
      <c r="C553" s="66" t="s">
        <v>219</v>
      </c>
      <c r="D553" s="245">
        <v>0</v>
      </c>
      <c r="E553" s="359">
        <f t="shared" si="156"/>
        <v>0</v>
      </c>
      <c r="F553" s="245">
        <v>0</v>
      </c>
      <c r="G553" s="359">
        <f t="shared" si="157"/>
        <v>0</v>
      </c>
      <c r="H553" s="245">
        <v>0</v>
      </c>
      <c r="I553" s="359">
        <f t="shared" si="158"/>
        <v>0</v>
      </c>
      <c r="J553" s="245">
        <v>0</v>
      </c>
      <c r="K553" s="360">
        <f t="shared" si="159"/>
        <v>0</v>
      </c>
    </row>
    <row r="554" spans="2:11" ht="14.4" hidden="1" outlineLevel="2">
      <c r="B554" s="49" t="s">
        <v>210</v>
      </c>
      <c r="C554" s="66" t="s">
        <v>219</v>
      </c>
      <c r="D554" s="251">
        <v>0</v>
      </c>
      <c r="E554" s="359">
        <f t="shared" si="156"/>
        <v>0</v>
      </c>
      <c r="F554" s="251">
        <v>0</v>
      </c>
      <c r="G554" s="359">
        <f t="shared" si="157"/>
        <v>0</v>
      </c>
      <c r="H554" s="251">
        <v>0</v>
      </c>
      <c r="I554" s="359">
        <f t="shared" si="158"/>
        <v>0</v>
      </c>
      <c r="J554" s="251">
        <v>0</v>
      </c>
      <c r="K554" s="360">
        <f t="shared" si="159"/>
        <v>0</v>
      </c>
    </row>
    <row r="555" spans="2:11" ht="14.4" hidden="1" outlineLevel="2">
      <c r="B555" s="49" t="s">
        <v>212</v>
      </c>
      <c r="C555" s="66" t="s">
        <v>219</v>
      </c>
      <c r="D555" s="252">
        <f>D553-D554</f>
        <v>0</v>
      </c>
      <c r="E555" s="359">
        <f t="shared" si="156"/>
        <v>0</v>
      </c>
      <c r="F555" s="252">
        <f>F553-F554</f>
        <v>0</v>
      </c>
      <c r="G555" s="359">
        <f t="shared" si="157"/>
        <v>0</v>
      </c>
      <c r="H555" s="252">
        <f>H553-H554</f>
        <v>0</v>
      </c>
      <c r="I555" s="359">
        <f t="shared" si="158"/>
        <v>0</v>
      </c>
      <c r="J555" s="252">
        <f>J553-J554</f>
        <v>0</v>
      </c>
      <c r="K555" s="360">
        <f t="shared" si="159"/>
        <v>0</v>
      </c>
    </row>
    <row r="556" spans="2:11" ht="14.4" hidden="1" outlineLevel="1" collapsed="1">
      <c r="B556" s="49" t="s">
        <v>224</v>
      </c>
      <c r="C556" s="26" t="s">
        <v>225</v>
      </c>
      <c r="D556" s="254">
        <f t="shared" ref="D556:D557" si="160">D547+D550+D553</f>
        <v>0</v>
      </c>
      <c r="E556" s="359">
        <f t="shared" si="156"/>
        <v>0</v>
      </c>
      <c r="F556" s="254">
        <f t="shared" ref="F556:F557" si="161">F547+F550+F553</f>
        <v>0</v>
      </c>
      <c r="G556" s="359">
        <f t="shared" si="157"/>
        <v>0</v>
      </c>
      <c r="H556" s="254">
        <f t="shared" ref="H556:H557" si="162">H547+H550+H553</f>
        <v>0</v>
      </c>
      <c r="I556" s="359">
        <f t="shared" si="158"/>
        <v>0</v>
      </c>
      <c r="J556" s="254">
        <f t="shared" ref="J556:J557" si="163">J547+J550+J553</f>
        <v>0</v>
      </c>
      <c r="K556" s="360">
        <f t="shared" si="159"/>
        <v>0</v>
      </c>
    </row>
    <row r="557" spans="2:11" ht="14.4" hidden="1" outlineLevel="1">
      <c r="B557" s="32"/>
      <c r="C557" s="26" t="s">
        <v>226</v>
      </c>
      <c r="D557" s="256">
        <f t="shared" si="160"/>
        <v>0</v>
      </c>
      <c r="E557" s="359">
        <f t="shared" si="156"/>
        <v>0</v>
      </c>
      <c r="F557" s="256">
        <f t="shared" si="161"/>
        <v>0</v>
      </c>
      <c r="G557" s="359">
        <f t="shared" si="157"/>
        <v>0</v>
      </c>
      <c r="H557" s="256">
        <f t="shared" si="162"/>
        <v>0</v>
      </c>
      <c r="I557" s="359">
        <f t="shared" si="158"/>
        <v>0</v>
      </c>
      <c r="J557" s="256">
        <f t="shared" si="163"/>
        <v>0</v>
      </c>
      <c r="K557" s="360">
        <f t="shared" si="159"/>
        <v>0</v>
      </c>
    </row>
    <row r="558" spans="2:11" ht="14.4" hidden="1" outlineLevel="1">
      <c r="B558" s="32"/>
      <c r="C558" s="26" t="s">
        <v>227</v>
      </c>
      <c r="D558" s="257">
        <f>D556-D557</f>
        <v>0</v>
      </c>
      <c r="E558" s="359">
        <f t="shared" si="156"/>
        <v>0</v>
      </c>
      <c r="F558" s="257">
        <f>F556-F557</f>
        <v>0</v>
      </c>
      <c r="G558" s="359">
        <f t="shared" si="157"/>
        <v>0</v>
      </c>
      <c r="H558" s="257">
        <f>H556-H557</f>
        <v>0</v>
      </c>
      <c r="I558" s="359">
        <f t="shared" si="158"/>
        <v>0</v>
      </c>
      <c r="J558" s="257">
        <f>J556-J557</f>
        <v>0</v>
      </c>
      <c r="K558" s="360">
        <f t="shared" si="159"/>
        <v>0</v>
      </c>
    </row>
    <row r="559" spans="2:11" ht="14.4" hidden="1" outlineLevel="1">
      <c r="B559" s="32"/>
      <c r="C559" s="26"/>
      <c r="D559" s="258"/>
      <c r="E559" s="361"/>
      <c r="F559" s="258"/>
      <c r="G559" s="361"/>
      <c r="H559" s="258"/>
      <c r="I559" s="361"/>
      <c r="J559" s="258"/>
      <c r="K559" s="362"/>
    </row>
    <row r="560" spans="2:11" ht="14.4" hidden="1" outlineLevel="1">
      <c r="B560" s="32"/>
      <c r="C560" s="26" t="s">
        <v>228</v>
      </c>
      <c r="D560" s="262"/>
      <c r="E560" s="359"/>
      <c r="F560" s="262"/>
      <c r="G560" s="359"/>
      <c r="H560" s="262"/>
      <c r="I560" s="359"/>
      <c r="J560" s="262"/>
      <c r="K560" s="362"/>
    </row>
    <row r="561" spans="2:11" ht="14.4" hidden="1" outlineLevel="1">
      <c r="B561" s="32"/>
      <c r="C561" s="66" t="s">
        <v>229</v>
      </c>
      <c r="D561" s="245">
        <v>0</v>
      </c>
      <c r="E561" s="359">
        <f t="shared" ref="E561:E585" si="164">IF(D$556=0,0,D561/D$556)</f>
        <v>0</v>
      </c>
      <c r="F561" s="245">
        <v>0</v>
      </c>
      <c r="G561" s="359">
        <f t="shared" ref="G561:G585" si="165">IF(F$556=0,0,F561/F$556)</f>
        <v>0</v>
      </c>
      <c r="H561" s="245">
        <v>0</v>
      </c>
      <c r="I561" s="359">
        <f t="shared" ref="I561:I585" si="166">IF(H$556=0,0,H561/H$556)</f>
        <v>0</v>
      </c>
      <c r="J561" s="245">
        <v>0</v>
      </c>
      <c r="K561" s="360">
        <f t="shared" ref="K561:K585" si="167">IF(J$556=0,0,J561/J$556)</f>
        <v>0</v>
      </c>
    </row>
    <row r="562" spans="2:11" ht="14.4" hidden="1" outlineLevel="1">
      <c r="B562" s="32"/>
      <c r="C562" s="66" t="s">
        <v>231</v>
      </c>
      <c r="D562" s="264">
        <v>0</v>
      </c>
      <c r="E562" s="359">
        <f t="shared" si="164"/>
        <v>0</v>
      </c>
      <c r="F562" s="264">
        <v>0</v>
      </c>
      <c r="G562" s="359">
        <f t="shared" si="165"/>
        <v>0</v>
      </c>
      <c r="H562" s="264">
        <v>0</v>
      </c>
      <c r="I562" s="359">
        <f t="shared" si="166"/>
        <v>0</v>
      </c>
      <c r="J562" s="264">
        <v>0</v>
      </c>
      <c r="K562" s="360">
        <f t="shared" si="167"/>
        <v>0</v>
      </c>
    </row>
    <row r="563" spans="2:11" ht="14.4" hidden="1" outlineLevel="1">
      <c r="B563" s="32"/>
      <c r="C563" s="66" t="s">
        <v>232</v>
      </c>
      <c r="D563" s="264">
        <v>0</v>
      </c>
      <c r="E563" s="359">
        <f t="shared" si="164"/>
        <v>0</v>
      </c>
      <c r="F563" s="264">
        <v>0</v>
      </c>
      <c r="G563" s="359">
        <f t="shared" si="165"/>
        <v>0</v>
      </c>
      <c r="H563" s="264">
        <v>0</v>
      </c>
      <c r="I563" s="359">
        <f t="shared" si="166"/>
        <v>0</v>
      </c>
      <c r="J563" s="264">
        <v>0</v>
      </c>
      <c r="K563" s="360">
        <f t="shared" si="167"/>
        <v>0</v>
      </c>
    </row>
    <row r="564" spans="2:11" ht="14.4" hidden="1" outlineLevel="1">
      <c r="B564" s="32"/>
      <c r="C564" s="66" t="s">
        <v>233</v>
      </c>
      <c r="D564" s="264">
        <v>0</v>
      </c>
      <c r="E564" s="359">
        <f t="shared" si="164"/>
        <v>0</v>
      </c>
      <c r="F564" s="264">
        <v>0</v>
      </c>
      <c r="G564" s="359">
        <f t="shared" si="165"/>
        <v>0</v>
      </c>
      <c r="H564" s="264">
        <v>0</v>
      </c>
      <c r="I564" s="359">
        <f t="shared" si="166"/>
        <v>0</v>
      </c>
      <c r="J564" s="264">
        <v>0</v>
      </c>
      <c r="K564" s="360">
        <f t="shared" si="167"/>
        <v>0</v>
      </c>
    </row>
    <row r="565" spans="2:11" ht="14.4" hidden="1" outlineLevel="1">
      <c r="B565" s="32"/>
      <c r="C565" s="66" t="s">
        <v>234</v>
      </c>
      <c r="D565" s="264">
        <v>0</v>
      </c>
      <c r="E565" s="359">
        <f t="shared" si="164"/>
        <v>0</v>
      </c>
      <c r="F565" s="264">
        <v>0</v>
      </c>
      <c r="G565" s="359">
        <f t="shared" si="165"/>
        <v>0</v>
      </c>
      <c r="H565" s="264">
        <v>0</v>
      </c>
      <c r="I565" s="359">
        <f t="shared" si="166"/>
        <v>0</v>
      </c>
      <c r="J565" s="264">
        <v>0</v>
      </c>
      <c r="K565" s="360">
        <f t="shared" si="167"/>
        <v>0</v>
      </c>
    </row>
    <row r="566" spans="2:11" ht="14.4" hidden="1" outlineLevel="1">
      <c r="B566" s="32"/>
      <c r="C566" s="66" t="s">
        <v>235</v>
      </c>
      <c r="D566" s="264">
        <v>0</v>
      </c>
      <c r="E566" s="359">
        <f t="shared" si="164"/>
        <v>0</v>
      </c>
      <c r="F566" s="264">
        <v>0</v>
      </c>
      <c r="G566" s="359">
        <f t="shared" si="165"/>
        <v>0</v>
      </c>
      <c r="H566" s="264">
        <v>0</v>
      </c>
      <c r="I566" s="359">
        <f t="shared" si="166"/>
        <v>0</v>
      </c>
      <c r="J566" s="264">
        <v>0</v>
      </c>
      <c r="K566" s="360">
        <f t="shared" si="167"/>
        <v>0</v>
      </c>
    </row>
    <row r="567" spans="2:11" ht="14.4" hidden="1" outlineLevel="1">
      <c r="B567" s="32"/>
      <c r="C567" s="66" t="s">
        <v>236</v>
      </c>
      <c r="D567" s="264">
        <v>0</v>
      </c>
      <c r="E567" s="359">
        <f t="shared" si="164"/>
        <v>0</v>
      </c>
      <c r="F567" s="264">
        <v>0</v>
      </c>
      <c r="G567" s="359">
        <f t="shared" si="165"/>
        <v>0</v>
      </c>
      <c r="H567" s="264">
        <v>0</v>
      </c>
      <c r="I567" s="359">
        <f t="shared" si="166"/>
        <v>0</v>
      </c>
      <c r="J567" s="264">
        <v>0</v>
      </c>
      <c r="K567" s="360">
        <f t="shared" si="167"/>
        <v>0</v>
      </c>
    </row>
    <row r="568" spans="2:11" ht="14.4" hidden="1" outlineLevel="1">
      <c r="B568" s="32"/>
      <c r="C568" s="66" t="s">
        <v>237</v>
      </c>
      <c r="D568" s="264">
        <v>0</v>
      </c>
      <c r="E568" s="359">
        <f t="shared" si="164"/>
        <v>0</v>
      </c>
      <c r="F568" s="264">
        <v>0</v>
      </c>
      <c r="G568" s="359">
        <f t="shared" si="165"/>
        <v>0</v>
      </c>
      <c r="H568" s="264">
        <v>0</v>
      </c>
      <c r="I568" s="359">
        <f t="shared" si="166"/>
        <v>0</v>
      </c>
      <c r="J568" s="264">
        <v>0</v>
      </c>
      <c r="K568" s="360">
        <f t="shared" si="167"/>
        <v>0</v>
      </c>
    </row>
    <row r="569" spans="2:11" ht="14.4" hidden="1" outlineLevel="1">
      <c r="B569" s="32"/>
      <c r="C569" s="66" t="s">
        <v>238</v>
      </c>
      <c r="D569" s="264">
        <v>0</v>
      </c>
      <c r="E569" s="359">
        <f t="shared" si="164"/>
        <v>0</v>
      </c>
      <c r="F569" s="264">
        <v>0</v>
      </c>
      <c r="G569" s="359">
        <f t="shared" si="165"/>
        <v>0</v>
      </c>
      <c r="H569" s="264">
        <v>0</v>
      </c>
      <c r="I569" s="359">
        <f t="shared" si="166"/>
        <v>0</v>
      </c>
      <c r="J569" s="264">
        <v>0</v>
      </c>
      <c r="K569" s="360">
        <f t="shared" si="167"/>
        <v>0</v>
      </c>
    </row>
    <row r="570" spans="2:11" ht="14.4" hidden="1" outlineLevel="2">
      <c r="B570" s="32"/>
      <c r="C570" s="66" t="s">
        <v>239</v>
      </c>
      <c r="D570" s="264">
        <v>0</v>
      </c>
      <c r="E570" s="359">
        <f t="shared" si="164"/>
        <v>0</v>
      </c>
      <c r="F570" s="264">
        <v>0</v>
      </c>
      <c r="G570" s="359">
        <f t="shared" si="165"/>
        <v>0</v>
      </c>
      <c r="H570" s="264">
        <v>0</v>
      </c>
      <c r="I570" s="359">
        <f t="shared" si="166"/>
        <v>0</v>
      </c>
      <c r="J570" s="264">
        <v>0</v>
      </c>
      <c r="K570" s="360">
        <f t="shared" si="167"/>
        <v>0</v>
      </c>
    </row>
    <row r="571" spans="2:11" ht="14.4" hidden="1" outlineLevel="2">
      <c r="B571" s="32"/>
      <c r="C571" s="66" t="s">
        <v>240</v>
      </c>
      <c r="D571" s="264">
        <v>0</v>
      </c>
      <c r="E571" s="359">
        <f t="shared" si="164"/>
        <v>0</v>
      </c>
      <c r="F571" s="264">
        <v>0</v>
      </c>
      <c r="G571" s="359">
        <f t="shared" si="165"/>
        <v>0</v>
      </c>
      <c r="H571" s="264">
        <v>0</v>
      </c>
      <c r="I571" s="359">
        <f t="shared" si="166"/>
        <v>0</v>
      </c>
      <c r="J571" s="264">
        <v>0</v>
      </c>
      <c r="K571" s="360">
        <f t="shared" si="167"/>
        <v>0</v>
      </c>
    </row>
    <row r="572" spans="2:11" ht="14.4" hidden="1" outlineLevel="2">
      <c r="B572" s="32"/>
      <c r="C572" s="66" t="s">
        <v>241</v>
      </c>
      <c r="D572" s="264">
        <v>0</v>
      </c>
      <c r="E572" s="359">
        <f t="shared" si="164"/>
        <v>0</v>
      </c>
      <c r="F572" s="264">
        <v>0</v>
      </c>
      <c r="G572" s="359">
        <f t="shared" si="165"/>
        <v>0</v>
      </c>
      <c r="H572" s="264">
        <v>0</v>
      </c>
      <c r="I572" s="359">
        <f t="shared" si="166"/>
        <v>0</v>
      </c>
      <c r="J572" s="264">
        <v>0</v>
      </c>
      <c r="K572" s="360">
        <f t="shared" si="167"/>
        <v>0</v>
      </c>
    </row>
    <row r="573" spans="2:11" ht="14.4" hidden="1" outlineLevel="2">
      <c r="B573" s="32"/>
      <c r="C573" s="66" t="s">
        <v>242</v>
      </c>
      <c r="D573" s="264">
        <v>0</v>
      </c>
      <c r="E573" s="359">
        <f t="shared" si="164"/>
        <v>0</v>
      </c>
      <c r="F573" s="264">
        <v>0</v>
      </c>
      <c r="G573" s="359">
        <f t="shared" si="165"/>
        <v>0</v>
      </c>
      <c r="H573" s="264">
        <v>0</v>
      </c>
      <c r="I573" s="359">
        <f t="shared" si="166"/>
        <v>0</v>
      </c>
      <c r="J573" s="264">
        <v>0</v>
      </c>
      <c r="K573" s="360">
        <f t="shared" si="167"/>
        <v>0</v>
      </c>
    </row>
    <row r="574" spans="2:11" ht="14.4" hidden="1" outlineLevel="2">
      <c r="B574" s="32"/>
      <c r="C574" s="66" t="s">
        <v>243</v>
      </c>
      <c r="D574" s="264">
        <v>0</v>
      </c>
      <c r="E574" s="359">
        <f t="shared" si="164"/>
        <v>0</v>
      </c>
      <c r="F574" s="264">
        <v>0</v>
      </c>
      <c r="G574" s="359">
        <f t="shared" si="165"/>
        <v>0</v>
      </c>
      <c r="H574" s="264">
        <v>0</v>
      </c>
      <c r="I574" s="359">
        <f t="shared" si="166"/>
        <v>0</v>
      </c>
      <c r="J574" s="264">
        <v>0</v>
      </c>
      <c r="K574" s="360">
        <f t="shared" si="167"/>
        <v>0</v>
      </c>
    </row>
    <row r="575" spans="2:11" ht="14.4" hidden="1" outlineLevel="2">
      <c r="B575" s="32"/>
      <c r="C575" s="66" t="s">
        <v>244</v>
      </c>
      <c r="D575" s="264">
        <v>0</v>
      </c>
      <c r="E575" s="359">
        <f t="shared" si="164"/>
        <v>0</v>
      </c>
      <c r="F575" s="264">
        <v>0</v>
      </c>
      <c r="G575" s="359">
        <f t="shared" si="165"/>
        <v>0</v>
      </c>
      <c r="H575" s="264">
        <v>0</v>
      </c>
      <c r="I575" s="359">
        <f t="shared" si="166"/>
        <v>0</v>
      </c>
      <c r="J575" s="264">
        <v>0</v>
      </c>
      <c r="K575" s="360">
        <f t="shared" si="167"/>
        <v>0</v>
      </c>
    </row>
    <row r="576" spans="2:11" ht="14.4" hidden="1" outlineLevel="2">
      <c r="B576" s="32"/>
      <c r="C576" s="66" t="s">
        <v>245</v>
      </c>
      <c r="D576" s="264">
        <v>0</v>
      </c>
      <c r="E576" s="359">
        <f t="shared" si="164"/>
        <v>0</v>
      </c>
      <c r="F576" s="264">
        <v>0</v>
      </c>
      <c r="G576" s="359">
        <f t="shared" si="165"/>
        <v>0</v>
      </c>
      <c r="H576" s="264">
        <v>0</v>
      </c>
      <c r="I576" s="359">
        <f t="shared" si="166"/>
        <v>0</v>
      </c>
      <c r="J576" s="264">
        <v>0</v>
      </c>
      <c r="K576" s="360">
        <f t="shared" si="167"/>
        <v>0</v>
      </c>
    </row>
    <row r="577" spans="2:11" ht="14.4" hidden="1" outlineLevel="2">
      <c r="B577" s="32"/>
      <c r="C577" s="66" t="s">
        <v>246</v>
      </c>
      <c r="D577" s="264">
        <v>0</v>
      </c>
      <c r="E577" s="359">
        <f t="shared" si="164"/>
        <v>0</v>
      </c>
      <c r="F577" s="264">
        <v>0</v>
      </c>
      <c r="G577" s="359">
        <f t="shared" si="165"/>
        <v>0</v>
      </c>
      <c r="H577" s="264">
        <v>0</v>
      </c>
      <c r="I577" s="359">
        <f t="shared" si="166"/>
        <v>0</v>
      </c>
      <c r="J577" s="264">
        <v>0</v>
      </c>
      <c r="K577" s="360">
        <f t="shared" si="167"/>
        <v>0</v>
      </c>
    </row>
    <row r="578" spans="2:11" ht="14.4" hidden="1" outlineLevel="2">
      <c r="B578" s="32"/>
      <c r="C578" s="66" t="s">
        <v>247</v>
      </c>
      <c r="D578" s="264">
        <v>0</v>
      </c>
      <c r="E578" s="359">
        <f t="shared" si="164"/>
        <v>0</v>
      </c>
      <c r="F578" s="264">
        <v>0</v>
      </c>
      <c r="G578" s="359">
        <f t="shared" si="165"/>
        <v>0</v>
      </c>
      <c r="H578" s="264">
        <v>0</v>
      </c>
      <c r="I578" s="359">
        <f t="shared" si="166"/>
        <v>0</v>
      </c>
      <c r="J578" s="264">
        <v>0</v>
      </c>
      <c r="K578" s="360">
        <f t="shared" si="167"/>
        <v>0</v>
      </c>
    </row>
    <row r="579" spans="2:11" ht="14.4" hidden="1" outlineLevel="2">
      <c r="B579" s="32"/>
      <c r="C579" s="66" t="s">
        <v>248</v>
      </c>
      <c r="D579" s="264">
        <v>0</v>
      </c>
      <c r="E579" s="359">
        <f t="shared" si="164"/>
        <v>0</v>
      </c>
      <c r="F579" s="264">
        <v>0</v>
      </c>
      <c r="G579" s="359">
        <f t="shared" si="165"/>
        <v>0</v>
      </c>
      <c r="H579" s="264">
        <v>0</v>
      </c>
      <c r="I579" s="359">
        <f t="shared" si="166"/>
        <v>0</v>
      </c>
      <c r="J579" s="264">
        <v>0</v>
      </c>
      <c r="K579" s="360">
        <f t="shared" si="167"/>
        <v>0</v>
      </c>
    </row>
    <row r="580" spans="2:11" ht="14.4" hidden="1" outlineLevel="2">
      <c r="B580" s="32"/>
      <c r="C580" s="66" t="s">
        <v>249</v>
      </c>
      <c r="D580" s="264">
        <v>0</v>
      </c>
      <c r="E580" s="359">
        <f t="shared" si="164"/>
        <v>0</v>
      </c>
      <c r="F580" s="264">
        <v>0</v>
      </c>
      <c r="G580" s="359">
        <f t="shared" si="165"/>
        <v>0</v>
      </c>
      <c r="H580" s="264">
        <v>0</v>
      </c>
      <c r="I580" s="359">
        <f t="shared" si="166"/>
        <v>0</v>
      </c>
      <c r="J580" s="264">
        <v>0</v>
      </c>
      <c r="K580" s="360">
        <f t="shared" si="167"/>
        <v>0</v>
      </c>
    </row>
    <row r="581" spans="2:11" ht="14.4" hidden="1" outlineLevel="2">
      <c r="B581" s="32"/>
      <c r="C581" s="66" t="s">
        <v>249</v>
      </c>
      <c r="D581" s="264">
        <v>0</v>
      </c>
      <c r="E581" s="359">
        <f t="shared" si="164"/>
        <v>0</v>
      </c>
      <c r="F581" s="264">
        <v>0</v>
      </c>
      <c r="G581" s="359">
        <f t="shared" si="165"/>
        <v>0</v>
      </c>
      <c r="H581" s="264">
        <v>0</v>
      </c>
      <c r="I581" s="359">
        <f t="shared" si="166"/>
        <v>0</v>
      </c>
      <c r="J581" s="264">
        <v>0</v>
      </c>
      <c r="K581" s="360">
        <f t="shared" si="167"/>
        <v>0</v>
      </c>
    </row>
    <row r="582" spans="2:11" ht="14.4" hidden="1" outlineLevel="2">
      <c r="B582" s="32"/>
      <c r="C582" s="66" t="s">
        <v>249</v>
      </c>
      <c r="D582" s="264">
        <v>0</v>
      </c>
      <c r="E582" s="359">
        <f t="shared" si="164"/>
        <v>0</v>
      </c>
      <c r="F582" s="264">
        <v>0</v>
      </c>
      <c r="G582" s="359">
        <f t="shared" si="165"/>
        <v>0</v>
      </c>
      <c r="H582" s="264">
        <v>0</v>
      </c>
      <c r="I582" s="359">
        <f t="shared" si="166"/>
        <v>0</v>
      </c>
      <c r="J582" s="264">
        <v>0</v>
      </c>
      <c r="K582" s="360">
        <f t="shared" si="167"/>
        <v>0</v>
      </c>
    </row>
    <row r="583" spans="2:11" ht="14.4" hidden="1" outlineLevel="1" collapsed="1">
      <c r="B583" s="49" t="s">
        <v>224</v>
      </c>
      <c r="C583" s="66" t="s">
        <v>249</v>
      </c>
      <c r="D583" s="264">
        <v>0</v>
      </c>
      <c r="E583" s="359">
        <f t="shared" si="164"/>
        <v>0</v>
      </c>
      <c r="F583" s="264">
        <v>0</v>
      </c>
      <c r="G583" s="359">
        <f t="shared" si="165"/>
        <v>0</v>
      </c>
      <c r="H583" s="264">
        <v>0</v>
      </c>
      <c r="I583" s="359">
        <f t="shared" si="166"/>
        <v>0</v>
      </c>
      <c r="J583" s="264">
        <v>0</v>
      </c>
      <c r="K583" s="360">
        <f t="shared" si="167"/>
        <v>0</v>
      </c>
    </row>
    <row r="584" spans="2:11" ht="14.4" hidden="1" outlineLevel="1">
      <c r="B584" s="32"/>
      <c r="C584" s="66" t="s">
        <v>249</v>
      </c>
      <c r="D584" s="251">
        <f>0-SUM(D561:D583)</f>
        <v>0</v>
      </c>
      <c r="E584" s="359">
        <f t="shared" si="164"/>
        <v>0</v>
      </c>
      <c r="F584" s="251">
        <f>0-SUM(F561:F583)</f>
        <v>0</v>
      </c>
      <c r="G584" s="359">
        <f t="shared" si="165"/>
        <v>0</v>
      </c>
      <c r="H584" s="251">
        <f>0-SUM(H561:H583)</f>
        <v>0</v>
      </c>
      <c r="I584" s="359">
        <f t="shared" si="166"/>
        <v>0</v>
      </c>
      <c r="J584" s="251">
        <f>0-SUM(J561:J583)</f>
        <v>0</v>
      </c>
      <c r="K584" s="360">
        <f t="shared" si="167"/>
        <v>0</v>
      </c>
    </row>
    <row r="585" spans="2:11" ht="14.4" hidden="1" outlineLevel="1">
      <c r="B585" s="32"/>
      <c r="C585" s="26" t="s">
        <v>250</v>
      </c>
      <c r="D585" s="277">
        <f>SUM(D561:D584)</f>
        <v>0</v>
      </c>
      <c r="E585" s="359">
        <f t="shared" si="164"/>
        <v>0</v>
      </c>
      <c r="F585" s="277">
        <f>SUM(F561:F584)</f>
        <v>0</v>
      </c>
      <c r="G585" s="359">
        <f t="shared" si="165"/>
        <v>0</v>
      </c>
      <c r="H585" s="277">
        <f>SUM(H561:H584)</f>
        <v>0</v>
      </c>
      <c r="I585" s="359">
        <f t="shared" si="166"/>
        <v>0</v>
      </c>
      <c r="J585" s="277">
        <f>SUM(J561:J584)</f>
        <v>0</v>
      </c>
      <c r="K585" s="360">
        <f t="shared" si="167"/>
        <v>0</v>
      </c>
    </row>
    <row r="586" spans="2:11" ht="14.4" hidden="1" outlineLevel="1">
      <c r="B586" s="32"/>
      <c r="C586" s="26"/>
      <c r="D586" s="278"/>
      <c r="E586" s="361"/>
      <c r="F586" s="278"/>
      <c r="G586" s="361"/>
      <c r="H586" s="278"/>
      <c r="I586" s="361"/>
      <c r="J586" s="278"/>
      <c r="K586" s="362"/>
    </row>
    <row r="587" spans="2:11" ht="14.4" hidden="1" outlineLevel="1">
      <c r="B587" s="32"/>
      <c r="C587" s="26" t="s">
        <v>251</v>
      </c>
      <c r="D587" s="277">
        <f>D558-D585</f>
        <v>0</v>
      </c>
      <c r="E587" s="359">
        <f>IF(D$556=0,0,D587/D$556)</f>
        <v>0</v>
      </c>
      <c r="F587" s="277">
        <f>F558-F585</f>
        <v>0</v>
      </c>
      <c r="G587" s="359">
        <f>IF(F$556=0,0,F587/F$556)</f>
        <v>0</v>
      </c>
      <c r="H587" s="277">
        <f>H558-H585</f>
        <v>0</v>
      </c>
      <c r="I587" s="359">
        <f>IF(H$556=0,0,H587/H$556)</f>
        <v>0</v>
      </c>
      <c r="J587" s="277">
        <f>J558-J585</f>
        <v>0</v>
      </c>
      <c r="K587" s="360">
        <f>IF(J$556=0,0,J587/J$556)</f>
        <v>0</v>
      </c>
    </row>
    <row r="588" spans="2:11" ht="14.4" hidden="1" outlineLevel="1">
      <c r="B588" s="32"/>
      <c r="C588" s="26"/>
      <c r="D588" s="280"/>
      <c r="E588" s="361"/>
      <c r="F588" s="280"/>
      <c r="G588" s="361"/>
      <c r="H588" s="280"/>
      <c r="I588" s="361"/>
      <c r="J588" s="280"/>
      <c r="K588" s="362"/>
    </row>
    <row r="589" spans="2:11" ht="14.4" hidden="1" outlineLevel="1">
      <c r="B589" s="32"/>
      <c r="C589" s="66" t="s">
        <v>252</v>
      </c>
      <c r="D589" s="245">
        <v>0</v>
      </c>
      <c r="E589" s="359">
        <f t="shared" ref="E589:E593" si="168">IF(D$556=0,0,D589/D$556)</f>
        <v>0</v>
      </c>
      <c r="F589" s="245">
        <v>0</v>
      </c>
      <c r="G589" s="359">
        <f t="shared" ref="G589:G593" si="169">IF(F$556=0,0,F589/F$556)</f>
        <v>0</v>
      </c>
      <c r="H589" s="245">
        <v>0</v>
      </c>
      <c r="I589" s="359">
        <f t="shared" ref="I589:I593" si="170">IF(H$556=0,0,H589/H$556)</f>
        <v>0</v>
      </c>
      <c r="J589" s="245">
        <v>0</v>
      </c>
      <c r="K589" s="360">
        <f t="shared" ref="K589:K593" si="171">IF(J$556=0,0,J589/J$556)</f>
        <v>0</v>
      </c>
    </row>
    <row r="590" spans="2:11" ht="14.4" hidden="1" outlineLevel="1">
      <c r="B590" s="32"/>
      <c r="C590" s="66" t="s">
        <v>252</v>
      </c>
      <c r="D590" s="264">
        <v>0</v>
      </c>
      <c r="E590" s="359">
        <f t="shared" si="168"/>
        <v>0</v>
      </c>
      <c r="F590" s="264">
        <v>0</v>
      </c>
      <c r="G590" s="359">
        <f t="shared" si="169"/>
        <v>0</v>
      </c>
      <c r="H590" s="264">
        <v>0</v>
      </c>
      <c r="I590" s="359">
        <f t="shared" si="170"/>
        <v>0</v>
      </c>
      <c r="J590" s="264">
        <v>0</v>
      </c>
      <c r="K590" s="360">
        <f t="shared" si="171"/>
        <v>0</v>
      </c>
    </row>
    <row r="591" spans="2:11" ht="14.4" hidden="1" outlineLevel="1">
      <c r="B591" s="32"/>
      <c r="C591" s="66" t="s">
        <v>254</v>
      </c>
      <c r="D591" s="264">
        <v>0</v>
      </c>
      <c r="E591" s="359">
        <f t="shared" si="168"/>
        <v>0</v>
      </c>
      <c r="F591" s="264">
        <v>0</v>
      </c>
      <c r="G591" s="359">
        <f t="shared" si="169"/>
        <v>0</v>
      </c>
      <c r="H591" s="264">
        <v>0</v>
      </c>
      <c r="I591" s="359">
        <f t="shared" si="170"/>
        <v>0</v>
      </c>
      <c r="J591" s="264">
        <v>0</v>
      </c>
      <c r="K591" s="360">
        <f t="shared" si="171"/>
        <v>0</v>
      </c>
    </row>
    <row r="592" spans="2:11" ht="14.4" hidden="1" outlineLevel="1">
      <c r="B592" s="32"/>
      <c r="C592" s="66" t="s">
        <v>254</v>
      </c>
      <c r="D592" s="251">
        <v>0</v>
      </c>
      <c r="E592" s="359">
        <f t="shared" si="168"/>
        <v>0</v>
      </c>
      <c r="F592" s="251">
        <v>0</v>
      </c>
      <c r="G592" s="359">
        <f t="shared" si="169"/>
        <v>0</v>
      </c>
      <c r="H592" s="251">
        <v>0</v>
      </c>
      <c r="I592" s="359">
        <f t="shared" si="170"/>
        <v>0</v>
      </c>
      <c r="J592" s="251">
        <v>0</v>
      </c>
      <c r="K592" s="360">
        <f t="shared" si="171"/>
        <v>0</v>
      </c>
    </row>
    <row r="593" spans="2:11" ht="14.4" hidden="1" outlineLevel="1">
      <c r="B593" s="32"/>
      <c r="C593" s="26" t="s">
        <v>255</v>
      </c>
      <c r="D593" s="277">
        <f>SUM(D589:D592)</f>
        <v>0</v>
      </c>
      <c r="E593" s="359">
        <f t="shared" si="168"/>
        <v>0</v>
      </c>
      <c r="F593" s="277">
        <f>SUM(F589:F592)</f>
        <v>0</v>
      </c>
      <c r="G593" s="359">
        <f t="shared" si="169"/>
        <v>0</v>
      </c>
      <c r="H593" s="277">
        <f>SUM(H589:H592)</f>
        <v>0</v>
      </c>
      <c r="I593" s="359">
        <f t="shared" si="170"/>
        <v>0</v>
      </c>
      <c r="J593" s="277">
        <f>SUM(J589:J592)</f>
        <v>0</v>
      </c>
      <c r="K593" s="360">
        <f t="shared" si="171"/>
        <v>0</v>
      </c>
    </row>
    <row r="594" spans="2:11" ht="14.4" hidden="1" outlineLevel="1">
      <c r="B594" s="32"/>
      <c r="C594" s="26"/>
      <c r="D594" s="278"/>
      <c r="E594" s="361"/>
      <c r="F594" s="278"/>
      <c r="G594" s="361"/>
      <c r="H594" s="278"/>
      <c r="I594" s="361"/>
      <c r="J594" s="278"/>
      <c r="K594" s="363"/>
    </row>
    <row r="595" spans="2:11" ht="14.4" hidden="1" outlineLevel="1">
      <c r="B595" s="32"/>
      <c r="C595" s="26" t="s">
        <v>256</v>
      </c>
      <c r="D595" s="277">
        <f>D558-D585+D593</f>
        <v>0</v>
      </c>
      <c r="E595" s="359">
        <f t="shared" ref="E595:E596" si="172">IF(D$556=0,0,D595/D$556)</f>
        <v>0</v>
      </c>
      <c r="F595" s="277">
        <f>F558-F585+F593</f>
        <v>0</v>
      </c>
      <c r="G595" s="359">
        <f t="shared" ref="G595:G596" si="173">IF(F$556=0,0,F595/F$556)</f>
        <v>0</v>
      </c>
      <c r="H595" s="277">
        <f>H558-H585+H593</f>
        <v>0</v>
      </c>
      <c r="I595" s="359">
        <f t="shared" ref="I595:I596" si="174">IF(H$556=0,0,H595/H$556)</f>
        <v>0</v>
      </c>
      <c r="J595" s="277">
        <f>J558-J585+J593</f>
        <v>0</v>
      </c>
      <c r="K595" s="360">
        <f t="shared" ref="K595:K596" si="175">IF(J$556=0,0,J595/J$556)</f>
        <v>0</v>
      </c>
    </row>
    <row r="596" spans="2:11" ht="14.4" hidden="1" outlineLevel="1">
      <c r="B596" s="32"/>
      <c r="C596" s="26" t="s">
        <v>257</v>
      </c>
      <c r="D596" s="277">
        <v>0</v>
      </c>
      <c r="E596" s="359">
        <f t="shared" si="172"/>
        <v>0</v>
      </c>
      <c r="F596" s="277">
        <v>0</v>
      </c>
      <c r="G596" s="359">
        <f t="shared" si="173"/>
        <v>0</v>
      </c>
      <c r="H596" s="277">
        <v>0</v>
      </c>
      <c r="I596" s="359">
        <f t="shared" si="174"/>
        <v>0</v>
      </c>
      <c r="J596" s="277">
        <v>0</v>
      </c>
      <c r="K596" s="360">
        <f t="shared" si="175"/>
        <v>0</v>
      </c>
    </row>
    <row r="597" spans="2:11" ht="14.4" hidden="1" outlineLevel="1">
      <c r="B597" s="32"/>
      <c r="C597" s="282"/>
      <c r="D597" s="283"/>
      <c r="E597" s="359"/>
      <c r="F597" s="283"/>
      <c r="G597" s="359"/>
      <c r="H597" s="283"/>
      <c r="I597" s="359"/>
      <c r="J597" s="283"/>
      <c r="K597" s="364"/>
    </row>
    <row r="598" spans="2:11" ht="14.4" hidden="1" outlineLevel="1">
      <c r="B598" s="32"/>
      <c r="C598" s="26" t="s">
        <v>258</v>
      </c>
      <c r="D598" s="277">
        <f>D595-D596</f>
        <v>0</v>
      </c>
      <c r="E598" s="359">
        <f>IF(D$556=0,0,D598/D$556)</f>
        <v>0</v>
      </c>
      <c r="F598" s="277">
        <f>F595-F596</f>
        <v>0</v>
      </c>
      <c r="G598" s="359">
        <f>IF(F$556=0,0,F598/F$556)</f>
        <v>0</v>
      </c>
      <c r="H598" s="277">
        <f>H595-H596</f>
        <v>0</v>
      </c>
      <c r="I598" s="359">
        <f>IF(H$556=0,0,H598/H$556)</f>
        <v>0</v>
      </c>
      <c r="J598" s="277">
        <f>J595-J596</f>
        <v>0</v>
      </c>
      <c r="K598" s="360">
        <f>IF(J$556=0,0,J598/J$556)</f>
        <v>0</v>
      </c>
    </row>
    <row r="599" spans="2:11" ht="15" hidden="1" outlineLevel="1" thickBot="1">
      <c r="B599" s="74"/>
      <c r="C599" s="76"/>
      <c r="D599" s="365"/>
      <c r="E599" s="366"/>
      <c r="F599" s="365"/>
      <c r="G599" s="366"/>
      <c r="H599" s="365"/>
      <c r="I599" s="366"/>
      <c r="J599" s="365"/>
      <c r="K599" s="367"/>
    </row>
    <row r="600" spans="2:11" ht="14.4" hidden="1" outlineLevel="1">
      <c r="B600" s="190"/>
      <c r="C600" s="289" t="s">
        <v>259</v>
      </c>
      <c r="D600" s="13"/>
      <c r="E600" s="13"/>
      <c r="F600" s="13"/>
      <c r="G600" s="13"/>
      <c r="H600" s="13"/>
      <c r="I600" s="13"/>
      <c r="J600" s="13"/>
      <c r="K600" s="192"/>
    </row>
    <row r="601" spans="2:11" ht="14.4" hidden="1" outlineLevel="1">
      <c r="B601" s="32"/>
      <c r="C601" s="291" t="s">
        <v>260</v>
      </c>
      <c r="D601" s="292">
        <f>D561</f>
        <v>0</v>
      </c>
      <c r="E601" s="13"/>
      <c r="F601" s="292">
        <f>F561</f>
        <v>0</v>
      </c>
      <c r="G601" s="13"/>
      <c r="H601" s="292">
        <f>H561</f>
        <v>0</v>
      </c>
      <c r="I601" s="13"/>
      <c r="J601" s="292">
        <f>J561</f>
        <v>0</v>
      </c>
      <c r="K601" s="18"/>
    </row>
    <row r="602" spans="2:11" ht="14.4" hidden="1" outlineLevel="1">
      <c r="B602" s="32"/>
      <c r="C602" s="294" t="s">
        <v>261</v>
      </c>
      <c r="D602" s="292">
        <f>D568</f>
        <v>0</v>
      </c>
      <c r="E602" s="13"/>
      <c r="F602" s="292">
        <f>F568</f>
        <v>0</v>
      </c>
      <c r="G602" s="13"/>
      <c r="H602" s="292">
        <f>H568</f>
        <v>0</v>
      </c>
      <c r="I602" s="13"/>
      <c r="J602" s="292">
        <f>J568</f>
        <v>0</v>
      </c>
      <c r="K602" s="18"/>
    </row>
    <row r="603" spans="2:11" ht="14.4" hidden="1" outlineLevel="1">
      <c r="B603" s="32"/>
      <c r="C603" s="294" t="s">
        <v>262</v>
      </c>
      <c r="D603" s="292">
        <f>D567</f>
        <v>0</v>
      </c>
      <c r="E603" s="13"/>
      <c r="F603" s="292">
        <f>F567</f>
        <v>0</v>
      </c>
      <c r="G603" s="13"/>
      <c r="H603" s="292">
        <f>H567</f>
        <v>0</v>
      </c>
      <c r="I603" s="13"/>
      <c r="J603" s="292">
        <f>J567</f>
        <v>0</v>
      </c>
      <c r="K603" s="18"/>
    </row>
    <row r="604" spans="2:11" ht="14.4" hidden="1" outlineLevel="1">
      <c r="B604" s="32"/>
      <c r="C604" s="294" t="s">
        <v>263</v>
      </c>
      <c r="D604" s="292">
        <v>0</v>
      </c>
      <c r="E604" s="13"/>
      <c r="F604" s="292">
        <v>0</v>
      </c>
      <c r="G604" s="13"/>
      <c r="H604" s="292">
        <v>0</v>
      </c>
      <c r="I604" s="13"/>
      <c r="J604" s="292">
        <v>0</v>
      </c>
      <c r="K604" s="18"/>
    </row>
    <row r="605" spans="2:11" ht="14.4" hidden="1" outlineLevel="1">
      <c r="B605" s="32"/>
      <c r="C605" s="296" t="s">
        <v>264</v>
      </c>
      <c r="D605" s="292">
        <v>0</v>
      </c>
      <c r="E605" s="13"/>
      <c r="F605" s="292">
        <v>0</v>
      </c>
      <c r="G605" s="13"/>
      <c r="H605" s="292">
        <v>0</v>
      </c>
      <c r="I605" s="13"/>
      <c r="J605" s="292">
        <v>0</v>
      </c>
      <c r="K605" s="18"/>
    </row>
    <row r="606" spans="2:11" ht="14.4" hidden="1" outlineLevel="1">
      <c r="B606" s="32"/>
      <c r="C606" s="296" t="s">
        <v>264</v>
      </c>
      <c r="D606" s="292">
        <v>0</v>
      </c>
      <c r="E606" s="13"/>
      <c r="F606" s="292">
        <v>0</v>
      </c>
      <c r="G606" s="13"/>
      <c r="H606" s="292">
        <v>0</v>
      </c>
      <c r="I606" s="13"/>
      <c r="J606" s="292">
        <v>0</v>
      </c>
      <c r="K606" s="18"/>
    </row>
    <row r="607" spans="2:11" ht="14.4" hidden="1" outlineLevel="1">
      <c r="B607" s="32"/>
      <c r="C607" s="294" t="s">
        <v>265</v>
      </c>
      <c r="D607" s="292">
        <v>0</v>
      </c>
      <c r="E607" s="13"/>
      <c r="F607" s="292">
        <v>0</v>
      </c>
      <c r="G607" s="13"/>
      <c r="H607" s="292">
        <v>0</v>
      </c>
      <c r="I607" s="13"/>
      <c r="J607" s="292">
        <v>0</v>
      </c>
      <c r="K607" s="18"/>
    </row>
    <row r="608" spans="2:11" ht="14.4" hidden="1" outlineLevel="1">
      <c r="B608" s="32"/>
      <c r="C608" s="294" t="s">
        <v>266</v>
      </c>
      <c r="D608" s="298">
        <v>0</v>
      </c>
      <c r="E608" s="13"/>
      <c r="F608" s="298">
        <v>0</v>
      </c>
      <c r="G608" s="13"/>
      <c r="H608" s="298">
        <v>0</v>
      </c>
      <c r="I608" s="13"/>
      <c r="J608" s="298">
        <v>0</v>
      </c>
      <c r="K608" s="18"/>
    </row>
    <row r="609" spans="2:11" ht="14.4" hidden="1" outlineLevel="1">
      <c r="B609" s="32"/>
      <c r="C609" s="294"/>
      <c r="D609" s="13"/>
      <c r="E609" s="13"/>
      <c r="F609" s="13"/>
      <c r="G609" s="13"/>
      <c r="H609" s="13"/>
      <c r="I609" s="13"/>
      <c r="J609" s="13"/>
      <c r="K609" s="18"/>
    </row>
    <row r="610" spans="2:11" ht="14.4" hidden="1" outlineLevel="1">
      <c r="B610" s="32"/>
      <c r="C610" s="294" t="s">
        <v>267</v>
      </c>
      <c r="D610" s="299">
        <f>D598+SUM(D601:D608)</f>
        <v>0</v>
      </c>
      <c r="E610" s="294"/>
      <c r="F610" s="299">
        <f>F598+SUM(F601:F608)</f>
        <v>0</v>
      </c>
      <c r="G610" s="294"/>
      <c r="H610" s="299">
        <f>H598+SUM(H601:H608)</f>
        <v>0</v>
      </c>
      <c r="I610" s="294"/>
      <c r="J610" s="299">
        <f>J598+SUM(J601:J608)</f>
        <v>0</v>
      </c>
      <c r="K610" s="18"/>
    </row>
    <row r="611" spans="2:11" ht="14.4" hidden="1" outlineLevel="1">
      <c r="B611" s="32"/>
      <c r="C611" s="294"/>
      <c r="D611" s="13"/>
      <c r="E611" s="13"/>
      <c r="F611" s="13"/>
      <c r="G611" s="13"/>
      <c r="H611" s="13"/>
      <c r="I611" s="13"/>
      <c r="J611" s="13"/>
      <c r="K611" s="18"/>
    </row>
    <row r="612" spans="2:11" ht="14.4" hidden="1" outlineLevel="1">
      <c r="B612" s="32"/>
      <c r="C612" s="66" t="s">
        <v>316</v>
      </c>
      <c r="D612" s="292">
        <v>0</v>
      </c>
      <c r="E612" s="13"/>
      <c r="F612" s="292">
        <v>0</v>
      </c>
      <c r="G612" s="13"/>
      <c r="H612" s="292">
        <v>0</v>
      </c>
      <c r="I612" s="13"/>
      <c r="J612" s="292">
        <v>0</v>
      </c>
      <c r="K612" s="18"/>
    </row>
    <row r="613" spans="2:11" ht="14.4" hidden="1" outlineLevel="1">
      <c r="B613" s="32"/>
      <c r="C613" s="66" t="s">
        <v>268</v>
      </c>
      <c r="D613" s="252">
        <f>D612*D543</f>
        <v>0</v>
      </c>
      <c r="E613" s="13"/>
      <c r="F613" s="252">
        <f>F612*F543</f>
        <v>0</v>
      </c>
      <c r="G613" s="13"/>
      <c r="H613" s="252">
        <f>H612*H543</f>
        <v>0</v>
      </c>
      <c r="I613" s="13"/>
      <c r="J613" s="252">
        <f>J612*J543</f>
        <v>0</v>
      </c>
      <c r="K613" s="18"/>
    </row>
    <row r="614" spans="2:11" ht="14.4" hidden="1" outlineLevel="1">
      <c r="B614" s="32"/>
      <c r="C614" s="13"/>
      <c r="D614" s="13"/>
      <c r="E614" s="13"/>
      <c r="F614" s="13"/>
      <c r="G614" s="13"/>
      <c r="H614" s="13"/>
      <c r="I614" s="13"/>
      <c r="J614" s="13"/>
      <c r="K614" s="18"/>
    </row>
    <row r="615" spans="2:11" ht="14.4" hidden="1" outlineLevel="1">
      <c r="B615" s="32"/>
      <c r="C615" s="26" t="s">
        <v>275</v>
      </c>
      <c r="D615" s="301">
        <f>IFERROR(D610/D613,0)</f>
        <v>0</v>
      </c>
      <c r="E615" s="13"/>
      <c r="F615" s="301">
        <f>IFERROR(F610/F613,0)</f>
        <v>0</v>
      </c>
      <c r="G615" s="13"/>
      <c r="H615" s="301">
        <f>IFERROR(H610/H613,0)</f>
        <v>0</v>
      </c>
      <c r="I615" s="13"/>
      <c r="J615" s="301">
        <f>IFERROR(J610/J613,0)</f>
        <v>0</v>
      </c>
      <c r="K615" s="18"/>
    </row>
    <row r="616" spans="2:11" ht="15" collapsed="1" thickBot="1">
      <c r="B616" s="823" t="s">
        <v>325</v>
      </c>
      <c r="C616" s="824"/>
      <c r="D616" s="824"/>
      <c r="E616" s="75"/>
      <c r="F616" s="75"/>
      <c r="G616" s="75"/>
      <c r="H616" s="75"/>
      <c r="I616" s="75"/>
      <c r="J616" s="75"/>
      <c r="K616" s="35"/>
    </row>
    <row r="617" spans="2:11" ht="16.95" customHeight="1" thickBot="1"/>
    <row r="618" spans="2:11" ht="16.2" thickBot="1">
      <c r="B618" s="860" t="s">
        <v>326</v>
      </c>
      <c r="C618" s="861"/>
      <c r="D618" s="861"/>
      <c r="E618" s="861"/>
      <c r="F618" s="861"/>
      <c r="G618" s="861"/>
      <c r="H618" s="861"/>
      <c r="I618" s="861"/>
      <c r="J618" s="861"/>
      <c r="K618" s="862"/>
    </row>
    <row r="619" spans="2:11" ht="14.4">
      <c r="B619" s="49"/>
      <c r="C619" s="13"/>
      <c r="D619" s="13"/>
      <c r="E619" s="13"/>
      <c r="F619" s="13"/>
      <c r="G619" s="13"/>
      <c r="H619" s="13"/>
      <c r="I619" s="13"/>
      <c r="J619" s="13"/>
      <c r="K619" s="18"/>
    </row>
    <row r="620" spans="2:11" ht="14.4">
      <c r="B620" s="49" t="s">
        <v>327</v>
      </c>
      <c r="C620" s="23"/>
      <c r="D620" s="13"/>
      <c r="E620" s="23"/>
      <c r="F620" s="13"/>
      <c r="G620" s="23"/>
      <c r="H620" s="13"/>
      <c r="I620" s="23"/>
      <c r="J620" s="13"/>
      <c r="K620" s="18"/>
    </row>
    <row r="621" spans="2:11" ht="14.4">
      <c r="B621" s="49"/>
      <c r="C621" s="13"/>
      <c r="D621" s="13"/>
      <c r="E621" s="13"/>
      <c r="F621" s="13"/>
      <c r="G621" s="13"/>
      <c r="H621" s="13"/>
      <c r="I621" s="13"/>
      <c r="J621" s="13"/>
      <c r="K621" s="18"/>
    </row>
    <row r="622" spans="2:11" ht="15" thickBot="1">
      <c r="B622" s="49" t="s">
        <v>328</v>
      </c>
      <c r="C622" s="335">
        <v>0</v>
      </c>
      <c r="D622" s="13"/>
      <c r="E622" s="335">
        <v>0</v>
      </c>
      <c r="F622" s="13"/>
      <c r="G622" s="335">
        <v>0</v>
      </c>
      <c r="H622" s="13"/>
      <c r="I622" s="335">
        <v>0</v>
      </c>
      <c r="J622" s="13"/>
      <c r="K622" s="18"/>
    </row>
    <row r="623" spans="2:11" ht="15" thickBot="1">
      <c r="B623" s="227" t="s">
        <v>193</v>
      </c>
      <c r="C623" s="228"/>
      <c r="D623" s="13"/>
      <c r="E623" s="228"/>
      <c r="F623" s="13"/>
      <c r="G623" s="228"/>
      <c r="H623" s="13"/>
      <c r="I623" s="228"/>
      <c r="J623" s="13"/>
      <c r="K623" s="18"/>
    </row>
    <row r="624" spans="2:11" ht="14.4">
      <c r="B624" s="227" t="s">
        <v>329</v>
      </c>
      <c r="C624" s="13"/>
      <c r="D624" s="13"/>
      <c r="E624" s="13"/>
      <c r="F624" s="13"/>
      <c r="G624" s="13"/>
      <c r="H624" s="13"/>
      <c r="I624" s="13"/>
      <c r="J624" s="13"/>
      <c r="K624" s="18"/>
    </row>
    <row r="625" spans="2:11" ht="14.4">
      <c r="B625" s="370" t="s">
        <v>330</v>
      </c>
      <c r="C625" s="245">
        <v>0</v>
      </c>
      <c r="D625" s="13"/>
      <c r="E625" s="245">
        <v>0</v>
      </c>
      <c r="F625" s="13"/>
      <c r="G625" s="245">
        <v>0</v>
      </c>
      <c r="H625" s="13"/>
      <c r="I625" s="245">
        <v>0</v>
      </c>
      <c r="J625" s="13"/>
      <c r="K625" s="18"/>
    </row>
    <row r="626" spans="2:11" ht="14.4">
      <c r="B626" s="370" t="s">
        <v>331</v>
      </c>
      <c r="C626" s="264">
        <v>0</v>
      </c>
      <c r="D626" s="13"/>
      <c r="E626" s="264">
        <v>0</v>
      </c>
      <c r="F626" s="13"/>
      <c r="G626" s="264">
        <v>0</v>
      </c>
      <c r="H626" s="13"/>
      <c r="I626" s="264">
        <v>0</v>
      </c>
      <c r="J626" s="13"/>
      <c r="K626" s="18"/>
    </row>
    <row r="627" spans="2:11" ht="14.4">
      <c r="B627" s="370" t="s">
        <v>332</v>
      </c>
      <c r="C627" s="264">
        <v>0</v>
      </c>
      <c r="D627" s="13"/>
      <c r="E627" s="264">
        <v>0</v>
      </c>
      <c r="F627" s="13"/>
      <c r="G627" s="264">
        <v>0</v>
      </c>
      <c r="H627" s="13"/>
      <c r="I627" s="264">
        <v>0</v>
      </c>
      <c r="J627" s="13"/>
      <c r="K627" s="18"/>
    </row>
    <row r="628" spans="2:11" ht="14.4">
      <c r="B628" s="370" t="s">
        <v>333</v>
      </c>
      <c r="C628" s="264">
        <v>0</v>
      </c>
      <c r="D628" s="13"/>
      <c r="E628" s="264">
        <v>0</v>
      </c>
      <c r="F628" s="13"/>
      <c r="G628" s="264">
        <v>0</v>
      </c>
      <c r="H628" s="13"/>
      <c r="I628" s="264">
        <v>0</v>
      </c>
      <c r="J628" s="13"/>
      <c r="K628" s="18"/>
    </row>
    <row r="629" spans="2:11" ht="14.4">
      <c r="B629" s="370" t="s">
        <v>334</v>
      </c>
      <c r="C629" s="264">
        <v>0</v>
      </c>
      <c r="D629" s="13"/>
      <c r="E629" s="264">
        <v>0</v>
      </c>
      <c r="F629" s="13"/>
      <c r="G629" s="264">
        <v>0</v>
      </c>
      <c r="H629" s="13"/>
      <c r="I629" s="264">
        <v>0</v>
      </c>
      <c r="J629" s="13"/>
      <c r="K629" s="18"/>
    </row>
    <row r="630" spans="2:11" ht="14.4">
      <c r="B630" s="370" t="s">
        <v>335</v>
      </c>
      <c r="C630" s="264">
        <v>0</v>
      </c>
      <c r="D630" s="13"/>
      <c r="E630" s="264">
        <v>0</v>
      </c>
      <c r="F630" s="13"/>
      <c r="G630" s="264">
        <v>0</v>
      </c>
      <c r="H630" s="13"/>
      <c r="I630" s="264">
        <v>0</v>
      </c>
      <c r="J630" s="13"/>
      <c r="K630" s="18"/>
    </row>
    <row r="631" spans="2:11" ht="15" thickBot="1">
      <c r="B631" s="370" t="s">
        <v>336</v>
      </c>
      <c r="C631" s="371">
        <v>0</v>
      </c>
      <c r="D631" s="13"/>
      <c r="E631" s="371">
        <v>0</v>
      </c>
      <c r="F631" s="13"/>
      <c r="G631" s="371">
        <v>0</v>
      </c>
      <c r="H631" s="13"/>
      <c r="I631" s="371">
        <v>0</v>
      </c>
      <c r="J631" s="13"/>
      <c r="K631" s="18"/>
    </row>
    <row r="632" spans="2:11" ht="15" thickTop="1">
      <c r="B632" s="227" t="s">
        <v>337</v>
      </c>
      <c r="C632" s="372">
        <f>SUM(C625:C631)</f>
        <v>0</v>
      </c>
      <c r="D632" s="13"/>
      <c r="E632" s="372">
        <f>SUM(E625:E631)</f>
        <v>0</v>
      </c>
      <c r="F632" s="13"/>
      <c r="G632" s="372">
        <f>SUM(G625:G631)</f>
        <v>0</v>
      </c>
      <c r="H632" s="13"/>
      <c r="I632" s="372">
        <f>SUM(I625:I631)</f>
        <v>0</v>
      </c>
      <c r="J632" s="13"/>
      <c r="K632" s="18"/>
    </row>
    <row r="633" spans="2:11" ht="14.4">
      <c r="B633" s="49"/>
      <c r="C633" s="13"/>
      <c r="D633" s="13"/>
      <c r="E633" s="13"/>
      <c r="F633" s="13"/>
      <c r="G633" s="13"/>
      <c r="H633" s="13"/>
      <c r="I633" s="13"/>
      <c r="J633" s="13"/>
      <c r="K633" s="18"/>
    </row>
    <row r="634" spans="2:11" ht="14.4">
      <c r="B634" s="227" t="s">
        <v>338</v>
      </c>
      <c r="C634" s="20"/>
      <c r="D634" s="13"/>
      <c r="E634" s="20"/>
      <c r="F634" s="13"/>
      <c r="G634" s="20"/>
      <c r="H634" s="13"/>
      <c r="I634" s="20"/>
      <c r="J634" s="13"/>
      <c r="K634" s="18"/>
    </row>
    <row r="635" spans="2:11" ht="14.4">
      <c r="B635" s="370" t="s">
        <v>339</v>
      </c>
      <c r="C635" s="245">
        <v>0</v>
      </c>
      <c r="D635" s="13"/>
      <c r="E635" s="245">
        <v>0</v>
      </c>
      <c r="F635" s="13"/>
      <c r="G635" s="245">
        <v>0</v>
      </c>
      <c r="H635" s="13"/>
      <c r="I635" s="245">
        <v>0</v>
      </c>
      <c r="J635" s="13"/>
      <c r="K635" s="18"/>
    </row>
    <row r="636" spans="2:11" ht="14.4">
      <c r="B636" s="370" t="s">
        <v>340</v>
      </c>
      <c r="C636" s="264">
        <v>0</v>
      </c>
      <c r="D636" s="13"/>
      <c r="E636" s="264">
        <v>0</v>
      </c>
      <c r="F636" s="13"/>
      <c r="G636" s="264">
        <v>0</v>
      </c>
      <c r="H636" s="13"/>
      <c r="I636" s="264">
        <v>0</v>
      </c>
      <c r="J636" s="13"/>
      <c r="K636" s="18"/>
    </row>
    <row r="637" spans="2:11" ht="14.4">
      <c r="B637" s="370" t="s">
        <v>341</v>
      </c>
      <c r="C637" s="264">
        <v>0</v>
      </c>
      <c r="D637" s="13"/>
      <c r="E637" s="264">
        <v>0</v>
      </c>
      <c r="F637" s="13"/>
      <c r="G637" s="264">
        <v>0</v>
      </c>
      <c r="H637" s="13"/>
      <c r="I637" s="264">
        <v>0</v>
      </c>
      <c r="J637" s="13"/>
      <c r="K637" s="18"/>
    </row>
    <row r="638" spans="2:11" ht="14.4">
      <c r="B638" s="370" t="s">
        <v>342</v>
      </c>
      <c r="C638" s="264">
        <v>0</v>
      </c>
      <c r="D638" s="13"/>
      <c r="E638" s="264">
        <v>0</v>
      </c>
      <c r="F638" s="13"/>
      <c r="G638" s="264">
        <v>0</v>
      </c>
      <c r="H638" s="13"/>
      <c r="I638" s="264">
        <v>0</v>
      </c>
      <c r="J638" s="13"/>
      <c r="K638" s="18"/>
    </row>
    <row r="639" spans="2:11" ht="14.4">
      <c r="B639" s="370" t="s">
        <v>343</v>
      </c>
      <c r="C639" s="264">
        <v>0</v>
      </c>
      <c r="D639" s="13"/>
      <c r="E639" s="264">
        <v>0</v>
      </c>
      <c r="F639" s="13"/>
      <c r="G639" s="264">
        <v>0</v>
      </c>
      <c r="H639" s="13"/>
      <c r="I639" s="264">
        <v>0</v>
      </c>
      <c r="J639" s="13"/>
      <c r="K639" s="18"/>
    </row>
    <row r="640" spans="2:11" ht="15" thickBot="1">
      <c r="B640" s="370" t="s">
        <v>344</v>
      </c>
      <c r="C640" s="371">
        <v>0</v>
      </c>
      <c r="D640" s="13"/>
      <c r="E640" s="371">
        <v>0</v>
      </c>
      <c r="F640" s="13"/>
      <c r="G640" s="371">
        <v>0</v>
      </c>
      <c r="H640" s="13"/>
      <c r="I640" s="371">
        <v>0</v>
      </c>
      <c r="J640" s="13"/>
      <c r="K640" s="18"/>
    </row>
    <row r="641" spans="2:11" ht="15" thickTop="1">
      <c r="B641" s="227" t="s">
        <v>345</v>
      </c>
      <c r="C641" s="373">
        <f>SUM(C635:C640)</f>
        <v>0</v>
      </c>
      <c r="D641" s="13"/>
      <c r="E641" s="373">
        <f>SUM(E635:E640)</f>
        <v>0</v>
      </c>
      <c r="F641" s="13"/>
      <c r="G641" s="373">
        <f>SUM(G635:G640)</f>
        <v>0</v>
      </c>
      <c r="H641" s="13"/>
      <c r="I641" s="373">
        <f>SUM(I635:I640)</f>
        <v>0</v>
      </c>
      <c r="J641" s="13"/>
      <c r="K641" s="18"/>
    </row>
    <row r="642" spans="2:11" ht="14.4">
      <c r="B642" s="49"/>
      <c r="C642" s="13"/>
      <c r="D642" s="13"/>
      <c r="E642" s="13"/>
      <c r="F642" s="13"/>
      <c r="G642" s="13"/>
      <c r="H642" s="13"/>
      <c r="I642" s="13"/>
      <c r="J642" s="13"/>
      <c r="K642" s="18"/>
    </row>
    <row r="643" spans="2:11" ht="14.4">
      <c r="B643" s="227" t="s">
        <v>346</v>
      </c>
      <c r="C643" s="252">
        <f>C641*12</f>
        <v>0</v>
      </c>
      <c r="D643" s="13"/>
      <c r="E643" s="252">
        <f>E641*12</f>
        <v>0</v>
      </c>
      <c r="F643" s="13"/>
      <c r="G643" s="252">
        <f>G641*12</f>
        <v>0</v>
      </c>
      <c r="H643" s="13"/>
      <c r="I643" s="252">
        <f>I641*12</f>
        <v>0</v>
      </c>
      <c r="J643" s="13"/>
      <c r="K643" s="18"/>
    </row>
    <row r="644" spans="2:11" ht="14.4">
      <c r="B644" s="227" t="s">
        <v>347</v>
      </c>
      <c r="C644" s="374">
        <f>IF(C632=0,0,C643/C632)</f>
        <v>0</v>
      </c>
      <c r="D644" s="13"/>
      <c r="E644" s="374">
        <f>IF(E632=0,0,E643/E632)</f>
        <v>0</v>
      </c>
      <c r="F644" s="13"/>
      <c r="G644" s="374">
        <f>IF(G632=0,0,G643/G632)</f>
        <v>0</v>
      </c>
      <c r="H644" s="13"/>
      <c r="I644" s="374">
        <f>IF(I632=0,0,I643/I632)</f>
        <v>0</v>
      </c>
      <c r="J644" s="13"/>
      <c r="K644" s="18"/>
    </row>
    <row r="645" spans="2:11" ht="14.4">
      <c r="B645" s="227" t="s">
        <v>348</v>
      </c>
      <c r="C645" s="252">
        <f>(C641*12/50)*100</f>
        <v>0</v>
      </c>
      <c r="D645" s="13"/>
      <c r="E645" s="252">
        <f>(E641*12/50)*100</f>
        <v>0</v>
      </c>
      <c r="F645" s="13"/>
      <c r="G645" s="252">
        <f>(G641*12/50)*100</f>
        <v>0</v>
      </c>
      <c r="H645" s="13"/>
      <c r="I645" s="252">
        <f>(I641*12/50)*100</f>
        <v>0</v>
      </c>
      <c r="J645" s="13"/>
      <c r="K645" s="18"/>
    </row>
    <row r="646" spans="2:11" ht="14.4">
      <c r="B646" s="49"/>
      <c r="C646" s="13"/>
      <c r="D646" s="13"/>
      <c r="E646" s="13"/>
      <c r="F646" s="13"/>
      <c r="G646" s="13"/>
      <c r="H646" s="13"/>
      <c r="I646" s="13"/>
      <c r="J646" s="13"/>
      <c r="K646" s="18"/>
    </row>
    <row r="647" spans="2:11" ht="15.6">
      <c r="B647" s="227" t="s">
        <v>349</v>
      </c>
      <c r="C647" s="13"/>
      <c r="D647" s="13"/>
      <c r="E647" s="13"/>
      <c r="F647" s="13"/>
      <c r="G647" s="13"/>
      <c r="H647" s="13"/>
      <c r="I647" s="13"/>
      <c r="J647" s="13"/>
      <c r="K647" s="18"/>
    </row>
    <row r="648" spans="2:11" ht="14.4">
      <c r="B648" s="49" t="s">
        <v>350</v>
      </c>
      <c r="C648" s="375">
        <f>C656</f>
        <v>0</v>
      </c>
      <c r="D648" s="13"/>
      <c r="E648" s="375">
        <f>E656</f>
        <v>0</v>
      </c>
      <c r="F648" s="13"/>
      <c r="G648" s="375">
        <f>G656</f>
        <v>0</v>
      </c>
      <c r="H648" s="13"/>
      <c r="I648" s="375">
        <f>I656</f>
        <v>0</v>
      </c>
      <c r="J648" s="13"/>
      <c r="K648" s="18"/>
    </row>
    <row r="649" spans="2:11" ht="14.4">
      <c r="B649" s="49" t="s">
        <v>351</v>
      </c>
      <c r="C649" s="376">
        <v>0</v>
      </c>
      <c r="D649" s="13"/>
      <c r="E649" s="376">
        <v>0</v>
      </c>
      <c r="F649" s="13"/>
      <c r="G649" s="376">
        <v>0</v>
      </c>
      <c r="H649" s="13"/>
      <c r="I649" s="376">
        <v>0</v>
      </c>
      <c r="J649" s="13"/>
      <c r="K649" s="18"/>
    </row>
    <row r="650" spans="2:11" ht="14.4">
      <c r="B650" s="49" t="s">
        <v>352</v>
      </c>
      <c r="C650" s="264">
        <v>0</v>
      </c>
      <c r="D650" s="13"/>
      <c r="E650" s="264">
        <v>0</v>
      </c>
      <c r="F650" s="13"/>
      <c r="G650" s="264">
        <v>0</v>
      </c>
      <c r="H650" s="13"/>
      <c r="I650" s="264">
        <v>0</v>
      </c>
      <c r="J650" s="13"/>
      <c r="K650" s="18"/>
    </row>
    <row r="651" spans="2:11" ht="15" thickBot="1">
      <c r="B651" s="49" t="s">
        <v>249</v>
      </c>
      <c r="C651" s="371">
        <v>0</v>
      </c>
      <c r="D651" s="13"/>
      <c r="E651" s="371">
        <v>0</v>
      </c>
      <c r="F651" s="13"/>
      <c r="G651" s="371">
        <v>0</v>
      </c>
      <c r="H651" s="13"/>
      <c r="I651" s="371">
        <v>0</v>
      </c>
      <c r="J651" s="13"/>
      <c r="K651" s="18"/>
    </row>
    <row r="652" spans="2:11" ht="15" thickTop="1">
      <c r="B652" s="49"/>
      <c r="C652" s="373">
        <f>SUM(C648:C651)</f>
        <v>0</v>
      </c>
      <c r="D652" s="13"/>
      <c r="E652" s="373">
        <f>SUM(E648:E651)</f>
        <v>0</v>
      </c>
      <c r="F652" s="13"/>
      <c r="G652" s="373">
        <f>SUM(G648:G651)</f>
        <v>0</v>
      </c>
      <c r="H652" s="13"/>
      <c r="I652" s="373">
        <f>SUM(I648:I651)</f>
        <v>0</v>
      </c>
      <c r="J652" s="13"/>
      <c r="K652" s="18"/>
    </row>
    <row r="653" spans="2:11" ht="14.4">
      <c r="B653" s="49"/>
      <c r="C653" s="377"/>
      <c r="D653" s="13"/>
      <c r="E653" s="377"/>
      <c r="F653" s="13"/>
      <c r="G653" s="377"/>
      <c r="H653" s="13"/>
      <c r="I653" s="377"/>
      <c r="J653" s="13"/>
      <c r="K653" s="18"/>
    </row>
    <row r="654" spans="2:11" ht="14.4">
      <c r="B654" s="227" t="s">
        <v>353</v>
      </c>
      <c r="C654" s="292">
        <v>0</v>
      </c>
      <c r="D654" s="13"/>
      <c r="E654" s="292">
        <v>0</v>
      </c>
      <c r="F654" s="13"/>
      <c r="G654" s="292">
        <v>0</v>
      </c>
      <c r="H654" s="13"/>
      <c r="I654" s="292">
        <v>0</v>
      </c>
      <c r="J654" s="13"/>
      <c r="K654" s="18"/>
    </row>
    <row r="655" spans="2:11" ht="14.4">
      <c r="B655" s="227" t="s">
        <v>354</v>
      </c>
      <c r="C655" s="252">
        <f>C654-C645</f>
        <v>0</v>
      </c>
      <c r="D655" s="13"/>
      <c r="E655" s="252">
        <f>E654-E645</f>
        <v>0</v>
      </c>
      <c r="F655" s="13"/>
      <c r="G655" s="252">
        <f>G654-G645</f>
        <v>0</v>
      </c>
      <c r="H655" s="13"/>
      <c r="I655" s="252">
        <f>I654-I645</f>
        <v>0</v>
      </c>
      <c r="J655" s="13"/>
      <c r="K655" s="18"/>
    </row>
    <row r="656" spans="2:11" ht="14.4">
      <c r="B656" s="227" t="s">
        <v>355</v>
      </c>
      <c r="C656" s="252">
        <f>IF(C645&gt;C654,0,C655/12)</f>
        <v>0</v>
      </c>
      <c r="D656" s="13"/>
      <c r="E656" s="252">
        <f>IF(E645&gt;E654,0,E655/12)</f>
        <v>0</v>
      </c>
      <c r="F656" s="13"/>
      <c r="G656" s="252">
        <f>IF(G645&gt;G654,0,G655/12)</f>
        <v>0</v>
      </c>
      <c r="H656" s="13"/>
      <c r="I656" s="252">
        <f>IF(I645&gt;I654,0,I655/12)</f>
        <v>0</v>
      </c>
      <c r="J656" s="13"/>
      <c r="K656" s="18"/>
    </row>
    <row r="657" spans="2:11" ht="14.4">
      <c r="B657" s="378"/>
      <c r="C657" s="379"/>
      <c r="D657" s="13"/>
      <c r="E657" s="379"/>
      <c r="F657" s="13"/>
      <c r="G657" s="379"/>
      <c r="H657" s="13"/>
      <c r="I657" s="379"/>
      <c r="J657" s="13"/>
      <c r="K657" s="18"/>
    </row>
    <row r="658" spans="2:11" ht="14.4">
      <c r="B658" s="380"/>
      <c r="C658" s="381"/>
      <c r="D658" s="13"/>
      <c r="E658" s="381"/>
      <c r="F658" s="13"/>
      <c r="G658" s="381"/>
      <c r="H658" s="13"/>
      <c r="I658" s="381"/>
      <c r="J658" s="13"/>
      <c r="K658" s="18"/>
    </row>
    <row r="659" spans="2:11" ht="14.4">
      <c r="B659" s="227" t="s">
        <v>356</v>
      </c>
      <c r="C659" s="382">
        <f>C645+C652*12</f>
        <v>0</v>
      </c>
      <c r="D659" s="13"/>
      <c r="E659" s="382">
        <f>E645+E652*12</f>
        <v>0</v>
      </c>
      <c r="F659" s="13"/>
      <c r="G659" s="382">
        <f>G645+G652*12</f>
        <v>0</v>
      </c>
      <c r="H659" s="13"/>
      <c r="I659" s="382">
        <f>I645+I652*12</f>
        <v>0</v>
      </c>
      <c r="J659" s="13"/>
      <c r="K659" s="18"/>
    </row>
    <row r="660" spans="2:11" ht="14.4">
      <c r="B660" s="383" t="s">
        <v>357</v>
      </c>
      <c r="C660" s="382">
        <f>C632</f>
        <v>0</v>
      </c>
      <c r="D660" s="13"/>
      <c r="E660" s="382">
        <f>E632</f>
        <v>0</v>
      </c>
      <c r="F660" s="13"/>
      <c r="G660" s="382">
        <f>G632</f>
        <v>0</v>
      </c>
      <c r="H660" s="13"/>
      <c r="I660" s="382">
        <f>I632</f>
        <v>0</v>
      </c>
      <c r="J660" s="13"/>
      <c r="K660" s="18"/>
    </row>
    <row r="661" spans="2:11" ht="15" thickBot="1">
      <c r="B661" s="378"/>
      <c r="C661" s="381"/>
      <c r="D661" s="13"/>
      <c r="E661" s="381"/>
      <c r="F661" s="13"/>
      <c r="G661" s="381"/>
      <c r="H661" s="13"/>
      <c r="I661" s="381"/>
      <c r="J661" s="13"/>
      <c r="K661" s="18"/>
    </row>
    <row r="662" spans="2:11" ht="15" thickBot="1">
      <c r="B662" s="227" t="s">
        <v>358</v>
      </c>
      <c r="C662" s="384">
        <f>IF(C663="Yes",IF(C659-C660&lt;24000,24000,C659-C660),0)</f>
        <v>0</v>
      </c>
      <c r="D662" s="13"/>
      <c r="E662" s="384">
        <f>IF(E663="Yes",IF(E659-E660&lt;24000,24000,E659-E660),0)</f>
        <v>0</v>
      </c>
      <c r="F662" s="13"/>
      <c r="G662" s="384">
        <f>IF(G663="Yes",IF(G659-G660&lt;24000,24000,G659-G660),0)</f>
        <v>0</v>
      </c>
      <c r="H662" s="13"/>
      <c r="I662" s="384">
        <f>IF(I663="Yes",IF(I659-I660&lt;24000,24000,I659-I660),0)</f>
        <v>0</v>
      </c>
      <c r="J662" s="13"/>
      <c r="K662" s="18"/>
    </row>
    <row r="663" spans="2:11" ht="15" thickBot="1">
      <c r="B663" s="385" t="s">
        <v>359</v>
      </c>
      <c r="C663" s="386"/>
      <c r="D663" s="13"/>
      <c r="E663" s="386"/>
      <c r="F663" s="13"/>
      <c r="G663" s="386"/>
      <c r="H663" s="13"/>
      <c r="I663" s="386"/>
      <c r="J663" s="13"/>
      <c r="K663" s="18"/>
    </row>
    <row r="664" spans="2:11" ht="15" thickBot="1">
      <c r="B664" s="74"/>
      <c r="C664" s="75"/>
      <c r="D664" s="75"/>
      <c r="E664" s="75"/>
      <c r="F664" s="75"/>
      <c r="G664" s="75"/>
      <c r="H664" s="75"/>
      <c r="I664" s="75"/>
      <c r="J664" s="75"/>
      <c r="K664" s="35"/>
    </row>
    <row r="665" spans="2:11" ht="15" thickBot="1">
      <c r="B665" s="369"/>
      <c r="C665" s="369"/>
      <c r="D665" s="369"/>
      <c r="E665" s="369"/>
      <c r="F665" s="369"/>
      <c r="G665" s="369"/>
      <c r="H665" s="369"/>
      <c r="I665" s="369"/>
      <c r="J665" s="369"/>
      <c r="K665" s="369"/>
    </row>
    <row r="666" spans="2:11" ht="16.2" thickBot="1">
      <c r="B666" s="860" t="s">
        <v>360</v>
      </c>
      <c r="C666" s="861"/>
      <c r="D666" s="861"/>
      <c r="E666" s="861"/>
      <c r="F666" s="861"/>
      <c r="G666" s="861"/>
      <c r="H666" s="861"/>
      <c r="I666" s="861"/>
      <c r="J666" s="861"/>
      <c r="K666" s="862"/>
    </row>
    <row r="667" spans="2:11" ht="15.6">
      <c r="B667" s="866" t="s">
        <v>361</v>
      </c>
      <c r="C667" s="867"/>
      <c r="D667" s="867"/>
      <c r="E667" s="867"/>
      <c r="F667" s="867"/>
      <c r="G667" s="867"/>
      <c r="H667" s="867"/>
      <c r="I667" s="867"/>
      <c r="J667" s="867"/>
      <c r="K667" s="868"/>
    </row>
    <row r="668" spans="2:11" ht="31.2">
      <c r="B668" s="387" t="s">
        <v>304</v>
      </c>
      <c r="C668" s="388" t="s">
        <v>362</v>
      </c>
      <c r="D668" s="389" t="s">
        <v>363</v>
      </c>
      <c r="E668" s="874" t="s">
        <v>364</v>
      </c>
      <c r="F668" s="875"/>
      <c r="G668" s="390" t="s">
        <v>365</v>
      </c>
      <c r="H668" s="390" t="s">
        <v>366</v>
      </c>
      <c r="I668" s="390" t="s">
        <v>367</v>
      </c>
      <c r="J668" s="390" t="s">
        <v>368</v>
      </c>
      <c r="K668" s="391" t="s">
        <v>369</v>
      </c>
    </row>
    <row r="669" spans="2:11" ht="15.6">
      <c r="B669" s="392" t="s">
        <v>370</v>
      </c>
      <c r="C669" s="393"/>
      <c r="D669" s="393"/>
      <c r="E669" s="821"/>
      <c r="F669" s="822"/>
      <c r="G669" s="394">
        <v>0</v>
      </c>
      <c r="H669" s="395">
        <v>0.85</v>
      </c>
      <c r="I669" s="396">
        <f t="shared" ref="I669:I677" si="176">G669*H669</f>
        <v>0</v>
      </c>
      <c r="J669" s="394">
        <v>0</v>
      </c>
      <c r="K669" s="397">
        <f t="shared" ref="K669:K677" si="177">IF(I669-J669&lt;0,0,I669-J669)</f>
        <v>0</v>
      </c>
    </row>
    <row r="670" spans="2:11" ht="15.6">
      <c r="B670" s="392" t="s">
        <v>371</v>
      </c>
      <c r="C670" s="393"/>
      <c r="D670" s="393"/>
      <c r="E670" s="821"/>
      <c r="F670" s="822"/>
      <c r="G670" s="394">
        <v>0</v>
      </c>
      <c r="H670" s="395">
        <v>0.85</v>
      </c>
      <c r="I670" s="396">
        <f t="shared" si="176"/>
        <v>0</v>
      </c>
      <c r="J670" s="394">
        <v>0</v>
      </c>
      <c r="K670" s="397">
        <f t="shared" si="177"/>
        <v>0</v>
      </c>
    </row>
    <row r="671" spans="2:11" ht="15.6">
      <c r="B671" s="392" t="s">
        <v>371</v>
      </c>
      <c r="C671" s="393"/>
      <c r="D671" s="393"/>
      <c r="E671" s="821"/>
      <c r="F671" s="822"/>
      <c r="G671" s="394">
        <v>0</v>
      </c>
      <c r="H671" s="395">
        <v>0.85</v>
      </c>
      <c r="I671" s="396">
        <f t="shared" si="176"/>
        <v>0</v>
      </c>
      <c r="J671" s="394">
        <v>0</v>
      </c>
      <c r="K671" s="397">
        <f t="shared" si="177"/>
        <v>0</v>
      </c>
    </row>
    <row r="672" spans="2:11" ht="15.6">
      <c r="B672" s="392" t="s">
        <v>372</v>
      </c>
      <c r="C672" s="393"/>
      <c r="D672" s="398"/>
      <c r="E672" s="821" t="str">
        <f t="shared" ref="E672:E677" si="178">IF(G672=0," ",$E$5)</f>
        <v xml:space="preserve"> </v>
      </c>
      <c r="F672" s="822"/>
      <c r="G672" s="394">
        <v>0</v>
      </c>
      <c r="H672" s="395">
        <v>0.1</v>
      </c>
      <c r="I672" s="396">
        <f t="shared" si="176"/>
        <v>0</v>
      </c>
      <c r="J672" s="394">
        <v>0</v>
      </c>
      <c r="K672" s="397">
        <f t="shared" si="177"/>
        <v>0</v>
      </c>
    </row>
    <row r="673" spans="2:11" ht="15.6">
      <c r="B673" s="392" t="s">
        <v>109</v>
      </c>
      <c r="C673" s="393"/>
      <c r="D673" s="398"/>
      <c r="E673" s="821" t="str">
        <f t="shared" si="178"/>
        <v xml:space="preserve"> </v>
      </c>
      <c r="F673" s="822"/>
      <c r="G673" s="394">
        <v>0</v>
      </c>
      <c r="H673" s="395">
        <v>0.5</v>
      </c>
      <c r="I673" s="396">
        <f t="shared" si="176"/>
        <v>0</v>
      </c>
      <c r="J673" s="394">
        <v>0</v>
      </c>
      <c r="K673" s="397">
        <f t="shared" si="177"/>
        <v>0</v>
      </c>
    </row>
    <row r="674" spans="2:11" ht="15.6">
      <c r="B674" s="392" t="s">
        <v>115</v>
      </c>
      <c r="C674" s="393"/>
      <c r="D674" s="398"/>
      <c r="E674" s="821" t="str">
        <f t="shared" si="178"/>
        <v xml:space="preserve"> </v>
      </c>
      <c r="F674" s="822"/>
      <c r="G674" s="394">
        <v>0</v>
      </c>
      <c r="H674" s="395">
        <v>0.1</v>
      </c>
      <c r="I674" s="396">
        <f t="shared" si="176"/>
        <v>0</v>
      </c>
      <c r="J674" s="394">
        <v>0</v>
      </c>
      <c r="K674" s="397">
        <f t="shared" si="177"/>
        <v>0</v>
      </c>
    </row>
    <row r="675" spans="2:11" ht="15.6">
      <c r="B675" s="392" t="s">
        <v>373</v>
      </c>
      <c r="C675" s="393"/>
      <c r="D675" s="398"/>
      <c r="E675" s="821" t="str">
        <f t="shared" si="178"/>
        <v xml:space="preserve"> </v>
      </c>
      <c r="F675" s="822"/>
      <c r="G675" s="394">
        <v>0</v>
      </c>
      <c r="H675" s="395">
        <v>0.1</v>
      </c>
      <c r="I675" s="396">
        <f t="shared" si="176"/>
        <v>0</v>
      </c>
      <c r="J675" s="394">
        <v>0</v>
      </c>
      <c r="K675" s="397">
        <f t="shared" si="177"/>
        <v>0</v>
      </c>
    </row>
    <row r="676" spans="2:11" ht="15.6">
      <c r="B676" s="392" t="s">
        <v>374</v>
      </c>
      <c r="C676" s="393"/>
      <c r="D676" s="398"/>
      <c r="E676" s="821" t="str">
        <f t="shared" si="178"/>
        <v xml:space="preserve"> </v>
      </c>
      <c r="F676" s="822"/>
      <c r="G676" s="394">
        <v>0</v>
      </c>
      <c r="H676" s="395">
        <v>0.05</v>
      </c>
      <c r="I676" s="396">
        <f t="shared" si="176"/>
        <v>0</v>
      </c>
      <c r="J676" s="394">
        <v>0</v>
      </c>
      <c r="K676" s="397">
        <f t="shared" si="177"/>
        <v>0</v>
      </c>
    </row>
    <row r="677" spans="2:11" ht="15.6">
      <c r="B677" s="399" t="s">
        <v>375</v>
      </c>
      <c r="C677" s="393"/>
      <c r="D677" s="398"/>
      <c r="E677" s="821" t="str">
        <f t="shared" si="178"/>
        <v xml:space="preserve"> </v>
      </c>
      <c r="F677" s="822"/>
      <c r="G677" s="394">
        <v>0</v>
      </c>
      <c r="H677" s="395">
        <v>0</v>
      </c>
      <c r="I677" s="396">
        <f t="shared" si="176"/>
        <v>0</v>
      </c>
      <c r="J677" s="394">
        <v>0</v>
      </c>
      <c r="K677" s="397">
        <f t="shared" si="177"/>
        <v>0</v>
      </c>
    </row>
    <row r="678" spans="2:11" ht="15.6">
      <c r="B678" s="400"/>
      <c r="C678" s="401"/>
      <c r="D678" s="401"/>
      <c r="E678" s="869"/>
      <c r="F678" s="870" t="s">
        <v>376</v>
      </c>
      <c r="G678" s="402">
        <f>SUM(G669:G677)</f>
        <v>0</v>
      </c>
      <c r="H678" s="403"/>
      <c r="I678" s="404">
        <f>SUM(I669:I677)</f>
        <v>0</v>
      </c>
      <c r="J678" s="402">
        <f>SUM(J669:J677)</f>
        <v>0</v>
      </c>
      <c r="K678" s="405">
        <f>SUM(K669:K677)</f>
        <v>0</v>
      </c>
    </row>
    <row r="679" spans="2:11" ht="15.6">
      <c r="B679" s="406"/>
      <c r="C679" s="407"/>
      <c r="D679" s="407"/>
      <c r="E679" s="816"/>
      <c r="F679" s="816"/>
      <c r="G679" s="408"/>
      <c r="H679" s="814"/>
      <c r="I679" s="814"/>
      <c r="J679" s="814"/>
      <c r="K679" s="409"/>
    </row>
    <row r="680" spans="2:11" ht="19.05" customHeight="1">
      <c r="B680" s="410" t="s">
        <v>111</v>
      </c>
      <c r="C680" s="411">
        <f>C65</f>
        <v>-115502</v>
      </c>
      <c r="D680" s="13"/>
      <c r="E680" s="825" t="s">
        <v>377</v>
      </c>
      <c r="F680" s="871"/>
      <c r="G680" s="412">
        <f>IFERROR((C680+J678)/G678,0)</f>
        <v>0</v>
      </c>
      <c r="H680" s="815" t="s">
        <v>378</v>
      </c>
      <c r="I680" s="816"/>
      <c r="J680" s="817" t="s">
        <v>378</v>
      </c>
      <c r="K680" s="413">
        <f>IFERROR((J678+C680)/I678,0)</f>
        <v>0</v>
      </c>
    </row>
    <row r="681" spans="2:11" ht="15.6">
      <c r="B681" s="410" t="s">
        <v>379</v>
      </c>
      <c r="C681" s="414">
        <f>K678</f>
        <v>0</v>
      </c>
      <c r="D681" s="13"/>
      <c r="E681" s="825" t="s">
        <v>380</v>
      </c>
      <c r="F681" s="871"/>
      <c r="G681" s="412">
        <f>IFERROR(G678/(C680+J678),0)</f>
        <v>0</v>
      </c>
      <c r="H681" s="815" t="s">
        <v>381</v>
      </c>
      <c r="I681" s="816"/>
      <c r="J681" s="817" t="s">
        <v>381</v>
      </c>
      <c r="K681" s="413">
        <f>IFERROR(I678/(J678+C680),0)</f>
        <v>0</v>
      </c>
    </row>
    <row r="682" spans="2:11" ht="15.6">
      <c r="B682" s="410" t="s">
        <v>382</v>
      </c>
      <c r="C682" s="411">
        <f>IF(C680-C681&lt;0,0,C680-C681)</f>
        <v>0</v>
      </c>
      <c r="D682" s="407"/>
      <c r="E682" s="816"/>
      <c r="F682" s="816"/>
      <c r="G682" s="408"/>
      <c r="H682" s="814"/>
      <c r="I682" s="814"/>
      <c r="J682" s="814"/>
      <c r="K682" s="409"/>
    </row>
    <row r="683" spans="2:11" ht="15.6">
      <c r="B683" s="49" t="s">
        <v>40</v>
      </c>
      <c r="C683" s="415">
        <f>N32</f>
        <v>0.75</v>
      </c>
      <c r="D683" s="407"/>
      <c r="E683" s="825" t="s">
        <v>383</v>
      </c>
      <c r="F683" s="871" t="s">
        <v>384</v>
      </c>
      <c r="G683" s="416">
        <f>C680-(K669+K670+K671)</f>
        <v>-115502</v>
      </c>
      <c r="H683" s="818"/>
      <c r="I683" s="814"/>
      <c r="J683" s="814"/>
      <c r="K683" s="409"/>
    </row>
    <row r="684" spans="2:11" ht="15.6">
      <c r="B684" s="410" t="s">
        <v>385</v>
      </c>
      <c r="C684" s="411">
        <f>IF(C682&gt;0,C683*C682,0)</f>
        <v>0</v>
      </c>
      <c r="D684" s="825"/>
      <c r="E684" s="825"/>
      <c r="F684" s="417"/>
      <c r="G684" s="408"/>
      <c r="H684" s="418"/>
      <c r="I684" s="418"/>
      <c r="J684" s="418"/>
      <c r="K684" s="409"/>
    </row>
    <row r="685" spans="2:11" ht="15.6">
      <c r="B685" s="410" t="s">
        <v>386</v>
      </c>
      <c r="C685" s="414">
        <f>IF(C684&gt;0,C682-C684,0)</f>
        <v>0</v>
      </c>
      <c r="D685" s="825"/>
      <c r="E685" s="825"/>
      <c r="F685" s="419"/>
      <c r="G685" s="408"/>
      <c r="H685" s="418"/>
      <c r="I685" s="418"/>
      <c r="J685" s="418"/>
      <c r="K685" s="409"/>
    </row>
    <row r="686" spans="2:11" ht="16.2" thickBot="1">
      <c r="B686" s="420"/>
      <c r="C686" s="421"/>
      <c r="D686" s="421"/>
      <c r="E686" s="422"/>
      <c r="F686" s="422"/>
      <c r="G686" s="422"/>
      <c r="H686" s="423"/>
      <c r="I686" s="423"/>
      <c r="J686" s="423"/>
      <c r="K686" s="424"/>
    </row>
    <row r="687" spans="2:11" ht="14.4">
      <c r="F687" t="str">
        <f>'BDO Prequal'!B73</f>
        <v>Owner/Guarantor 1</v>
      </c>
    </row>
  </sheetData>
  <mergeCells count="124">
    <mergeCell ref="B7:K7"/>
    <mergeCell ref="B2:B4"/>
    <mergeCell ref="B16:C16"/>
    <mergeCell ref="B14:C14"/>
    <mergeCell ref="B15:C15"/>
    <mergeCell ref="B8:E8"/>
    <mergeCell ref="C27:E27"/>
    <mergeCell ref="C26:E26"/>
    <mergeCell ref="D15:E15"/>
    <mergeCell ref="D16:E16"/>
    <mergeCell ref="D11:E11"/>
    <mergeCell ref="D13:E13"/>
    <mergeCell ref="D14:E14"/>
    <mergeCell ref="B83:K83"/>
    <mergeCell ref="B69:K69"/>
    <mergeCell ref="D12:E12"/>
    <mergeCell ref="B169:K169"/>
    <mergeCell ref="F28:G28"/>
    <mergeCell ref="F26:I26"/>
    <mergeCell ref="F27:I27"/>
    <mergeCell ref="J13:K13"/>
    <mergeCell ref="J14:K14"/>
    <mergeCell ref="J12:K12"/>
    <mergeCell ref="B13:C13"/>
    <mergeCell ref="B12:C12"/>
    <mergeCell ref="B29:O29"/>
    <mergeCell ref="B45:O45"/>
    <mergeCell ref="N32:O32"/>
    <mergeCell ref="U35:X35"/>
    <mergeCell ref="B303:K303"/>
    <mergeCell ref="N41:O41"/>
    <mergeCell ref="N33:O33"/>
    <mergeCell ref="N40:O40"/>
    <mergeCell ref="N36:O36"/>
    <mergeCell ref="N37:O37"/>
    <mergeCell ref="N34:O34"/>
    <mergeCell ref="N35:O35"/>
    <mergeCell ref="N39:O39"/>
    <mergeCell ref="I43:J43"/>
    <mergeCell ref="B203:D203"/>
    <mergeCell ref="B223:K223"/>
    <mergeCell ref="B222:K222"/>
    <mergeCell ref="B197:C197"/>
    <mergeCell ref="B224:K224"/>
    <mergeCell ref="B205:K205"/>
    <mergeCell ref="N38:O38"/>
    <mergeCell ref="B300:D300"/>
    <mergeCell ref="B302:K302"/>
    <mergeCell ref="B80:C80"/>
    <mergeCell ref="B82:K82"/>
    <mergeCell ref="U42:X42"/>
    <mergeCell ref="U43:X43"/>
    <mergeCell ref="E683:F683"/>
    <mergeCell ref="E681:F681"/>
    <mergeCell ref="U29:X29"/>
    <mergeCell ref="E669:F669"/>
    <mergeCell ref="U31:X31"/>
    <mergeCell ref="E668:F668"/>
    <mergeCell ref="E672:F672"/>
    <mergeCell ref="U32:X32"/>
    <mergeCell ref="E670:F670"/>
    <mergeCell ref="E674:F674"/>
    <mergeCell ref="U41:X41"/>
    <mergeCell ref="U57:X57"/>
    <mergeCell ref="E673:F673"/>
    <mergeCell ref="B540:K540"/>
    <mergeCell ref="B539:K539"/>
    <mergeCell ref="U58:X58"/>
    <mergeCell ref="U33:X33"/>
    <mergeCell ref="U34:X34"/>
    <mergeCell ref="U40:X40"/>
    <mergeCell ref="U38:X38"/>
    <mergeCell ref="U39:X39"/>
    <mergeCell ref="U56:X56"/>
    <mergeCell ref="U37:X37"/>
    <mergeCell ref="U36:X36"/>
    <mergeCell ref="U44:X44"/>
    <mergeCell ref="U45:X45"/>
    <mergeCell ref="U55:X55"/>
    <mergeCell ref="B382:K382"/>
    <mergeCell ref="B381:K381"/>
    <mergeCell ref="B379:D379"/>
    <mergeCell ref="M82:T82"/>
    <mergeCell ref="BJ51:BL51"/>
    <mergeCell ref="H682:J682"/>
    <mergeCell ref="H681:J681"/>
    <mergeCell ref="B616:D616"/>
    <mergeCell ref="B618:K618"/>
    <mergeCell ref="B666:K666"/>
    <mergeCell ref="B667:K667"/>
    <mergeCell ref="E676:F676"/>
    <mergeCell ref="E675:F675"/>
    <mergeCell ref="E678:F678"/>
    <mergeCell ref="E677:F677"/>
    <mergeCell ref="B461:K461"/>
    <mergeCell ref="B460:K460"/>
    <mergeCell ref="B458:D458"/>
    <mergeCell ref="E680:F680"/>
    <mergeCell ref="E679:F679"/>
    <mergeCell ref="E682:F682"/>
    <mergeCell ref="H679:J679"/>
    <mergeCell ref="H680:J680"/>
    <mergeCell ref="H683:J683"/>
    <mergeCell ref="W30:Z30"/>
    <mergeCell ref="E671:F671"/>
    <mergeCell ref="B537:D537"/>
    <mergeCell ref="D684:E684"/>
    <mergeCell ref="D685:E685"/>
    <mergeCell ref="BC50:BL50"/>
    <mergeCell ref="BC49:BF49"/>
    <mergeCell ref="BC45:BL45"/>
    <mergeCell ref="BC51:BF51"/>
    <mergeCell ref="BC47:BL47"/>
    <mergeCell ref="BC57:BL57"/>
    <mergeCell ref="BC48:BF48"/>
    <mergeCell ref="BF46:BG46"/>
    <mergeCell ref="BE56:BF56"/>
    <mergeCell ref="BG62:BH62"/>
    <mergeCell ref="BG60:BH60"/>
    <mergeCell ref="BG61:BH61"/>
    <mergeCell ref="BG51:BI51"/>
    <mergeCell ref="BG63:BH63"/>
    <mergeCell ref="BG59:BH59"/>
    <mergeCell ref="BG58:BH58"/>
  </mergeCells>
  <phoneticPr fontId="9" type="noConversion"/>
  <conditionalFormatting sqref="C64:K64">
    <cfRule type="expression" dxfId="29" priority="13">
      <formula>$C$32=504</formula>
    </cfRule>
  </conditionalFormatting>
  <conditionalFormatting sqref="G219">
    <cfRule type="cellIs" dxfId="28" priority="17" operator="lessThan">
      <formula>0.1</formula>
    </cfRule>
    <cfRule type="cellIs" dxfId="27" priority="18" operator="greaterThanOrEqual">
      <formula>0.1</formula>
    </cfRule>
  </conditionalFormatting>
  <conditionalFormatting sqref="H78">
    <cfRule type="cellIs" dxfId="26" priority="16" operator="lessThan">
      <formula>0</formula>
    </cfRule>
  </conditionalFormatting>
  <conditionalFormatting sqref="Q46">
    <cfRule type="expression" dxfId="25" priority="7">
      <formula>$H$29&gt;5000000</formula>
    </cfRule>
  </conditionalFormatting>
  <conditionalFormatting sqref="Q58">
    <cfRule type="expression" dxfId="24" priority="11">
      <formula>$H$29&gt;5000000</formula>
    </cfRule>
  </conditionalFormatting>
  <conditionalFormatting sqref="Q80">
    <cfRule type="expression" dxfId="23" priority="14">
      <formula>$H$29&gt;5000000</formula>
    </cfRule>
  </conditionalFormatting>
  <conditionalFormatting sqref="R36">
    <cfRule type="containsBlanks" dxfId="22" priority="2">
      <formula>LEN(TRIM(R36))=0</formula>
    </cfRule>
  </conditionalFormatting>
  <conditionalFormatting sqref="R45">
    <cfRule type="cellIs" dxfId="21" priority="3" operator="greaterThan">
      <formula>5000000</formula>
    </cfRule>
  </conditionalFormatting>
  <conditionalFormatting sqref="R60">
    <cfRule type="expression" dxfId="20" priority="15">
      <formula>"IF(N60&lt;1)"</formula>
    </cfRule>
  </conditionalFormatting>
  <conditionalFormatting sqref="T30 R31:R44 R49:R57">
    <cfRule type="expression" dxfId="19" priority="1">
      <formula>OR(ISBLANK(R30),ISTEXT(R30))</formula>
    </cfRule>
  </conditionalFormatting>
  <conditionalFormatting sqref="T45">
    <cfRule type="cellIs" dxfId="18" priority="12" operator="greaterThan">
      <formula>5000000</formula>
    </cfRule>
  </conditionalFormatting>
  <dataValidations count="5">
    <dataValidation type="list" allowBlank="1" showErrorMessage="1" errorTitle="The value you entered is not valid." error="The value entered violates data validation rules set in cell" sqref="G17" xr:uid="{00000000-0002-0000-0000-000003000000}">
      <formula1>"No,Yes"</formula1>
    </dataValidation>
    <dataValidation type="whole" operator="greaterThanOrEqual" allowBlank="1" showErrorMessage="1" errorTitle="The value you entered is not valid." error="The value entered violates data validation rules set in cell" sqref="T44 R49:T57 T30:V30 R31:T43" xr:uid="{00000000-0002-0000-0000-000004000000}">
      <formula1>0</formula1>
    </dataValidation>
    <dataValidation type="list" allowBlank="1" showErrorMessage="1" errorTitle="The value you entered is not valid." error="The value entered violates data validation rules set in cell" sqref="D12:E17" xr:uid="{00000000-0002-0000-0000-000008000000}">
      <formula1>"Borrower/EPC,Operating Company,Co-Borrower,Corp. Guarantor,Affiliate"</formula1>
    </dataValidation>
    <dataValidation type="list" allowBlank="1" showInputMessage="1" showErrorMessage="1" sqref="C32:G32" xr:uid="{FC657048-23C3-4B90-9201-B02BCBAF1CAD}">
      <formula1>"7A Standard,504,Debenture,7A Express,CAPLine,Seller,3rd Party,Equity,USDA,P&amp;E,Conventional, N/A"</formula1>
    </dataValidation>
    <dataValidation type="list" allowBlank="1" showInputMessage="1" showErrorMessage="1" sqref="C31:G31" xr:uid="{F2FD2535-66F4-4425-8263-584CC3E3D157}">
      <formula1>"T Bank Loan, Equity, Seller Note, 3rd Party, 504, CDC Debenture, N/A"</formula1>
    </dataValidation>
  </dataValidations>
  <pageMargins left="0.7" right="0.7" top="0.75" bottom="0.75" header="0.3" footer="0.3"/>
  <drawing r:id="rId1"/>
  <legacyDrawing r:id="rId2"/>
  <tableParts count="1">
    <tablePart r:id="rId3"/>
  </tableParts>
  <extLst>
    <ext xmlns:x14="http://schemas.microsoft.com/office/spreadsheetml/2009/9/main" uri="{CCE6A557-97BC-4b89-ADB6-D9C93CAAB3DF}">
      <x14:dataValidations xmlns:xm="http://schemas.microsoft.com/office/excel/2006/main" count="6">
        <x14:dataValidation type="list" allowBlank="1" showErrorMessage="1" errorTitle="The value you entered is not valid." error="The value entered violates data validation rules set in cell" xr:uid="{00000000-0002-0000-0000-000000000000}">
          <x14:formula1>
            <xm:f>Lists!$F$2:$F$18</xm:f>
          </x14:formula1>
          <xm:sqref>J12:J13</xm:sqref>
        </x14:dataValidation>
        <x14:dataValidation type="list" allowBlank="1" showErrorMessage="1" errorTitle="The value you entered is not valid." error="The value entered violates data validation rules set in cell" xr:uid="{00000000-0002-0000-0000-000001000000}">
          <x14:formula1>
            <xm:f>Lists!$E$30:$E$38</xm:f>
          </x14:formula1>
          <xm:sqref>D672:D677</xm:sqref>
        </x14:dataValidation>
        <x14:dataValidation type="list" allowBlank="1" showErrorMessage="1" errorTitle="The value you entered is not valid." error="The value entered violates data validation rules set in cell" xr:uid="{00000000-0002-0000-0000-000005000000}">
          <x14:formula1>
            <xm:f>Lists!$D$16:$D$25</xm:f>
          </x14:formula1>
          <xm:sqref>D87 F87 H87 J87 D228 F228 H228 J228 D307 F307 H307 J307 D386 F386 H386 J386 D465 F465 H465 J465 D544 F544 H544 J544</xm:sqref>
        </x14:dataValidation>
        <x14:dataValidation type="list" allowBlank="1" showErrorMessage="1" errorTitle="The value you entered is not valid." error="The value entered violates data validation rules set in cell" xr:uid="{00000000-0002-0000-0000-000006000000}">
          <x14:formula1>
            <xm:f>Lists!$E$16:$E$20</xm:f>
          </x14:formula1>
          <xm:sqref>D88 F88 H88 J88 D229 F229 H229 J229 D308 F308 H308 J308 D387 F387 H387 J387 D466 F466 H466 J466 D545 F545 H545 J545</xm:sqref>
        </x14:dataValidation>
        <x14:dataValidation type="list" allowBlank="1" showErrorMessage="1" errorTitle="The value you entered is not valid." error="The value entered violates data validation rules set in cell" xr:uid="{00000000-0002-0000-0000-000007000000}">
          <x14:formula1>
            <xm:f>Lists!$C$2:$C$4</xm:f>
          </x14:formula1>
          <xm:sqref>G12:G16 F19:J24 C84 F207:F216 C225 C304 C383 C462 C541 C623 E623 G623 I623 C663 E663 G663 I663 C42:G42</xm:sqref>
        </x14:dataValidation>
        <x14:dataValidation type="list" allowBlank="1" showErrorMessage="1" errorTitle="The value you entered is not valid." error="The value entered violates data validation rules set in cell" xr:uid="{00000000-0002-0000-0000-000009000000}">
          <x14:formula1>
            <xm:f>Lists!$C$62:$C$65</xm:f>
          </x14:formula1>
          <xm:sqref>C37:G37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ZT27"/>
  <sheetViews>
    <sheetView showGridLines="0" workbookViewId="0">
      <pane ySplit="4" topLeftCell="A5" activePane="bottomLeft" state="frozen"/>
      <selection pane="bottomLeft"/>
    </sheetView>
  </sheetViews>
  <sheetFormatPr defaultRowHeight="16.95" customHeight="1"/>
  <cols>
    <col min="1" max="1" width="2.6640625" style="425"/>
    <col min="2" max="2" width="16.77734375" style="425"/>
    <col min="3" max="3" width="21.88671875" style="425"/>
    <col min="4" max="5" width="24.109375" style="425"/>
    <col min="6" max="6" width="20.21875" style="425"/>
    <col min="7" max="7" width="23.44140625" style="425"/>
    <col min="8" max="8" width="21.33203125" style="425"/>
    <col min="9" max="9" width="2.6640625" style="425"/>
    <col min="10" max="10" width="9.109375" style="425"/>
    <col min="11" max="16" width="21.5546875" style="425"/>
    <col min="17" max="19" width="22.21875" style="425"/>
    <col min="20" max="2048" width="9.109375" style="425"/>
  </cols>
  <sheetData>
    <row r="2" spans="2:19" ht="25.8">
      <c r="B2" s="946" t="s">
        <v>387</v>
      </c>
      <c r="C2" s="947"/>
      <c r="D2" s="947"/>
      <c r="E2" s="947"/>
      <c r="F2" s="947"/>
      <c r="G2" s="947"/>
      <c r="H2" s="948"/>
    </row>
    <row r="3" spans="2:19" ht="31.2">
      <c r="B3" s="426" t="s">
        <v>388</v>
      </c>
      <c r="C3" s="427" t="s">
        <v>389</v>
      </c>
      <c r="D3" s="427" t="s">
        <v>390</v>
      </c>
      <c r="E3" s="428" t="s">
        <v>391</v>
      </c>
      <c r="F3" s="427" t="s">
        <v>392</v>
      </c>
      <c r="G3" s="427" t="s">
        <v>393</v>
      </c>
      <c r="H3" s="428" t="s">
        <v>394</v>
      </c>
    </row>
    <row r="4" spans="2:19" ht="31.2">
      <c r="B4" s="429">
        <f>SUM(C4:H4)</f>
        <v>0</v>
      </c>
      <c r="C4" s="430"/>
      <c r="D4" s="431"/>
      <c r="E4" s="431"/>
      <c r="F4" s="431"/>
      <c r="G4" s="431"/>
      <c r="H4" s="431"/>
    </row>
    <row r="5" spans="2:19" ht="114" customHeight="1">
      <c r="B5" s="432">
        <v>5</v>
      </c>
      <c r="C5" s="433" t="s">
        <v>395</v>
      </c>
      <c r="D5" s="434" t="s">
        <v>396</v>
      </c>
      <c r="E5" s="434" t="s">
        <v>397</v>
      </c>
      <c r="F5" s="434" t="s">
        <v>398</v>
      </c>
      <c r="G5" s="434" t="s">
        <v>399</v>
      </c>
      <c r="H5" s="435" t="s">
        <v>397</v>
      </c>
      <c r="K5" s="436"/>
      <c r="L5" s="436"/>
      <c r="M5" s="436"/>
      <c r="N5" s="436"/>
      <c r="O5" s="436"/>
      <c r="P5" s="436"/>
      <c r="Q5" s="436"/>
      <c r="R5" s="436"/>
      <c r="S5" s="436"/>
    </row>
    <row r="6" spans="2:19" ht="120" customHeight="1">
      <c r="B6" s="437">
        <v>4</v>
      </c>
      <c r="C6" s="438" t="s">
        <v>400</v>
      </c>
      <c r="D6" s="439" t="s">
        <v>401</v>
      </c>
      <c r="E6" s="439" t="s">
        <v>402</v>
      </c>
      <c r="F6" s="439" t="s">
        <v>403</v>
      </c>
      <c r="G6" s="439" t="s">
        <v>404</v>
      </c>
      <c r="H6" s="440" t="s">
        <v>397</v>
      </c>
      <c r="K6" s="441"/>
      <c r="L6" s="442"/>
      <c r="M6" s="442"/>
      <c r="N6" s="442"/>
      <c r="O6" s="442"/>
      <c r="P6" s="442"/>
      <c r="Q6" s="442"/>
      <c r="R6" s="442"/>
      <c r="S6" s="442"/>
    </row>
    <row r="7" spans="2:19" ht="169.05" customHeight="1">
      <c r="B7" s="437">
        <v>3</v>
      </c>
      <c r="C7" s="438" t="s">
        <v>405</v>
      </c>
      <c r="D7" s="439" t="s">
        <v>406</v>
      </c>
      <c r="E7" s="439" t="s">
        <v>407</v>
      </c>
      <c r="F7" s="439" t="s">
        <v>408</v>
      </c>
      <c r="G7" s="439" t="s">
        <v>409</v>
      </c>
      <c r="H7" s="440" t="s">
        <v>410</v>
      </c>
      <c r="L7" s="443"/>
    </row>
    <row r="8" spans="2:19" ht="166.95" customHeight="1">
      <c r="B8" s="437">
        <v>2</v>
      </c>
      <c r="C8" s="438" t="s">
        <v>411</v>
      </c>
      <c r="D8" s="439" t="s">
        <v>412</v>
      </c>
      <c r="E8" s="439" t="s">
        <v>413</v>
      </c>
      <c r="F8" s="439" t="s">
        <v>414</v>
      </c>
      <c r="G8" s="439" t="s">
        <v>415</v>
      </c>
      <c r="H8" s="440" t="s">
        <v>416</v>
      </c>
      <c r="L8" s="443"/>
    </row>
    <row r="9" spans="2:19" ht="110.4">
      <c r="B9" s="437">
        <v>1</v>
      </c>
      <c r="C9" s="438" t="s">
        <v>417</v>
      </c>
      <c r="D9" s="439" t="s">
        <v>418</v>
      </c>
      <c r="E9" s="439" t="s">
        <v>419</v>
      </c>
      <c r="F9" s="439" t="s">
        <v>420</v>
      </c>
      <c r="G9" s="439" t="s">
        <v>421</v>
      </c>
      <c r="H9" s="440" t="s">
        <v>422</v>
      </c>
      <c r="L9" s="443"/>
    </row>
    <row r="10" spans="2:19" ht="82.8">
      <c r="B10" s="444">
        <v>0</v>
      </c>
      <c r="C10" s="445" t="s">
        <v>397</v>
      </c>
      <c r="D10" s="446" t="s">
        <v>423</v>
      </c>
      <c r="E10" s="446" t="s">
        <v>424</v>
      </c>
      <c r="F10" s="446" t="s">
        <v>425</v>
      </c>
      <c r="G10" s="446" t="s">
        <v>426</v>
      </c>
      <c r="H10" s="447" t="s">
        <v>427</v>
      </c>
    </row>
    <row r="14" spans="2:19" ht="15" customHeight="1">
      <c r="C14" s="949" t="str">
        <f>'BDO Prequal'!B73</f>
        <v>Owner/Guarantor 1</v>
      </c>
      <c r="D14" s="950"/>
      <c r="E14" s="949" t="str">
        <f>'BDO Prequal'!B74</f>
        <v>Owner/Guarantor 2</v>
      </c>
      <c r="F14" s="950"/>
      <c r="G14" s="949" t="str">
        <f>'BDO Prequal'!B75</f>
        <v>Owner/Guarantor 3</v>
      </c>
      <c r="H14" s="950"/>
    </row>
    <row r="15" spans="2:19" ht="14.4">
      <c r="C15" s="448" t="s">
        <v>428</v>
      </c>
      <c r="D15" s="449">
        <f>'BDO Prequal'!C632</f>
        <v>0</v>
      </c>
      <c r="E15" s="448" t="s">
        <v>428</v>
      </c>
      <c r="F15" s="449">
        <f>'BDO Prequal'!E632</f>
        <v>0</v>
      </c>
      <c r="G15" s="448" t="s">
        <v>428</v>
      </c>
      <c r="H15" s="449">
        <f>'BDO Prequal'!G632</f>
        <v>0</v>
      </c>
    </row>
    <row r="16" spans="2:19" ht="14.4">
      <c r="C16" s="448" t="s">
        <v>429</v>
      </c>
      <c r="D16" s="450">
        <v>0</v>
      </c>
      <c r="E16" s="448" t="s">
        <v>429</v>
      </c>
      <c r="F16" s="450">
        <v>0</v>
      </c>
      <c r="G16" s="448" t="s">
        <v>429</v>
      </c>
      <c r="H16" s="450">
        <v>0</v>
      </c>
    </row>
    <row r="17" spans="3:8" ht="14.4">
      <c r="C17" s="448" t="s">
        <v>430</v>
      </c>
      <c r="D17" s="451">
        <f>D16*4.5</f>
        <v>0</v>
      </c>
      <c r="E17" s="448" t="s">
        <v>430</v>
      </c>
      <c r="F17" s="451">
        <f>F16*4.5</f>
        <v>0</v>
      </c>
      <c r="G17" s="448" t="s">
        <v>430</v>
      </c>
      <c r="H17" s="451">
        <f>H16*4.5</f>
        <v>0</v>
      </c>
    </row>
    <row r="18" spans="3:8" ht="14.4">
      <c r="C18" s="448" t="s">
        <v>431</v>
      </c>
      <c r="D18" s="451">
        <f>D16*4.999</f>
        <v>0</v>
      </c>
      <c r="E18" s="448" t="s">
        <v>431</v>
      </c>
      <c r="F18" s="451">
        <f>F16*4.999</f>
        <v>0</v>
      </c>
      <c r="G18" s="448" t="s">
        <v>431</v>
      </c>
      <c r="H18" s="451">
        <f>H16*4.999</f>
        <v>0</v>
      </c>
    </row>
    <row r="19" spans="3:8" ht="14.4">
      <c r="C19" s="448" t="s">
        <v>432</v>
      </c>
      <c r="D19" s="451">
        <f>D16*5.499</f>
        <v>0</v>
      </c>
      <c r="E19" s="448" t="s">
        <v>432</v>
      </c>
      <c r="F19" s="451">
        <f>F16*5.499</f>
        <v>0</v>
      </c>
      <c r="G19" s="448" t="s">
        <v>432</v>
      </c>
      <c r="H19" s="451">
        <f>H16*5.499</f>
        <v>0</v>
      </c>
    </row>
    <row r="20" spans="3:8" ht="14.4">
      <c r="C20" s="452" t="s">
        <v>433</v>
      </c>
      <c r="D20" s="453">
        <f>D16*6</f>
        <v>0</v>
      </c>
      <c r="E20" s="452" t="s">
        <v>433</v>
      </c>
      <c r="F20" s="453">
        <f>F16*6</f>
        <v>0</v>
      </c>
      <c r="G20" s="452" t="s">
        <v>433</v>
      </c>
      <c r="H20" s="453">
        <f>H16*6</f>
        <v>0</v>
      </c>
    </row>
    <row r="21" spans="3:8" ht="14.4">
      <c r="C21" s="949" t="str">
        <f>'BDO Prequal'!B76</f>
        <v>Owner/Guarantor 4</v>
      </c>
      <c r="D21" s="950"/>
      <c r="E21" s="949"/>
      <c r="F21" s="950"/>
      <c r="G21" s="949"/>
      <c r="H21" s="950"/>
    </row>
    <row r="22" spans="3:8" ht="14.4">
      <c r="C22" s="448" t="s">
        <v>428</v>
      </c>
      <c r="D22" s="449">
        <f>'BDO Prequal'!I632</f>
        <v>0</v>
      </c>
      <c r="E22" s="448" t="s">
        <v>428</v>
      </c>
      <c r="F22" s="449">
        <v>0</v>
      </c>
      <c r="G22" s="448" t="s">
        <v>428</v>
      </c>
      <c r="H22" s="449">
        <v>0</v>
      </c>
    </row>
    <row r="23" spans="3:8" ht="14.4">
      <c r="C23" s="448" t="s">
        <v>429</v>
      </c>
      <c r="D23" s="450">
        <v>0</v>
      </c>
      <c r="E23" s="448" t="s">
        <v>429</v>
      </c>
      <c r="F23" s="450">
        <v>0</v>
      </c>
      <c r="G23" s="448" t="s">
        <v>429</v>
      </c>
      <c r="H23" s="450">
        <v>0</v>
      </c>
    </row>
    <row r="24" spans="3:8" ht="14.4">
      <c r="C24" s="448" t="s">
        <v>430</v>
      </c>
      <c r="D24" s="451">
        <f>D23*4.5</f>
        <v>0</v>
      </c>
      <c r="E24" s="448" t="s">
        <v>430</v>
      </c>
      <c r="F24" s="451">
        <f>F23*4.5</f>
        <v>0</v>
      </c>
      <c r="G24" s="448" t="s">
        <v>430</v>
      </c>
      <c r="H24" s="451">
        <f>H23*4.5</f>
        <v>0</v>
      </c>
    </row>
    <row r="25" spans="3:8" ht="14.4">
      <c r="C25" s="448" t="s">
        <v>431</v>
      </c>
      <c r="D25" s="451">
        <f>D23*4.999</f>
        <v>0</v>
      </c>
      <c r="E25" s="448" t="s">
        <v>431</v>
      </c>
      <c r="F25" s="451">
        <f>F23*4.999</f>
        <v>0</v>
      </c>
      <c r="G25" s="448" t="s">
        <v>431</v>
      </c>
      <c r="H25" s="451">
        <f>H23*4.999</f>
        <v>0</v>
      </c>
    </row>
    <row r="26" spans="3:8" ht="14.4">
      <c r="C26" s="448" t="s">
        <v>432</v>
      </c>
      <c r="D26" s="451">
        <f>D23*5.499</f>
        <v>0</v>
      </c>
      <c r="E26" s="448" t="s">
        <v>432</v>
      </c>
      <c r="F26" s="451">
        <f>F23*5.499</f>
        <v>0</v>
      </c>
      <c r="G26" s="448" t="s">
        <v>432</v>
      </c>
      <c r="H26" s="451">
        <f>H23*5.499</f>
        <v>0</v>
      </c>
    </row>
    <row r="27" spans="3:8" ht="14.4">
      <c r="C27" s="452" t="s">
        <v>433</v>
      </c>
      <c r="D27" s="453">
        <f>D23*6</f>
        <v>0</v>
      </c>
      <c r="E27" s="452" t="s">
        <v>433</v>
      </c>
      <c r="F27" s="453">
        <f>F23*6</f>
        <v>0</v>
      </c>
      <c r="G27" s="452" t="s">
        <v>433</v>
      </c>
      <c r="H27" s="453">
        <f>H23*6</f>
        <v>0</v>
      </c>
    </row>
  </sheetData>
  <mergeCells count="7">
    <mergeCell ref="B2:H2"/>
    <mergeCell ref="C14:D14"/>
    <mergeCell ref="C21:D21"/>
    <mergeCell ref="E21:F21"/>
    <mergeCell ref="E14:F14"/>
    <mergeCell ref="G14:H14"/>
    <mergeCell ref="G21:H21"/>
  </mergeCells>
  <conditionalFormatting sqref="C15:C20">
    <cfRule type="duplicateValues" dxfId="17" priority="1"/>
  </conditionalFormatting>
  <conditionalFormatting sqref="C22:C27">
    <cfRule type="duplicateValues" dxfId="16" priority="4"/>
  </conditionalFormatting>
  <conditionalFormatting sqref="E15:E20">
    <cfRule type="duplicateValues" dxfId="15" priority="2"/>
  </conditionalFormatting>
  <conditionalFormatting sqref="E22:E27">
    <cfRule type="duplicateValues" dxfId="14" priority="5"/>
  </conditionalFormatting>
  <conditionalFormatting sqref="G15:G20">
    <cfRule type="duplicateValues" dxfId="13" priority="3"/>
  </conditionalFormatting>
  <conditionalFormatting sqref="G22:G27">
    <cfRule type="duplicateValues" dxfId="12"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ZT307"/>
  <sheetViews>
    <sheetView workbookViewId="0"/>
  </sheetViews>
  <sheetFormatPr defaultRowHeight="16.95" customHeight="1"/>
  <cols>
    <col min="1" max="1" width="9.109375" style="182"/>
    <col min="2" max="2" width="25.33203125" style="182"/>
    <col min="3" max="8" width="13.77734375" style="182"/>
    <col min="9" max="9" width="25.33203125" style="182"/>
    <col min="10" max="13" width="13.77734375" style="182"/>
    <col min="14" max="14" width="25.33203125" style="182"/>
    <col min="15" max="19" width="13.77734375" style="182"/>
    <col min="20" max="20" width="25.33203125" style="182"/>
    <col min="21" max="24" width="13.77734375" style="182"/>
    <col min="25" max="2048" width="9.109375" style="182"/>
  </cols>
  <sheetData>
    <row r="3" spans="2:24" ht="14.4">
      <c r="B3" s="954" t="s">
        <v>434</v>
      </c>
      <c r="C3" s="955"/>
      <c r="D3" s="955"/>
      <c r="E3" s="955"/>
      <c r="F3" s="955"/>
      <c r="G3" s="956"/>
      <c r="I3" s="954" t="s">
        <v>434</v>
      </c>
      <c r="J3" s="955"/>
      <c r="K3" s="955"/>
      <c r="L3" s="956"/>
      <c r="N3" s="954" t="s">
        <v>434</v>
      </c>
      <c r="O3" s="955"/>
      <c r="P3" s="955"/>
      <c r="Q3" s="955"/>
      <c r="R3" s="956"/>
      <c r="T3" s="954" t="s">
        <v>434</v>
      </c>
      <c r="U3" s="955"/>
      <c r="V3" s="955"/>
      <c r="W3" s="955"/>
      <c r="X3" s="956"/>
    </row>
    <row r="4" spans="2:24" ht="14.4">
      <c r="B4" s="951"/>
      <c r="C4" s="952"/>
      <c r="D4" s="952"/>
      <c r="E4" s="952"/>
      <c r="F4" s="952"/>
      <c r="G4" s="953"/>
      <c r="I4" s="951"/>
      <c r="J4" s="952"/>
      <c r="K4" s="952"/>
      <c r="L4" s="953"/>
      <c r="N4" s="951"/>
      <c r="O4" s="952"/>
      <c r="P4" s="952"/>
      <c r="Q4" s="952"/>
      <c r="R4" s="953"/>
      <c r="T4" s="957"/>
      <c r="U4" s="958"/>
      <c r="V4" s="958"/>
      <c r="W4" s="958"/>
      <c r="X4" s="959"/>
    </row>
    <row r="5" spans="2:24" ht="14.4">
      <c r="B5" s="454"/>
      <c r="C5" s="455" t="str">
        <f>'BDO Prequal'!C47</f>
        <v>P&amp;E</v>
      </c>
      <c r="D5" s="456" t="str">
        <f>'BDO Prequal'!H47</f>
        <v>Equity</v>
      </c>
      <c r="E5" s="455" t="str">
        <f>'BDO Prequal'!I47</f>
        <v>Seller Note</v>
      </c>
      <c r="F5" s="456" t="str">
        <f>'BDO Prequal'!J47</f>
        <v>3rd Party</v>
      </c>
      <c r="G5" s="457" t="str">
        <f>'BDO Prequal'!K47</f>
        <v>Total</v>
      </c>
      <c r="I5" s="454"/>
      <c r="J5" s="455" t="str">
        <f t="shared" ref="J5:J23" si="0">C5</f>
        <v>P&amp;E</v>
      </c>
      <c r="K5" s="456" t="str">
        <f t="shared" ref="K5:K23" si="1">D5</f>
        <v>Equity</v>
      </c>
      <c r="L5" s="457" t="str">
        <f t="shared" ref="L5:L23" si="2">G5</f>
        <v>Total</v>
      </c>
      <c r="N5" s="454"/>
      <c r="O5" s="455" t="str">
        <f t="shared" ref="O5:O23" si="3">C5</f>
        <v>P&amp;E</v>
      </c>
      <c r="P5" s="456" t="str">
        <f t="shared" ref="P5:P23" si="4">D5</f>
        <v>Equity</v>
      </c>
      <c r="Q5" s="455" t="str">
        <f t="shared" ref="Q5:Q23" si="5">E5</f>
        <v>Seller Note</v>
      </c>
      <c r="R5" s="457" t="str">
        <f t="shared" ref="R5:R23" si="6">G5</f>
        <v>Total</v>
      </c>
      <c r="T5" s="454"/>
      <c r="U5" s="455" t="str">
        <f t="shared" ref="U5:U23" si="7">C5</f>
        <v>P&amp;E</v>
      </c>
      <c r="V5" s="456" t="str">
        <f t="shared" ref="V5:V23" si="8">D5</f>
        <v>Equity</v>
      </c>
      <c r="W5" s="456" t="str">
        <f t="shared" ref="W5:W23" si="9">F5</f>
        <v>3rd Party</v>
      </c>
      <c r="X5" s="457" t="str">
        <f t="shared" ref="X5:X23" si="10">G5</f>
        <v>Total</v>
      </c>
    </row>
    <row r="6" spans="2:24" ht="14.4">
      <c r="B6" s="458" t="str">
        <f>'BDO Prequal'!B49</f>
        <v>Real Estate Acquisition</v>
      </c>
      <c r="C6" s="459">
        <f>'BDO Prequal'!C49</f>
        <v>896000</v>
      </c>
      <c r="D6" s="459">
        <f>'BDO Prequal'!H49</f>
        <v>8000</v>
      </c>
      <c r="E6" s="459">
        <f>'BDO Prequal'!I49</f>
        <v>80000</v>
      </c>
      <c r="F6" s="459">
        <f>'BDO Prequal'!J49</f>
        <v>16000</v>
      </c>
      <c r="G6" s="460">
        <f>'BDO Prequal'!K49</f>
        <v>1000000</v>
      </c>
      <c r="I6" s="458" t="str">
        <f t="shared" ref="I6:I23" si="11">B6</f>
        <v>Real Estate Acquisition</v>
      </c>
      <c r="J6" s="459">
        <f t="shared" si="0"/>
        <v>896000</v>
      </c>
      <c r="K6" s="459">
        <f t="shared" si="1"/>
        <v>8000</v>
      </c>
      <c r="L6" s="460">
        <f t="shared" si="2"/>
        <v>1000000</v>
      </c>
      <c r="N6" s="458" t="str">
        <f t="shared" ref="N6:N23" si="12">B6</f>
        <v>Real Estate Acquisition</v>
      </c>
      <c r="O6" s="459">
        <f t="shared" si="3"/>
        <v>896000</v>
      </c>
      <c r="P6" s="459">
        <f t="shared" si="4"/>
        <v>8000</v>
      </c>
      <c r="Q6" s="459">
        <f t="shared" si="5"/>
        <v>80000</v>
      </c>
      <c r="R6" s="460">
        <f t="shared" si="6"/>
        <v>1000000</v>
      </c>
      <c r="T6" s="458" t="str">
        <f t="shared" ref="T6:T23" si="13">B6</f>
        <v>Real Estate Acquisition</v>
      </c>
      <c r="U6" s="459">
        <f t="shared" si="7"/>
        <v>896000</v>
      </c>
      <c r="V6" s="459">
        <f t="shared" si="8"/>
        <v>8000</v>
      </c>
      <c r="W6" s="459">
        <f t="shared" si="9"/>
        <v>16000</v>
      </c>
      <c r="X6" s="460">
        <f t="shared" si="10"/>
        <v>1000000</v>
      </c>
    </row>
    <row r="7" spans="2:24" ht="14.4">
      <c r="B7" s="458" t="str">
        <f>'BDO Prequal'!B50</f>
        <v>Debt Refi - CRE</v>
      </c>
      <c r="C7" s="459">
        <f>'BDO Prequal'!C50</f>
        <v>5387</v>
      </c>
      <c r="D7" s="459">
        <f>'BDO Prequal'!H50</f>
        <v>10</v>
      </c>
      <c r="E7" s="459">
        <f>'BDO Prequal'!I50</f>
        <v>1</v>
      </c>
      <c r="F7" s="459">
        <f>'BDO Prequal'!J50</f>
        <v>2</v>
      </c>
      <c r="G7" s="460">
        <f>'BDO Prequal'!K50</f>
        <v>5400</v>
      </c>
      <c r="I7" s="458" t="str">
        <f t="shared" si="11"/>
        <v>Debt Refi - CRE</v>
      </c>
      <c r="J7" s="459">
        <f t="shared" si="0"/>
        <v>5387</v>
      </c>
      <c r="K7" s="459">
        <f t="shared" si="1"/>
        <v>10</v>
      </c>
      <c r="L7" s="460">
        <f t="shared" si="2"/>
        <v>5400</v>
      </c>
      <c r="N7" s="458" t="str">
        <f t="shared" si="12"/>
        <v>Debt Refi - CRE</v>
      </c>
      <c r="O7" s="459">
        <f t="shared" si="3"/>
        <v>5387</v>
      </c>
      <c r="P7" s="459">
        <f t="shared" si="4"/>
        <v>10</v>
      </c>
      <c r="Q7" s="459">
        <f t="shared" si="5"/>
        <v>1</v>
      </c>
      <c r="R7" s="460">
        <f t="shared" si="6"/>
        <v>5400</v>
      </c>
      <c r="T7" s="458" t="str">
        <f t="shared" si="13"/>
        <v>Debt Refi - CRE</v>
      </c>
      <c r="U7" s="459">
        <f t="shared" si="7"/>
        <v>5387</v>
      </c>
      <c r="V7" s="459">
        <f t="shared" si="8"/>
        <v>10</v>
      </c>
      <c r="W7" s="459">
        <f t="shared" si="9"/>
        <v>2</v>
      </c>
      <c r="X7" s="460">
        <f t="shared" si="10"/>
        <v>5400</v>
      </c>
    </row>
    <row r="8" spans="2:24" ht="14.4">
      <c r="B8" s="458" t="str">
        <f>'BDO Prequal'!B51</f>
        <v>Debt Refi - Non-CRE</v>
      </c>
      <c r="C8" s="459">
        <f>'BDO Prequal'!C51</f>
        <v>55987</v>
      </c>
      <c r="D8" s="459">
        <f>'BDO Prequal'!H51</f>
        <v>10</v>
      </c>
      <c r="E8" s="459">
        <f>'BDO Prequal'!I51</f>
        <v>1</v>
      </c>
      <c r="F8" s="459">
        <f>'BDO Prequal'!J51</f>
        <v>2</v>
      </c>
      <c r="G8" s="460">
        <f>'BDO Prequal'!K51</f>
        <v>56000</v>
      </c>
      <c r="I8" s="458" t="str">
        <f t="shared" si="11"/>
        <v>Debt Refi - Non-CRE</v>
      </c>
      <c r="J8" s="459">
        <f t="shared" si="0"/>
        <v>55987</v>
      </c>
      <c r="K8" s="459">
        <f t="shared" si="1"/>
        <v>10</v>
      </c>
      <c r="L8" s="460">
        <f t="shared" si="2"/>
        <v>56000</v>
      </c>
      <c r="N8" s="458" t="str">
        <f t="shared" si="12"/>
        <v>Debt Refi - Non-CRE</v>
      </c>
      <c r="O8" s="459">
        <f t="shared" si="3"/>
        <v>55987</v>
      </c>
      <c r="P8" s="459">
        <f t="shared" si="4"/>
        <v>10</v>
      </c>
      <c r="Q8" s="459">
        <f t="shared" si="5"/>
        <v>1</v>
      </c>
      <c r="R8" s="460">
        <f t="shared" si="6"/>
        <v>56000</v>
      </c>
      <c r="T8" s="458" t="str">
        <f t="shared" si="13"/>
        <v>Debt Refi - Non-CRE</v>
      </c>
      <c r="U8" s="459">
        <f t="shared" si="7"/>
        <v>55987</v>
      </c>
      <c r="V8" s="459">
        <f t="shared" si="8"/>
        <v>10</v>
      </c>
      <c r="W8" s="459">
        <f t="shared" si="9"/>
        <v>2</v>
      </c>
      <c r="X8" s="460">
        <f t="shared" si="10"/>
        <v>56000</v>
      </c>
    </row>
    <row r="9" spans="2:24" ht="14.4">
      <c r="B9" s="458" t="str">
        <f>'BDO Prequal'!B52</f>
        <v>Machinery &amp; Equipment</v>
      </c>
      <c r="C9" s="459">
        <f>'BDO Prequal'!C52</f>
        <v>4499</v>
      </c>
      <c r="D9" s="459">
        <f>'BDO Prequal'!H52</f>
        <v>10</v>
      </c>
      <c r="E9" s="459">
        <f>'BDO Prequal'!I52</f>
        <v>1</v>
      </c>
      <c r="F9" s="459">
        <f>'BDO Prequal'!J52</f>
        <v>2</v>
      </c>
      <c r="G9" s="460">
        <f>'BDO Prequal'!K52</f>
        <v>4512</v>
      </c>
      <c r="I9" s="458" t="str">
        <f t="shared" si="11"/>
        <v>Machinery &amp; Equipment</v>
      </c>
      <c r="J9" s="459">
        <f t="shared" si="0"/>
        <v>4499</v>
      </c>
      <c r="K9" s="459">
        <f t="shared" si="1"/>
        <v>10</v>
      </c>
      <c r="L9" s="460">
        <f t="shared" si="2"/>
        <v>4512</v>
      </c>
      <c r="N9" s="458" t="str">
        <f t="shared" si="12"/>
        <v>Machinery &amp; Equipment</v>
      </c>
      <c r="O9" s="459">
        <f t="shared" si="3"/>
        <v>4499</v>
      </c>
      <c r="P9" s="459">
        <f t="shared" si="4"/>
        <v>10</v>
      </c>
      <c r="Q9" s="459">
        <f t="shared" si="5"/>
        <v>1</v>
      </c>
      <c r="R9" s="460">
        <f t="shared" si="6"/>
        <v>4512</v>
      </c>
      <c r="T9" s="458" t="str">
        <f t="shared" si="13"/>
        <v>Machinery &amp; Equipment</v>
      </c>
      <c r="U9" s="459">
        <f t="shared" si="7"/>
        <v>4499</v>
      </c>
      <c r="V9" s="459">
        <f t="shared" si="8"/>
        <v>10</v>
      </c>
      <c r="W9" s="459">
        <f t="shared" si="9"/>
        <v>2</v>
      </c>
      <c r="X9" s="460">
        <f t="shared" si="10"/>
        <v>4512</v>
      </c>
    </row>
    <row r="10" spans="2:24" ht="14.4">
      <c r="B10" s="458" t="str">
        <f>'BDO Prequal'!B53</f>
        <v>Furniture &amp; Fixtures (TIs)</v>
      </c>
      <c r="C10" s="459">
        <f>'BDO Prequal'!C53</f>
        <v>2499</v>
      </c>
      <c r="D10" s="459">
        <f>'BDO Prequal'!H53</f>
        <v>10</v>
      </c>
      <c r="E10" s="459">
        <f>'BDO Prequal'!I53</f>
        <v>1</v>
      </c>
      <c r="F10" s="459">
        <f>'BDO Prequal'!J53</f>
        <v>2</v>
      </c>
      <c r="G10" s="460">
        <f>'BDO Prequal'!K53</f>
        <v>2512</v>
      </c>
      <c r="I10" s="458" t="str">
        <f t="shared" si="11"/>
        <v>Furniture &amp; Fixtures (TIs)</v>
      </c>
      <c r="J10" s="459">
        <f t="shared" si="0"/>
        <v>2499</v>
      </c>
      <c r="K10" s="459">
        <f t="shared" si="1"/>
        <v>10</v>
      </c>
      <c r="L10" s="460">
        <f t="shared" si="2"/>
        <v>2512</v>
      </c>
      <c r="N10" s="458" t="str">
        <f t="shared" si="12"/>
        <v>Furniture &amp; Fixtures (TIs)</v>
      </c>
      <c r="O10" s="459">
        <f t="shared" si="3"/>
        <v>2499</v>
      </c>
      <c r="P10" s="459">
        <f t="shared" si="4"/>
        <v>10</v>
      </c>
      <c r="Q10" s="459">
        <f t="shared" si="5"/>
        <v>1</v>
      </c>
      <c r="R10" s="460">
        <f t="shared" si="6"/>
        <v>2512</v>
      </c>
      <c r="T10" s="458" t="str">
        <f t="shared" si="13"/>
        <v>Furniture &amp; Fixtures (TIs)</v>
      </c>
      <c r="U10" s="459">
        <f t="shared" si="7"/>
        <v>2499</v>
      </c>
      <c r="V10" s="459">
        <f t="shared" si="8"/>
        <v>10</v>
      </c>
      <c r="W10" s="459">
        <f t="shared" si="9"/>
        <v>2</v>
      </c>
      <c r="X10" s="460">
        <f t="shared" si="10"/>
        <v>2512</v>
      </c>
    </row>
    <row r="11" spans="2:24" ht="14.4">
      <c r="B11" s="458" t="str">
        <f>'BDO Prequal'!B54</f>
        <v>Inventory</v>
      </c>
      <c r="C11" s="459">
        <f>'BDO Prequal'!C54</f>
        <v>4202</v>
      </c>
      <c r="D11" s="459">
        <f>'BDO Prequal'!H54</f>
        <v>10</v>
      </c>
      <c r="E11" s="459">
        <f>'BDO Prequal'!I54</f>
        <v>1</v>
      </c>
      <c r="F11" s="459">
        <f>'BDO Prequal'!J54</f>
        <v>2</v>
      </c>
      <c r="G11" s="460">
        <f>'BDO Prequal'!K54</f>
        <v>4215</v>
      </c>
      <c r="I11" s="458" t="str">
        <f t="shared" si="11"/>
        <v>Inventory</v>
      </c>
      <c r="J11" s="459">
        <f t="shared" si="0"/>
        <v>4202</v>
      </c>
      <c r="K11" s="459">
        <f t="shared" si="1"/>
        <v>10</v>
      </c>
      <c r="L11" s="460">
        <f t="shared" si="2"/>
        <v>4215</v>
      </c>
      <c r="N11" s="458" t="str">
        <f t="shared" si="12"/>
        <v>Inventory</v>
      </c>
      <c r="O11" s="459">
        <f t="shared" si="3"/>
        <v>4202</v>
      </c>
      <c r="P11" s="459">
        <f t="shared" si="4"/>
        <v>10</v>
      </c>
      <c r="Q11" s="459">
        <f t="shared" si="5"/>
        <v>1</v>
      </c>
      <c r="R11" s="460">
        <f t="shared" si="6"/>
        <v>4215</v>
      </c>
      <c r="T11" s="458" t="str">
        <f t="shared" si="13"/>
        <v>Inventory</v>
      </c>
      <c r="U11" s="459">
        <f t="shared" si="7"/>
        <v>4202</v>
      </c>
      <c r="V11" s="459">
        <f t="shared" si="8"/>
        <v>10</v>
      </c>
      <c r="W11" s="459">
        <f t="shared" si="9"/>
        <v>2</v>
      </c>
      <c r="X11" s="460">
        <f t="shared" si="10"/>
        <v>4215</v>
      </c>
    </row>
    <row r="12" spans="2:24" ht="14.4">
      <c r="B12" s="458" t="str">
        <f>'BDO Prequal'!B55</f>
        <v>Working Capital</v>
      </c>
      <c r="C12" s="459">
        <f>'BDO Prequal'!C55</f>
        <v>84348</v>
      </c>
      <c r="D12" s="459">
        <f>'BDO Prequal'!H55</f>
        <v>10</v>
      </c>
      <c r="E12" s="459">
        <f>'BDO Prequal'!I55</f>
        <v>1</v>
      </c>
      <c r="F12" s="459">
        <f>'BDO Prequal'!J55</f>
        <v>2</v>
      </c>
      <c r="G12" s="460">
        <f>'BDO Prequal'!K55</f>
        <v>84361</v>
      </c>
      <c r="I12" s="458" t="str">
        <f t="shared" si="11"/>
        <v>Working Capital</v>
      </c>
      <c r="J12" s="459">
        <f t="shared" si="0"/>
        <v>84348</v>
      </c>
      <c r="K12" s="459">
        <f t="shared" si="1"/>
        <v>10</v>
      </c>
      <c r="L12" s="460">
        <f t="shared" si="2"/>
        <v>84361</v>
      </c>
      <c r="N12" s="458" t="str">
        <f t="shared" si="12"/>
        <v>Working Capital</v>
      </c>
      <c r="O12" s="459">
        <f t="shared" si="3"/>
        <v>84348</v>
      </c>
      <c r="P12" s="459">
        <f t="shared" si="4"/>
        <v>10</v>
      </c>
      <c r="Q12" s="459">
        <f t="shared" si="5"/>
        <v>1</v>
      </c>
      <c r="R12" s="460">
        <f t="shared" si="6"/>
        <v>84361</v>
      </c>
      <c r="T12" s="458" t="str">
        <f t="shared" si="13"/>
        <v>Working Capital</v>
      </c>
      <c r="U12" s="459">
        <f t="shared" si="7"/>
        <v>84348</v>
      </c>
      <c r="V12" s="459">
        <f t="shared" si="8"/>
        <v>10</v>
      </c>
      <c r="W12" s="459">
        <f t="shared" si="9"/>
        <v>2</v>
      </c>
      <c r="X12" s="460">
        <f t="shared" si="10"/>
        <v>84361</v>
      </c>
    </row>
    <row r="13" spans="2:24" ht="14.4">
      <c r="B13" s="458" t="str">
        <f>'BDO Prequal'!B56</f>
        <v>Working Capital - Pre Opening</v>
      </c>
      <c r="C13" s="459">
        <f>'BDO Prequal'!C56</f>
        <v>58397</v>
      </c>
      <c r="D13" s="459">
        <f>'BDO Prequal'!H56</f>
        <v>10</v>
      </c>
      <c r="E13" s="459">
        <f>'BDO Prequal'!I56</f>
        <v>1</v>
      </c>
      <c r="F13" s="459">
        <f>'BDO Prequal'!J56</f>
        <v>2</v>
      </c>
      <c r="G13" s="460">
        <f>'BDO Prequal'!K56</f>
        <v>58410</v>
      </c>
      <c r="I13" s="458" t="str">
        <f t="shared" si="11"/>
        <v>Working Capital - Pre Opening</v>
      </c>
      <c r="J13" s="459">
        <f t="shared" si="0"/>
        <v>58397</v>
      </c>
      <c r="K13" s="459">
        <f t="shared" si="1"/>
        <v>10</v>
      </c>
      <c r="L13" s="460">
        <f t="shared" si="2"/>
        <v>58410</v>
      </c>
      <c r="N13" s="458" t="str">
        <f t="shared" si="12"/>
        <v>Working Capital - Pre Opening</v>
      </c>
      <c r="O13" s="459">
        <f t="shared" si="3"/>
        <v>58397</v>
      </c>
      <c r="P13" s="459">
        <f t="shared" si="4"/>
        <v>10</v>
      </c>
      <c r="Q13" s="459">
        <f t="shared" si="5"/>
        <v>1</v>
      </c>
      <c r="R13" s="460">
        <f t="shared" si="6"/>
        <v>58410</v>
      </c>
      <c r="T13" s="458" t="str">
        <f t="shared" si="13"/>
        <v>Working Capital - Pre Opening</v>
      </c>
      <c r="U13" s="459">
        <f t="shared" si="7"/>
        <v>58397</v>
      </c>
      <c r="V13" s="459">
        <f t="shared" si="8"/>
        <v>10</v>
      </c>
      <c r="W13" s="459">
        <f t="shared" si="9"/>
        <v>2</v>
      </c>
      <c r="X13" s="460">
        <f t="shared" si="10"/>
        <v>58410</v>
      </c>
    </row>
    <row r="14" spans="2:24" ht="14.4">
      <c r="B14" s="458" t="str">
        <f>'BDO Prequal'!B57</f>
        <v>Business Acquisition</v>
      </c>
      <c r="C14" s="459">
        <f>'BDO Prequal'!C57</f>
        <v>2919</v>
      </c>
      <c r="D14" s="459">
        <f>'BDO Prequal'!H57</f>
        <v>10</v>
      </c>
      <c r="E14" s="459">
        <f>'BDO Prequal'!I57</f>
        <v>1</v>
      </c>
      <c r="F14" s="459">
        <f>'BDO Prequal'!J57</f>
        <v>2</v>
      </c>
      <c r="G14" s="460">
        <f>'BDO Prequal'!K57</f>
        <v>2932</v>
      </c>
      <c r="I14" s="458" t="str">
        <f t="shared" si="11"/>
        <v>Business Acquisition</v>
      </c>
      <c r="J14" s="459">
        <f t="shared" si="0"/>
        <v>2919</v>
      </c>
      <c r="K14" s="459">
        <f t="shared" si="1"/>
        <v>10</v>
      </c>
      <c r="L14" s="460">
        <f t="shared" si="2"/>
        <v>2932</v>
      </c>
      <c r="N14" s="458" t="str">
        <f t="shared" si="12"/>
        <v>Business Acquisition</v>
      </c>
      <c r="O14" s="459">
        <f t="shared" si="3"/>
        <v>2919</v>
      </c>
      <c r="P14" s="459">
        <f t="shared" si="4"/>
        <v>10</v>
      </c>
      <c r="Q14" s="459">
        <f t="shared" si="5"/>
        <v>1</v>
      </c>
      <c r="R14" s="460">
        <f t="shared" si="6"/>
        <v>2932</v>
      </c>
      <c r="T14" s="458" t="str">
        <f t="shared" si="13"/>
        <v>Business Acquisition</v>
      </c>
      <c r="U14" s="459">
        <f t="shared" si="7"/>
        <v>2919</v>
      </c>
      <c r="V14" s="459">
        <f t="shared" si="8"/>
        <v>10</v>
      </c>
      <c r="W14" s="459">
        <f t="shared" si="9"/>
        <v>2</v>
      </c>
      <c r="X14" s="460">
        <f t="shared" si="10"/>
        <v>2932</v>
      </c>
    </row>
    <row r="15" spans="2:24" ht="14.4">
      <c r="B15" s="458" t="str">
        <f>'BDO Prequal'!B58</f>
        <v>Franchise Fees</v>
      </c>
      <c r="C15" s="459">
        <f>'BDO Prequal'!C58</f>
        <v>3593</v>
      </c>
      <c r="D15" s="459">
        <f>'BDO Prequal'!H58</f>
        <v>10</v>
      </c>
      <c r="E15" s="459">
        <f>'BDO Prequal'!I58</f>
        <v>1</v>
      </c>
      <c r="F15" s="459">
        <f>'BDO Prequal'!J58</f>
        <v>2</v>
      </c>
      <c r="G15" s="460">
        <f>'BDO Prequal'!K58</f>
        <v>3606</v>
      </c>
      <c r="I15" s="458" t="str">
        <f t="shared" si="11"/>
        <v>Franchise Fees</v>
      </c>
      <c r="J15" s="459">
        <f t="shared" si="0"/>
        <v>3593</v>
      </c>
      <c r="K15" s="459">
        <f t="shared" si="1"/>
        <v>10</v>
      </c>
      <c r="L15" s="460">
        <f t="shared" si="2"/>
        <v>3606</v>
      </c>
      <c r="N15" s="458" t="str">
        <f t="shared" si="12"/>
        <v>Franchise Fees</v>
      </c>
      <c r="O15" s="459">
        <f t="shared" si="3"/>
        <v>3593</v>
      </c>
      <c r="P15" s="459">
        <f t="shared" si="4"/>
        <v>10</v>
      </c>
      <c r="Q15" s="459">
        <f t="shared" si="5"/>
        <v>1</v>
      </c>
      <c r="R15" s="460">
        <f t="shared" si="6"/>
        <v>3606</v>
      </c>
      <c r="T15" s="458" t="str">
        <f t="shared" si="13"/>
        <v>Franchise Fees</v>
      </c>
      <c r="U15" s="459">
        <f t="shared" si="7"/>
        <v>3593</v>
      </c>
      <c r="V15" s="459">
        <f t="shared" si="8"/>
        <v>10</v>
      </c>
      <c r="W15" s="459">
        <f t="shared" si="9"/>
        <v>2</v>
      </c>
      <c r="X15" s="460">
        <f t="shared" si="10"/>
        <v>3606</v>
      </c>
    </row>
    <row r="16" spans="2:24" ht="14.4">
      <c r="B16" s="458" t="str">
        <f>'BDO Prequal'!B59</f>
        <v>Construction Hard Costs</v>
      </c>
      <c r="C16" s="459">
        <f>'BDO Prequal'!C59</f>
        <v>45097</v>
      </c>
      <c r="D16" s="459">
        <f>'BDO Prequal'!H59</f>
        <v>10</v>
      </c>
      <c r="E16" s="459">
        <f>'BDO Prequal'!I59</f>
        <v>1</v>
      </c>
      <c r="F16" s="459">
        <f>'BDO Prequal'!J59</f>
        <v>2</v>
      </c>
      <c r="G16" s="460">
        <f>'BDO Prequal'!K59</f>
        <v>45110</v>
      </c>
      <c r="I16" s="458" t="str">
        <f t="shared" si="11"/>
        <v>Construction Hard Costs</v>
      </c>
      <c r="J16" s="459">
        <f t="shared" si="0"/>
        <v>45097</v>
      </c>
      <c r="K16" s="459">
        <f t="shared" si="1"/>
        <v>10</v>
      </c>
      <c r="L16" s="460">
        <f t="shared" si="2"/>
        <v>45110</v>
      </c>
      <c r="N16" s="458" t="str">
        <f t="shared" si="12"/>
        <v>Construction Hard Costs</v>
      </c>
      <c r="O16" s="459">
        <f t="shared" si="3"/>
        <v>45097</v>
      </c>
      <c r="P16" s="459">
        <f t="shared" si="4"/>
        <v>10</v>
      </c>
      <c r="Q16" s="459">
        <f t="shared" si="5"/>
        <v>1</v>
      </c>
      <c r="R16" s="460">
        <f t="shared" si="6"/>
        <v>45110</v>
      </c>
      <c r="T16" s="458" t="str">
        <f t="shared" si="13"/>
        <v>Construction Hard Costs</v>
      </c>
      <c r="U16" s="459">
        <f t="shared" si="7"/>
        <v>45097</v>
      </c>
      <c r="V16" s="459">
        <f t="shared" si="8"/>
        <v>10</v>
      </c>
      <c r="W16" s="459">
        <f t="shared" si="9"/>
        <v>2</v>
      </c>
      <c r="X16" s="460">
        <f t="shared" si="10"/>
        <v>45110</v>
      </c>
    </row>
    <row r="17" spans="2:24" ht="14.4">
      <c r="B17" s="458" t="str">
        <f>'BDO Prequal'!B60</f>
        <v>Interim Interest Reserve</v>
      </c>
      <c r="C17" s="459">
        <f>'BDO Prequal'!C60</f>
        <v>8000</v>
      </c>
      <c r="D17" s="459">
        <f>'BDO Prequal'!H60</f>
        <v>373817</v>
      </c>
      <c r="E17" s="459">
        <f>'BDO Prequal'!I60</f>
        <v>8000</v>
      </c>
      <c r="F17" s="459">
        <f>'BDO Prequal'!J60</f>
        <v>800</v>
      </c>
      <c r="G17" s="460">
        <f>'BDO Prequal'!K60</f>
        <v>381817</v>
      </c>
      <c r="I17" s="458" t="str">
        <f t="shared" si="11"/>
        <v>Interim Interest Reserve</v>
      </c>
      <c r="J17" s="459">
        <f t="shared" si="0"/>
        <v>8000</v>
      </c>
      <c r="K17" s="459">
        <f t="shared" si="1"/>
        <v>373817</v>
      </c>
      <c r="L17" s="460">
        <f t="shared" si="2"/>
        <v>381817</v>
      </c>
      <c r="N17" s="458" t="str">
        <f t="shared" si="12"/>
        <v>Interim Interest Reserve</v>
      </c>
      <c r="O17" s="459">
        <f t="shared" si="3"/>
        <v>8000</v>
      </c>
      <c r="P17" s="459">
        <f t="shared" si="4"/>
        <v>373817</v>
      </c>
      <c r="Q17" s="459">
        <f t="shared" si="5"/>
        <v>8000</v>
      </c>
      <c r="R17" s="460">
        <f t="shared" si="6"/>
        <v>381817</v>
      </c>
      <c r="T17" s="458" t="str">
        <f t="shared" si="13"/>
        <v>Interim Interest Reserve</v>
      </c>
      <c r="U17" s="459">
        <f t="shared" si="7"/>
        <v>8000</v>
      </c>
      <c r="V17" s="459">
        <f t="shared" si="8"/>
        <v>373817</v>
      </c>
      <c r="W17" s="459">
        <f t="shared" si="9"/>
        <v>800</v>
      </c>
      <c r="X17" s="460">
        <f t="shared" si="10"/>
        <v>381817</v>
      </c>
    </row>
    <row r="18" spans="2:24" ht="14.4">
      <c r="B18" s="458" t="str">
        <f>'BDO Prequal'!B61</f>
        <v>Construction Contingency</v>
      </c>
      <c r="C18" s="459">
        <f>'BDO Prequal'!C61</f>
        <v>-115579</v>
      </c>
      <c r="D18" s="459">
        <f>'BDO Prequal'!H61</f>
        <v>60000</v>
      </c>
      <c r="E18" s="459">
        <f>'BDO Prequal'!I61</f>
        <v>51210</v>
      </c>
      <c r="F18" s="459">
        <f>'BDO Prequal'!J61</f>
        <v>8880</v>
      </c>
      <c r="G18" s="460">
        <f>'BDO Prequal'!K61</f>
        <v>4511</v>
      </c>
      <c r="I18" s="458" t="str">
        <f t="shared" si="11"/>
        <v>Construction Contingency</v>
      </c>
      <c r="J18" s="459">
        <f t="shared" si="0"/>
        <v>-115579</v>
      </c>
      <c r="K18" s="459">
        <f t="shared" si="1"/>
        <v>60000</v>
      </c>
      <c r="L18" s="460">
        <f t="shared" si="2"/>
        <v>4511</v>
      </c>
      <c r="N18" s="458" t="str">
        <f t="shared" si="12"/>
        <v>Construction Contingency</v>
      </c>
      <c r="O18" s="459">
        <f t="shared" si="3"/>
        <v>-115579</v>
      </c>
      <c r="P18" s="459">
        <f t="shared" si="4"/>
        <v>60000</v>
      </c>
      <c r="Q18" s="459">
        <f t="shared" si="5"/>
        <v>51210</v>
      </c>
      <c r="R18" s="460">
        <f t="shared" si="6"/>
        <v>4511</v>
      </c>
      <c r="T18" s="458" t="str">
        <f t="shared" si="13"/>
        <v>Construction Contingency</v>
      </c>
      <c r="U18" s="459">
        <f t="shared" si="7"/>
        <v>-115579</v>
      </c>
      <c r="V18" s="459">
        <f t="shared" si="8"/>
        <v>60000</v>
      </c>
      <c r="W18" s="459">
        <f t="shared" si="9"/>
        <v>8880</v>
      </c>
      <c r="X18" s="460">
        <f t="shared" si="10"/>
        <v>4511</v>
      </c>
    </row>
    <row r="19" spans="2:24" ht="14.4">
      <c r="B19" s="458" t="str">
        <f>'BDO Prequal'!B62</f>
        <v>Other Construction Soft Costs</v>
      </c>
      <c r="C19" s="459">
        <f>'BDO Prequal'!C62</f>
        <v>-1095120</v>
      </c>
      <c r="D19" s="459">
        <f>'BDO Prequal'!H62</f>
        <v>900000</v>
      </c>
      <c r="E19" s="459">
        <f>'BDO Prequal'!I62</f>
        <v>112121</v>
      </c>
      <c r="F19" s="459">
        <f>'BDO Prequal'!J62</f>
        <v>88880</v>
      </c>
      <c r="G19" s="460">
        <f>'BDO Prequal'!K62</f>
        <v>5881</v>
      </c>
      <c r="I19" s="458" t="str">
        <f t="shared" si="11"/>
        <v>Other Construction Soft Costs</v>
      </c>
      <c r="J19" s="459">
        <f t="shared" si="0"/>
        <v>-1095120</v>
      </c>
      <c r="K19" s="459">
        <f t="shared" si="1"/>
        <v>900000</v>
      </c>
      <c r="L19" s="460">
        <f t="shared" si="2"/>
        <v>5881</v>
      </c>
      <c r="N19" s="458" t="str">
        <f t="shared" si="12"/>
        <v>Other Construction Soft Costs</v>
      </c>
      <c r="O19" s="459">
        <f t="shared" si="3"/>
        <v>-1095120</v>
      </c>
      <c r="P19" s="459">
        <f t="shared" si="4"/>
        <v>900000</v>
      </c>
      <c r="Q19" s="459">
        <f t="shared" si="5"/>
        <v>112121</v>
      </c>
      <c r="R19" s="460">
        <f t="shared" si="6"/>
        <v>5881</v>
      </c>
      <c r="T19" s="458" t="str">
        <f t="shared" si="13"/>
        <v>Other Construction Soft Costs</v>
      </c>
      <c r="U19" s="459">
        <f t="shared" si="7"/>
        <v>-1095120</v>
      </c>
      <c r="V19" s="459">
        <f t="shared" si="8"/>
        <v>900000</v>
      </c>
      <c r="W19" s="459">
        <f t="shared" si="9"/>
        <v>88880</v>
      </c>
      <c r="X19" s="460">
        <f t="shared" si="10"/>
        <v>5881</v>
      </c>
    </row>
    <row r="20" spans="2:24" ht="14.4">
      <c r="B20" s="458" t="str">
        <f>'BDO Prequal'!B63</f>
        <v>Closing Costs</v>
      </c>
      <c r="C20" s="459">
        <f>'BDO Prequal'!C63</f>
        <v>-80781</v>
      </c>
      <c r="D20" s="459">
        <f>'BDO Prequal'!H63</f>
        <v>50</v>
      </c>
      <c r="E20" s="459">
        <f>'BDO Prequal'!I63</f>
        <v>5841</v>
      </c>
      <c r="F20" s="459">
        <f>'BDO Prequal'!J63</f>
        <v>99990</v>
      </c>
      <c r="G20" s="460">
        <f>'BDO Prequal'!K63</f>
        <v>25100</v>
      </c>
      <c r="I20" s="458" t="str">
        <f t="shared" si="11"/>
        <v>Closing Costs</v>
      </c>
      <c r="J20" s="459">
        <f t="shared" si="0"/>
        <v>-80781</v>
      </c>
      <c r="K20" s="459">
        <f t="shared" si="1"/>
        <v>50</v>
      </c>
      <c r="L20" s="460">
        <f t="shared" si="2"/>
        <v>25100</v>
      </c>
      <c r="N20" s="458" t="str">
        <f t="shared" si="12"/>
        <v>Closing Costs</v>
      </c>
      <c r="O20" s="459">
        <f t="shared" si="3"/>
        <v>-80781</v>
      </c>
      <c r="P20" s="459">
        <f t="shared" si="4"/>
        <v>50</v>
      </c>
      <c r="Q20" s="459">
        <f t="shared" si="5"/>
        <v>5841</v>
      </c>
      <c r="R20" s="460">
        <f t="shared" si="6"/>
        <v>25100</v>
      </c>
      <c r="T20" s="458" t="str">
        <f t="shared" si="13"/>
        <v>Closing Costs</v>
      </c>
      <c r="U20" s="459">
        <f t="shared" si="7"/>
        <v>-80781</v>
      </c>
      <c r="V20" s="459">
        <f t="shared" si="8"/>
        <v>50</v>
      </c>
      <c r="W20" s="459">
        <f t="shared" si="9"/>
        <v>99990</v>
      </c>
      <c r="X20" s="460">
        <f t="shared" si="10"/>
        <v>25100</v>
      </c>
    </row>
    <row r="21" spans="2:24" ht="14.4">
      <c r="B21" s="458" t="str">
        <f>'BDO Prequal'!B64</f>
        <v>SBA Gty Fee</v>
      </c>
      <c r="C21" s="459">
        <f>'BDO Prequal'!C64</f>
        <v>5050</v>
      </c>
      <c r="D21" s="459">
        <f>'BDO Prequal'!H64</f>
        <v>-5050</v>
      </c>
      <c r="E21" s="459">
        <f>'BDO Prequal'!I64</f>
        <v>0</v>
      </c>
      <c r="F21" s="459">
        <f>'BDO Prequal'!J64</f>
        <v>0</v>
      </c>
      <c r="G21" s="460">
        <f>'BDO Prequal'!K64</f>
        <v>0</v>
      </c>
      <c r="I21" s="458" t="str">
        <f t="shared" si="11"/>
        <v>SBA Gty Fee</v>
      </c>
      <c r="J21" s="459">
        <f t="shared" si="0"/>
        <v>5050</v>
      </c>
      <c r="K21" s="459">
        <f t="shared" si="1"/>
        <v>-5050</v>
      </c>
      <c r="L21" s="460">
        <f t="shared" si="2"/>
        <v>0</v>
      </c>
      <c r="N21" s="458" t="str">
        <f t="shared" si="12"/>
        <v>SBA Gty Fee</v>
      </c>
      <c r="O21" s="459">
        <f t="shared" si="3"/>
        <v>5050</v>
      </c>
      <c r="P21" s="459">
        <f t="shared" si="4"/>
        <v>-5050</v>
      </c>
      <c r="Q21" s="459">
        <f t="shared" si="5"/>
        <v>0</v>
      </c>
      <c r="R21" s="460">
        <f t="shared" si="6"/>
        <v>0</v>
      </c>
      <c r="T21" s="458" t="str">
        <f t="shared" si="13"/>
        <v>SBA Gty Fee</v>
      </c>
      <c r="U21" s="459">
        <f t="shared" si="7"/>
        <v>5050</v>
      </c>
      <c r="V21" s="459">
        <f t="shared" si="8"/>
        <v>-5050</v>
      </c>
      <c r="W21" s="459">
        <f t="shared" si="9"/>
        <v>0</v>
      </c>
      <c r="X21" s="460">
        <f t="shared" si="10"/>
        <v>0</v>
      </c>
    </row>
    <row r="22" spans="2:24" ht="14.4">
      <c r="B22" s="461" t="s">
        <v>435</v>
      </c>
      <c r="C22" s="462">
        <f>'BDO Prequal'!C65</f>
        <v>-115502</v>
      </c>
      <c r="D22" s="462">
        <f>'BDO Prequal'!H65</f>
        <v>1336917</v>
      </c>
      <c r="E22" s="462">
        <f>'BDO Prequal'!I65</f>
        <v>257182</v>
      </c>
      <c r="F22" s="462">
        <f>'BDO Prequal'!J65</f>
        <v>214570</v>
      </c>
      <c r="G22" s="463">
        <f>'BDO Prequal'!K65</f>
        <v>1684367</v>
      </c>
      <c r="I22" s="461" t="str">
        <f t="shared" si="11"/>
        <v>Project Total</v>
      </c>
      <c r="J22" s="462">
        <f t="shared" si="0"/>
        <v>-115502</v>
      </c>
      <c r="K22" s="462">
        <f t="shared" si="1"/>
        <v>1336917</v>
      </c>
      <c r="L22" s="463">
        <f t="shared" si="2"/>
        <v>1684367</v>
      </c>
      <c r="N22" s="461" t="str">
        <f t="shared" si="12"/>
        <v>Project Total</v>
      </c>
      <c r="O22" s="462">
        <f t="shared" si="3"/>
        <v>-115502</v>
      </c>
      <c r="P22" s="462">
        <f t="shared" si="4"/>
        <v>1336917</v>
      </c>
      <c r="Q22" s="462">
        <f t="shared" si="5"/>
        <v>257182</v>
      </c>
      <c r="R22" s="463">
        <f t="shared" si="6"/>
        <v>1684367</v>
      </c>
      <c r="T22" s="461" t="str">
        <f t="shared" si="13"/>
        <v>Project Total</v>
      </c>
      <c r="U22" s="462">
        <f t="shared" si="7"/>
        <v>-115502</v>
      </c>
      <c r="V22" s="462">
        <f t="shared" si="8"/>
        <v>1336917</v>
      </c>
      <c r="W22" s="462">
        <f t="shared" si="9"/>
        <v>214570</v>
      </c>
      <c r="X22" s="463">
        <f t="shared" si="10"/>
        <v>1684367</v>
      </c>
    </row>
    <row r="23" spans="2:24" ht="14.4">
      <c r="B23" s="464" t="s">
        <v>436</v>
      </c>
      <c r="C23" s="465">
        <f>'BDO Prequal'!C66</f>
        <v>-6.8572941645140287E-2</v>
      </c>
      <c r="D23" s="465">
        <f>'BDO Prequal'!H66</f>
        <v>0.79372072713369468</v>
      </c>
      <c r="E23" s="465">
        <f>'BDO Prequal'!I66</f>
        <v>0.15268762686516657</v>
      </c>
      <c r="F23" s="465">
        <f>'BDO Prequal'!J66</f>
        <v>0.12738910225621849</v>
      </c>
      <c r="G23" s="466">
        <f>'BDO Prequal'!K66</f>
        <v>1</v>
      </c>
      <c r="I23" s="464" t="str">
        <f t="shared" si="11"/>
        <v>Percentages</v>
      </c>
      <c r="J23" s="465">
        <f t="shared" si="0"/>
        <v>-6.8572941645140287E-2</v>
      </c>
      <c r="K23" s="465">
        <f t="shared" si="1"/>
        <v>0.79372072713369468</v>
      </c>
      <c r="L23" s="466">
        <f t="shared" si="2"/>
        <v>1</v>
      </c>
      <c r="N23" s="464" t="str">
        <f t="shared" si="12"/>
        <v>Percentages</v>
      </c>
      <c r="O23" s="465">
        <f t="shared" si="3"/>
        <v>-6.8572941645140287E-2</v>
      </c>
      <c r="P23" s="465">
        <f t="shared" si="4"/>
        <v>0.79372072713369468</v>
      </c>
      <c r="Q23" s="465">
        <f t="shared" si="5"/>
        <v>0.15268762686516657</v>
      </c>
      <c r="R23" s="466">
        <f t="shared" si="6"/>
        <v>1</v>
      </c>
      <c r="T23" s="464" t="str">
        <f t="shared" si="13"/>
        <v>Percentages</v>
      </c>
      <c r="U23" s="465">
        <f t="shared" si="7"/>
        <v>-6.8572941645140287E-2</v>
      </c>
      <c r="V23" s="465">
        <f t="shared" si="8"/>
        <v>0.79372072713369468</v>
      </c>
      <c r="W23" s="465">
        <f t="shared" si="9"/>
        <v>0.12738910225621849</v>
      </c>
      <c r="X23" s="466">
        <f t="shared" si="10"/>
        <v>1</v>
      </c>
    </row>
    <row r="26" spans="2:24" ht="14.4">
      <c r="B26" s="954" t="s">
        <v>437</v>
      </c>
      <c r="C26" s="955"/>
      <c r="D26" s="955"/>
      <c r="E26" s="956"/>
    </row>
    <row r="27" spans="2:24" ht="14.4">
      <c r="B27" s="951" t="s">
        <v>438</v>
      </c>
      <c r="C27" s="952"/>
      <c r="D27" s="952"/>
      <c r="E27" s="953"/>
    </row>
    <row r="28" spans="2:24" ht="14.4">
      <c r="B28" s="467" t="str">
        <f>'BDO Prequal'!S30</f>
        <v>Loan Packaging Fee</v>
      </c>
      <c r="C28" s="468">
        <f>'BDO Prequal'!T30</f>
        <v>2500</v>
      </c>
      <c r="D28" s="469">
        <f>'BDO Prequal'!U30</f>
        <v>1</v>
      </c>
      <c r="E28" s="470">
        <f>'BDO Prequal'!V30</f>
        <v>2500</v>
      </c>
    </row>
    <row r="29" spans="2:24" ht="14.4">
      <c r="B29" s="458" t="str">
        <f>'BDO Prequal'!Q31</f>
        <v>Title Insurance</v>
      </c>
      <c r="C29" s="459">
        <f>'BDO Prequal'!R31</f>
        <v>0</v>
      </c>
      <c r="D29" s="471">
        <f>'BDO Prequal'!S31</f>
        <v>0</v>
      </c>
      <c r="E29" s="460">
        <f>'BDO Prequal'!T31</f>
        <v>0</v>
      </c>
    </row>
    <row r="30" spans="2:24" ht="14.4">
      <c r="B30" s="458" t="str">
        <f>'BDO Prequal'!Q32</f>
        <v>Real Estate Tax Fee</v>
      </c>
      <c r="C30" s="459">
        <f>'BDO Prequal'!R32</f>
        <v>0</v>
      </c>
      <c r="D30" s="471">
        <f>'BDO Prequal'!S32</f>
        <v>0</v>
      </c>
      <c r="E30" s="460">
        <f>'BDO Prequal'!T32</f>
        <v>0</v>
      </c>
    </row>
    <row r="31" spans="2:24" ht="14.4">
      <c r="B31" s="458" t="str">
        <f>'BDO Prequal'!Q33</f>
        <v>Survey Charges</v>
      </c>
      <c r="C31" s="459">
        <f>'BDO Prequal'!R33</f>
        <v>3000</v>
      </c>
      <c r="D31" s="471">
        <f>'BDO Prequal'!S33</f>
        <v>0</v>
      </c>
      <c r="E31" s="460">
        <f>'BDO Prequal'!T33</f>
        <v>0</v>
      </c>
    </row>
    <row r="32" spans="2:24" ht="14.4">
      <c r="B32" s="458" t="str">
        <f>'BDO Prequal'!Q34</f>
        <v>CRE Appraisal</v>
      </c>
      <c r="C32" s="459">
        <f>'BDO Prequal'!R34</f>
        <v>3500</v>
      </c>
      <c r="D32" s="471">
        <f>'BDO Prequal'!S34</f>
        <v>0</v>
      </c>
      <c r="E32" s="460">
        <f>'BDO Prequal'!T34</f>
        <v>0</v>
      </c>
    </row>
    <row r="33" spans="2:5" ht="14.4">
      <c r="B33" s="458" t="str">
        <f>'BDO Prequal'!Q35</f>
        <v>Equipment Appraisal</v>
      </c>
      <c r="C33" s="459">
        <f>'BDO Prequal'!R35</f>
        <v>0</v>
      </c>
      <c r="D33" s="471">
        <f>'BDO Prequal'!S35</f>
        <v>0</v>
      </c>
      <c r="E33" s="460">
        <f>'BDO Prequal'!T35</f>
        <v>0</v>
      </c>
    </row>
    <row r="34" spans="2:5" ht="14.4">
      <c r="B34" s="458" t="str">
        <f>'BDO Prequal'!Q36</f>
        <v>Appraisal Review</v>
      </c>
      <c r="C34" s="459">
        <f>'BDO Prequal'!R36</f>
        <v>0</v>
      </c>
      <c r="D34" s="471">
        <f>'BDO Prequal'!S36</f>
        <v>0</v>
      </c>
      <c r="E34" s="460">
        <f>'BDO Prequal'!T36</f>
        <v>0</v>
      </c>
    </row>
    <row r="35" spans="2:5" ht="14.4">
      <c r="B35" s="458" t="str">
        <f>'BDO Prequal'!Q37</f>
        <v>Site Visit</v>
      </c>
      <c r="C35" s="459">
        <f>'BDO Prequal'!R37</f>
        <v>350</v>
      </c>
      <c r="D35" s="471">
        <f>'BDO Prequal'!S37</f>
        <v>0</v>
      </c>
      <c r="E35" s="460">
        <f>'BDO Prequal'!T37</f>
        <v>0</v>
      </c>
    </row>
    <row r="36" spans="2:5" ht="14.4">
      <c r="B36" s="458" t="str">
        <f>'BDO Prequal'!Q38</f>
        <v>Environmental Investigation</v>
      </c>
      <c r="C36" s="459">
        <f>'BDO Prequal'!R38</f>
        <v>2500</v>
      </c>
      <c r="D36" s="471">
        <f>'BDO Prequal'!S38</f>
        <v>0</v>
      </c>
      <c r="E36" s="460">
        <f>'BDO Prequal'!T38</f>
        <v>0</v>
      </c>
    </row>
    <row r="37" spans="2:5" ht="14.4">
      <c r="B37" s="458" t="str">
        <f>'BDO Prequal'!Q39</f>
        <v>Business Valuation</v>
      </c>
      <c r="C37" s="459">
        <f>'BDO Prequal'!R39</f>
        <v>2500</v>
      </c>
      <c r="D37" s="471">
        <f>'BDO Prequal'!S39</f>
        <v>0</v>
      </c>
      <c r="E37" s="460">
        <f>'BDO Prequal'!T39</f>
        <v>0</v>
      </c>
    </row>
    <row r="38" spans="2:5" ht="14.4">
      <c r="B38" s="458" t="str">
        <f>'BDO Prequal'!Q40</f>
        <v>Residential Appr / Valuation</v>
      </c>
      <c r="C38" s="459">
        <f>'BDO Prequal'!R40</f>
        <v>0</v>
      </c>
      <c r="D38" s="471">
        <f>'BDO Prequal'!S40</f>
        <v>0</v>
      </c>
      <c r="E38" s="460">
        <f>'BDO Prequal'!T40</f>
        <v>0</v>
      </c>
    </row>
    <row r="39" spans="2:5" ht="14.4">
      <c r="B39" s="458" t="str">
        <f>'BDO Prequal'!Q41</f>
        <v>Attorney Doc Prep</v>
      </c>
      <c r="C39" s="459">
        <f>'BDO Prequal'!R41</f>
        <v>6000</v>
      </c>
      <c r="D39" s="471">
        <f>'BDO Prequal'!S41</f>
        <v>1</v>
      </c>
      <c r="E39" s="460">
        <f>'BDO Prequal'!T41</f>
        <v>6000</v>
      </c>
    </row>
    <row r="40" spans="2:5" ht="14.4">
      <c r="B40" s="458" t="str">
        <f>'BDO Prequal'!Q42</f>
        <v>Interim Loan Fee / Origination</v>
      </c>
      <c r="C40" s="459">
        <f>'BDO Prequal'!R42</f>
        <v>0</v>
      </c>
      <c r="D40" s="471">
        <f>'BDO Prequal'!S42</f>
        <v>1</v>
      </c>
      <c r="E40" s="460">
        <f>'BDO Prequal'!T42</f>
        <v>0</v>
      </c>
    </row>
    <row r="41" spans="2:5" ht="14.4">
      <c r="B41" s="458" t="str">
        <f>'BDO Prequal'!Q43</f>
        <v>Construction Monitoring</v>
      </c>
      <c r="C41" s="459">
        <f>'BDO Prequal'!R43</f>
        <v>0</v>
      </c>
      <c r="D41" s="471">
        <f>'BDO Prequal'!S43</f>
        <v>1</v>
      </c>
      <c r="E41" s="460">
        <f>'BDO Prequal'!T43</f>
        <v>0</v>
      </c>
    </row>
    <row r="42" spans="2:5" ht="14.4">
      <c r="B42" s="458" t="str">
        <f>'BDO Prequal'!Q44</f>
        <v>Rounding</v>
      </c>
      <c r="C42" s="459">
        <f>'BDO Prequal'!R44</f>
        <v>700</v>
      </c>
      <c r="D42" s="471">
        <f>'BDO Prequal'!S44</f>
        <v>1</v>
      </c>
      <c r="E42" s="460">
        <f>'BDO Prequal'!T44</f>
        <v>700</v>
      </c>
    </row>
    <row r="43" spans="2:5" ht="14.4">
      <c r="B43" s="458" t="str">
        <f>'BDO Prequal'!Q45</f>
        <v>Other:  UCCs and Misc Closing</v>
      </c>
      <c r="C43" s="459">
        <f>'BDO Prequal'!T45</f>
        <v>800</v>
      </c>
      <c r="D43" s="471">
        <v>1</v>
      </c>
      <c r="E43" s="460">
        <f>'BDO Prequal'!T45</f>
        <v>800</v>
      </c>
    </row>
    <row r="44" spans="2:5" ht="14.4">
      <c r="B44" s="985" t="s">
        <v>89</v>
      </c>
      <c r="C44" s="986"/>
      <c r="D44" s="986"/>
      <c r="E44" s="472">
        <f>'BDO Prequal'!T46</f>
        <v>0</v>
      </c>
    </row>
    <row r="47" spans="2:5" ht="14.4">
      <c r="B47" s="954" t="s">
        <v>439</v>
      </c>
      <c r="C47" s="955"/>
      <c r="D47" s="955"/>
      <c r="E47" s="956"/>
    </row>
    <row r="48" spans="2:5" ht="14.4">
      <c r="B48" s="951"/>
      <c r="C48" s="952"/>
      <c r="D48" s="952"/>
      <c r="E48" s="953"/>
    </row>
    <row r="49" spans="2:5" ht="14.4">
      <c r="B49" s="473"/>
      <c r="C49" s="474" t="str">
        <f>'BDO Prequal'!C31</f>
        <v>T Bank Loan</v>
      </c>
      <c r="D49" s="475" t="str">
        <f>'BDO Prequal'!I31</f>
        <v>Seller Note</v>
      </c>
      <c r="E49" s="476" t="str">
        <f>'BDO Prequal'!J31</f>
        <v>3rd Party</v>
      </c>
    </row>
    <row r="50" spans="2:5" ht="14.4">
      <c r="B50" s="458" t="s">
        <v>111</v>
      </c>
      <c r="C50" s="477">
        <f>'BDO Prequal'!C33</f>
        <v>1000</v>
      </c>
      <c r="D50" s="477">
        <f>'BDO Prequal'!I33</f>
        <v>7</v>
      </c>
      <c r="E50" s="478">
        <f>'BDO Prequal'!J33</f>
        <v>8</v>
      </c>
    </row>
    <row r="51" spans="2:5" ht="14.4">
      <c r="B51" s="458" t="str">
        <f>'BDO Prequal'!B34</f>
        <v>Base Rate</v>
      </c>
      <c r="C51" s="479">
        <f>'BDO Prequal'!C34</f>
        <v>7.4999999999999997E-2</v>
      </c>
      <c r="D51" s="479">
        <f>'BDO Prequal'!I34</f>
        <v>0.08</v>
      </c>
      <c r="E51" s="480">
        <f>'BDO Prequal'!J34</f>
        <v>6.2399999999999997E-2</v>
      </c>
    </row>
    <row r="52" spans="2:5" ht="14.4">
      <c r="B52" s="458" t="str">
        <f>'BDO Prequal'!B35</f>
        <v>Spread</v>
      </c>
      <c r="C52" s="479">
        <f>'BDO Prequal'!C35</f>
        <v>1.4999999999999999E-2</v>
      </c>
      <c r="D52" s="479">
        <f>'BDO Prequal'!I35</f>
        <v>0</v>
      </c>
      <c r="E52" s="480">
        <f>'BDO Prequal'!J35</f>
        <v>0</v>
      </c>
    </row>
    <row r="53" spans="2:5" ht="14.4">
      <c r="B53" s="458" t="str">
        <f>'BDO Prequal'!B36</f>
        <v>Indicative Rate</v>
      </c>
      <c r="C53" s="479">
        <f>'BDO Prequal'!C36</f>
        <v>0.09</v>
      </c>
      <c r="D53" s="479">
        <f>'BDO Prequal'!I36</f>
        <v>0.08</v>
      </c>
      <c r="E53" s="480">
        <f>'BDO Prequal'!J36</f>
        <v>6.2399999999999997E-2</v>
      </c>
    </row>
    <row r="54" spans="2:5" ht="14.4">
      <c r="B54" s="458" t="s">
        <v>440</v>
      </c>
      <c r="C54" s="477" t="s">
        <v>441</v>
      </c>
      <c r="D54" s="481" t="s">
        <v>442</v>
      </c>
      <c r="E54" s="478" t="s">
        <v>442</v>
      </c>
    </row>
    <row r="55" spans="2:5" ht="14.4">
      <c r="B55" s="458" t="str">
        <f>'BDO Prequal'!B38</f>
        <v>Term (years)</v>
      </c>
      <c r="C55" s="481">
        <f>'BDO Prequal'!C38</f>
        <v>10</v>
      </c>
      <c r="D55" s="481">
        <f>'BDO Prequal'!I38</f>
        <v>10</v>
      </c>
      <c r="E55" s="482">
        <f>'BDO Prequal'!J38</f>
        <v>25</v>
      </c>
    </row>
    <row r="56" spans="2:5" ht="14.4">
      <c r="B56" s="483" t="str">
        <f>'BDO Prequal'!B40</f>
        <v>Estimated Payment</v>
      </c>
      <c r="C56" s="484">
        <f ca="1">'BDO Prequal'!C40</f>
        <v>12.671581095414654</v>
      </c>
      <c r="D56" s="484">
        <f>'BDO Prequal'!I40</f>
        <v>8.4929316048749842E-2</v>
      </c>
      <c r="E56" s="485">
        <f>'BDO Prequal'!J40</f>
        <v>5.2724110213487586E-2</v>
      </c>
    </row>
    <row r="57" spans="2:5" ht="14.4">
      <c r="B57" s="486"/>
    </row>
    <row r="59" spans="2:5" ht="14.4">
      <c r="B59" s="487" t="s">
        <v>443</v>
      </c>
      <c r="C59" s="488"/>
      <c r="D59" s="489"/>
      <c r="E59" s="489"/>
    </row>
    <row r="60" spans="2:5" ht="14.4">
      <c r="B60" s="490" t="s">
        <v>444</v>
      </c>
      <c r="C60" s="491"/>
      <c r="D60" s="492"/>
      <c r="E60" s="492"/>
    </row>
    <row r="61" spans="2:5" ht="14.4">
      <c r="B61" s="473"/>
      <c r="C61" s="474" t="s">
        <v>445</v>
      </c>
      <c r="D61" s="476" t="s">
        <v>446</v>
      </c>
      <c r="E61" s="476" t="s">
        <v>447</v>
      </c>
    </row>
    <row r="62" spans="2:5" ht="14.4">
      <c r="B62" s="493" t="str">
        <f>'BDO Prequal'!C31</f>
        <v>T Bank Loan</v>
      </c>
      <c r="C62" s="459">
        <f>'BDO Prequal'!C33</f>
        <v>1000</v>
      </c>
      <c r="D62" s="494">
        <f ca="1">'BDO Prequal'!C40</f>
        <v>12.671581095414654</v>
      </c>
      <c r="E62" s="495">
        <f>'BDO Prequal'!C36</f>
        <v>0.09</v>
      </c>
    </row>
    <row r="63" spans="2:5" ht="14.4">
      <c r="B63" s="496" t="str">
        <f>'BDO Prequal'!J31</f>
        <v>3rd Party</v>
      </c>
      <c r="C63" s="459">
        <f>'BDO Prequal'!J33</f>
        <v>8</v>
      </c>
      <c r="D63" s="494">
        <f>'BDO Prequal'!J40</f>
        <v>5.2724110213487586E-2</v>
      </c>
      <c r="E63" s="495">
        <f>'BDO Prequal'!J36</f>
        <v>6.2399999999999997E-2</v>
      </c>
    </row>
    <row r="64" spans="2:5" ht="14.4">
      <c r="B64" s="497" t="s">
        <v>448</v>
      </c>
      <c r="C64" s="498">
        <f>'BDO Prequal'!C65+'BDO Prequal'!J65</f>
        <v>99068</v>
      </c>
      <c r="D64" s="499">
        <f ca="1">'BDO Prequal'!C40+'BDO Prequal'!J40</f>
        <v>12.724305205628141</v>
      </c>
      <c r="E64" s="500">
        <f>(C62*E62+C63*E63)/C64</f>
        <v>9.1350587475269509E-4</v>
      </c>
    </row>
    <row r="67" spans="2:8" ht="14.4">
      <c r="B67" s="954" t="s">
        <v>360</v>
      </c>
      <c r="C67" s="955"/>
      <c r="D67" s="955"/>
      <c r="E67" s="955"/>
      <c r="F67" s="955"/>
      <c r="G67" s="955"/>
      <c r="H67" s="956"/>
    </row>
    <row r="68" spans="2:8" ht="14.4">
      <c r="B68" s="951"/>
      <c r="C68" s="952"/>
      <c r="D68" s="952"/>
      <c r="E68" s="952"/>
      <c r="F68" s="952"/>
      <c r="G68" s="952"/>
      <c r="H68" s="953"/>
    </row>
    <row r="69" spans="2:8" ht="27.6">
      <c r="B69" s="975" t="s">
        <v>364</v>
      </c>
      <c r="C69" s="976"/>
      <c r="D69" s="501" t="s">
        <v>365</v>
      </c>
      <c r="E69" s="501" t="s">
        <v>366</v>
      </c>
      <c r="F69" s="501" t="s">
        <v>367</v>
      </c>
      <c r="G69" s="501" t="s">
        <v>368</v>
      </c>
      <c r="H69" s="502" t="s">
        <v>369</v>
      </c>
    </row>
    <row r="70" spans="2:8" ht="14.4">
      <c r="B70" s="977" t="str">
        <f>IF('BDO Prequal'!E669="","",'BDO Prequal'!E669)</f>
        <v/>
      </c>
      <c r="C70" s="978"/>
      <c r="D70" s="503">
        <f>'BDO Prequal'!G669</f>
        <v>0</v>
      </c>
      <c r="E70" s="504">
        <f>'BDO Prequal'!H669</f>
        <v>0.85</v>
      </c>
      <c r="F70" s="505">
        <f>'BDO Prequal'!I669</f>
        <v>0</v>
      </c>
      <c r="G70" s="503">
        <f>'BDO Prequal'!J669</f>
        <v>0</v>
      </c>
      <c r="H70" s="506">
        <f>'BDO Prequal'!K669</f>
        <v>0</v>
      </c>
    </row>
    <row r="71" spans="2:8" ht="14.4">
      <c r="B71" s="977" t="str">
        <f>IF('BDO Prequal'!E670="","",'BDO Prequal'!E670)</f>
        <v/>
      </c>
      <c r="C71" s="978"/>
      <c r="D71" s="503">
        <f>'BDO Prequal'!G670</f>
        <v>0</v>
      </c>
      <c r="E71" s="504">
        <f>'BDO Prequal'!H670</f>
        <v>0.85</v>
      </c>
      <c r="F71" s="505">
        <f>'BDO Prequal'!I670</f>
        <v>0</v>
      </c>
      <c r="G71" s="503">
        <f>'BDO Prequal'!J670</f>
        <v>0</v>
      </c>
      <c r="H71" s="506">
        <f>'BDO Prequal'!K670</f>
        <v>0</v>
      </c>
    </row>
    <row r="72" spans="2:8" ht="14.4">
      <c r="B72" s="977" t="str">
        <f>IF('BDO Prequal'!E671="","",'BDO Prequal'!E671)</f>
        <v/>
      </c>
      <c r="C72" s="978"/>
      <c r="D72" s="503">
        <f>'BDO Prequal'!G671</f>
        <v>0</v>
      </c>
      <c r="E72" s="504">
        <f>'BDO Prequal'!H671</f>
        <v>0.85</v>
      </c>
      <c r="F72" s="505">
        <f>'BDO Prequal'!I671</f>
        <v>0</v>
      </c>
      <c r="G72" s="503">
        <f>'BDO Prequal'!J671</f>
        <v>0</v>
      </c>
      <c r="H72" s="506">
        <f>'BDO Prequal'!K671</f>
        <v>0</v>
      </c>
    </row>
    <row r="73" spans="2:8" ht="14.4">
      <c r="B73" s="977" t="str">
        <f>IF('BDO Prequal'!E672="","",'BDO Prequal'!E672)</f>
        <v xml:space="preserve"> </v>
      </c>
      <c r="C73" s="978"/>
      <c r="D73" s="503">
        <f>'BDO Prequal'!G672</f>
        <v>0</v>
      </c>
      <c r="E73" s="504">
        <f>'BDO Prequal'!H672</f>
        <v>0.1</v>
      </c>
      <c r="F73" s="505">
        <f>'BDO Prequal'!I672</f>
        <v>0</v>
      </c>
      <c r="G73" s="503">
        <f>'BDO Prequal'!J672</f>
        <v>0</v>
      </c>
      <c r="H73" s="506">
        <f>'BDO Prequal'!K672</f>
        <v>0</v>
      </c>
    </row>
    <row r="74" spans="2:8" ht="14.4">
      <c r="B74" s="977" t="str">
        <f>IF('BDO Prequal'!E673="","",'BDO Prequal'!E673)</f>
        <v xml:space="preserve"> </v>
      </c>
      <c r="C74" s="978"/>
      <c r="D74" s="503">
        <f>'BDO Prequal'!G673</f>
        <v>0</v>
      </c>
      <c r="E74" s="504">
        <f>'BDO Prequal'!H673</f>
        <v>0.5</v>
      </c>
      <c r="F74" s="505">
        <f>'BDO Prequal'!I673</f>
        <v>0</v>
      </c>
      <c r="G74" s="503">
        <f>'BDO Prequal'!J673</f>
        <v>0</v>
      </c>
      <c r="H74" s="506">
        <f>'BDO Prequal'!K673</f>
        <v>0</v>
      </c>
    </row>
    <row r="75" spans="2:8" ht="14.4">
      <c r="B75" s="977" t="str">
        <f>IF('BDO Prequal'!E674="","",'BDO Prequal'!E674)</f>
        <v xml:space="preserve"> </v>
      </c>
      <c r="C75" s="978"/>
      <c r="D75" s="503">
        <f>'BDO Prequal'!G674</f>
        <v>0</v>
      </c>
      <c r="E75" s="504">
        <f>'BDO Prequal'!H674</f>
        <v>0.1</v>
      </c>
      <c r="F75" s="505">
        <f>'BDO Prequal'!I674</f>
        <v>0</v>
      </c>
      <c r="G75" s="503">
        <f>'BDO Prequal'!J674</f>
        <v>0</v>
      </c>
      <c r="H75" s="506">
        <f>'BDO Prequal'!K674</f>
        <v>0</v>
      </c>
    </row>
    <row r="76" spans="2:8" ht="14.4">
      <c r="B76" s="977" t="str">
        <f>IF('BDO Prequal'!E675="","",'BDO Prequal'!E675)</f>
        <v xml:space="preserve"> </v>
      </c>
      <c r="C76" s="978"/>
      <c r="D76" s="503">
        <f>'BDO Prequal'!G675</f>
        <v>0</v>
      </c>
      <c r="E76" s="504">
        <f>'BDO Prequal'!H675</f>
        <v>0.1</v>
      </c>
      <c r="F76" s="505">
        <f>'BDO Prequal'!I675</f>
        <v>0</v>
      </c>
      <c r="G76" s="503">
        <f>'BDO Prequal'!J675</f>
        <v>0</v>
      </c>
      <c r="H76" s="506">
        <f>'BDO Prequal'!K675</f>
        <v>0</v>
      </c>
    </row>
    <row r="77" spans="2:8" ht="14.4">
      <c r="B77" s="977" t="str">
        <f>IF('BDO Prequal'!E676="","",'BDO Prequal'!E676)</f>
        <v xml:space="preserve"> </v>
      </c>
      <c r="C77" s="978"/>
      <c r="D77" s="503">
        <f>'BDO Prequal'!G676</f>
        <v>0</v>
      </c>
      <c r="E77" s="504">
        <f>'BDO Prequal'!H676</f>
        <v>0.05</v>
      </c>
      <c r="F77" s="505">
        <f>'BDO Prequal'!I676</f>
        <v>0</v>
      </c>
      <c r="G77" s="503">
        <f>'BDO Prequal'!J676</f>
        <v>0</v>
      </c>
      <c r="H77" s="506">
        <f>'BDO Prequal'!K676</f>
        <v>0</v>
      </c>
    </row>
    <row r="78" spans="2:8" ht="14.4">
      <c r="B78" s="977" t="str">
        <f>IF('BDO Prequal'!E677="","",'BDO Prequal'!E677)</f>
        <v xml:space="preserve"> </v>
      </c>
      <c r="C78" s="978"/>
      <c r="D78" s="503">
        <f>'BDO Prequal'!G677</f>
        <v>0</v>
      </c>
      <c r="E78" s="504">
        <f>'BDO Prequal'!H677</f>
        <v>0</v>
      </c>
      <c r="F78" s="505">
        <f>'BDO Prequal'!I677</f>
        <v>0</v>
      </c>
      <c r="G78" s="503">
        <f>'BDO Prequal'!J677</f>
        <v>0</v>
      </c>
      <c r="H78" s="506">
        <f>'BDO Prequal'!K677</f>
        <v>0</v>
      </c>
    </row>
    <row r="79" spans="2:8" ht="14.4">
      <c r="B79" s="982"/>
      <c r="C79" s="983" t="s">
        <v>376</v>
      </c>
      <c r="D79" s="507">
        <f>'BDO Prequal'!G678</f>
        <v>0</v>
      </c>
      <c r="E79" s="508"/>
      <c r="F79" s="509">
        <f>'BDO Prequal'!I678</f>
        <v>0</v>
      </c>
      <c r="G79" s="507">
        <f>'BDO Prequal'!J678</f>
        <v>0</v>
      </c>
      <c r="H79" s="510">
        <f>'BDO Prequal'!K678</f>
        <v>0</v>
      </c>
    </row>
    <row r="80" spans="2:8" ht="14.4">
      <c r="B80" s="981"/>
      <c r="C80" s="964"/>
      <c r="D80" s="511"/>
      <c r="E80" s="984"/>
      <c r="F80" s="984"/>
      <c r="G80" s="984"/>
      <c r="H80" s="512"/>
    </row>
    <row r="81" spans="2:8" ht="14.4">
      <c r="B81" s="979" t="s">
        <v>377</v>
      </c>
      <c r="C81" s="980"/>
      <c r="D81" s="514">
        <f>'BDO Prequal'!G680</f>
        <v>0</v>
      </c>
      <c r="E81" s="963" t="s">
        <v>378</v>
      </c>
      <c r="F81" s="964"/>
      <c r="G81" s="965" t="s">
        <v>378</v>
      </c>
      <c r="H81" s="515">
        <f>'BDO Prequal'!K680</f>
        <v>0</v>
      </c>
    </row>
    <row r="82" spans="2:8" ht="14.4">
      <c r="B82" s="966" t="s">
        <v>380</v>
      </c>
      <c r="C82" s="967"/>
      <c r="D82" s="516">
        <f>'BDO Prequal'!G681</f>
        <v>0</v>
      </c>
      <c r="E82" s="968" t="s">
        <v>381</v>
      </c>
      <c r="F82" s="969"/>
      <c r="G82" s="970" t="s">
        <v>381</v>
      </c>
      <c r="H82" s="517">
        <f>'BDO Prequal'!K681</f>
        <v>0</v>
      </c>
    </row>
    <row r="85" spans="2:8" ht="14.4">
      <c r="B85" s="954" t="s">
        <v>449</v>
      </c>
      <c r="C85" s="956"/>
    </row>
    <row r="86" spans="2:8" ht="14.4">
      <c r="B86" s="951"/>
      <c r="C86" s="953"/>
    </row>
    <row r="87" spans="2:8" ht="14.4">
      <c r="B87" s="518" t="str">
        <f>'BDO Prequal'!B72</f>
        <v>Operating Company Liquidity</v>
      </c>
      <c r="C87" s="519">
        <f>'BDO Prequal'!C72</f>
        <v>0</v>
      </c>
    </row>
    <row r="88" spans="2:8" ht="14.4">
      <c r="B88" s="448" t="str">
        <f>'BDO Prequal'!B73</f>
        <v>Owner/Guarantor 1</v>
      </c>
      <c r="C88" s="520">
        <f>'BDO Prequal'!C73</f>
        <v>0</v>
      </c>
    </row>
    <row r="89" spans="2:8" ht="14.4">
      <c r="B89" s="448" t="str">
        <f>'BDO Prequal'!B74</f>
        <v>Owner/Guarantor 2</v>
      </c>
      <c r="C89" s="520">
        <f>'BDO Prequal'!C74</f>
        <v>0</v>
      </c>
    </row>
    <row r="90" spans="2:8" ht="14.4">
      <c r="B90" s="448" t="str">
        <f>'BDO Prequal'!B75</f>
        <v>Owner/Guarantor 3</v>
      </c>
      <c r="C90" s="520">
        <f>'BDO Prequal'!C75</f>
        <v>0</v>
      </c>
    </row>
    <row r="91" spans="2:8" ht="14.4">
      <c r="B91" s="448" t="str">
        <f>'BDO Prequal'!B76</f>
        <v>Owner/Guarantor 4</v>
      </c>
      <c r="C91" s="520">
        <f>'BDO Prequal'!C76</f>
        <v>0</v>
      </c>
    </row>
    <row r="92" spans="2:8" ht="14.4">
      <c r="B92" s="448" t="str">
        <f>'BDO Prequal'!F72</f>
        <v>Affiliate 1</v>
      </c>
      <c r="C92" s="520">
        <f>'BDO Prequal'!G72</f>
        <v>0</v>
      </c>
    </row>
    <row r="93" spans="2:8" ht="14.4">
      <c r="B93" s="448" t="str">
        <f>'BDO Prequal'!F73</f>
        <v>Affiliate 2</v>
      </c>
      <c r="C93" s="520">
        <f>'BDO Prequal'!G73</f>
        <v>0</v>
      </c>
    </row>
    <row r="94" spans="2:8" ht="14.4">
      <c r="B94" s="448" t="str">
        <f>'BDO Prequal'!F74</f>
        <v>Affiliate 3</v>
      </c>
      <c r="C94" s="520">
        <f>'BDO Prequal'!G74</f>
        <v>0</v>
      </c>
    </row>
    <row r="95" spans="2:8" ht="14.4">
      <c r="B95" s="448" t="str">
        <f>'BDO Prequal'!F75</f>
        <v>Affiliate 4</v>
      </c>
      <c r="C95" s="520">
        <f>'BDO Prequal'!G75</f>
        <v>0</v>
      </c>
    </row>
    <row r="96" spans="2:8" ht="14.4">
      <c r="B96" s="448" t="str">
        <f>'BDO Prequal'!F76</f>
        <v>Affiliate 5</v>
      </c>
      <c r="C96" s="520">
        <f>'BDO Prequal'!G76</f>
        <v>0</v>
      </c>
    </row>
    <row r="97" spans="2:8" ht="14.4">
      <c r="B97" s="493" t="str">
        <f>'BDO Prequal'!C78</f>
        <v>Total Available Liquidity</v>
      </c>
      <c r="C97" s="521">
        <f>'BDO Prequal'!D78</f>
        <v>0</v>
      </c>
    </row>
    <row r="98" spans="2:8" ht="14.4">
      <c r="B98" s="522" t="str">
        <f>'BDO Prequal'!E78</f>
        <v>Expected Injection</v>
      </c>
      <c r="C98" s="523">
        <f>'BDO Prequal'!F78*-1</f>
        <v>-1336917</v>
      </c>
    </row>
    <row r="99" spans="2:8" ht="14.4">
      <c r="B99" s="524" t="s">
        <v>450</v>
      </c>
      <c r="C99" s="525">
        <f>'BDO Prequal'!H78</f>
        <v>-1336917</v>
      </c>
    </row>
    <row r="102" spans="2:8" ht="14.4">
      <c r="B102" s="954" t="s">
        <v>451</v>
      </c>
      <c r="C102" s="955"/>
      <c r="D102" s="955"/>
      <c r="E102" s="955"/>
      <c r="F102" s="956"/>
      <c r="G102" s="954"/>
      <c r="H102" s="955"/>
    </row>
    <row r="103" spans="2:8" ht="14.4">
      <c r="B103" s="951"/>
      <c r="C103" s="952"/>
      <c r="D103" s="952"/>
      <c r="E103" s="952"/>
      <c r="F103" s="953"/>
      <c r="G103" s="971"/>
      <c r="H103" s="972"/>
    </row>
    <row r="104" spans="2:8" ht="14.4">
      <c r="B104" s="960" t="str">
        <f>'BDO Prequal'!B83</f>
        <v>{Insert business name which represents PSOR}</v>
      </c>
      <c r="C104" s="961"/>
      <c r="D104" s="961"/>
      <c r="E104" s="961"/>
      <c r="F104" s="962"/>
      <c r="G104" s="973" t="s">
        <v>197</v>
      </c>
      <c r="H104" s="974"/>
    </row>
    <row r="105" spans="2:8" ht="14.4">
      <c r="B105" s="526"/>
      <c r="C105" s="527"/>
      <c r="D105" s="527"/>
      <c r="E105" s="527"/>
      <c r="F105" s="528"/>
      <c r="G105" s="529"/>
      <c r="H105" s="530"/>
    </row>
    <row r="106" spans="2:8" ht="14.4">
      <c r="B106" s="513"/>
      <c r="C106" s="531">
        <f>'BDO Prequal'!D85</f>
        <v>44926</v>
      </c>
      <c r="D106" s="531">
        <f>'BDO Prequal'!F85</f>
        <v>45291</v>
      </c>
      <c r="E106" s="531">
        <f>'BDO Prequal'!H85</f>
        <v>45657</v>
      </c>
      <c r="F106" s="532">
        <f>'BDO Prequal'!J85</f>
        <v>45747</v>
      </c>
      <c r="G106" s="533" t="s">
        <v>452</v>
      </c>
      <c r="H106" s="532" t="s">
        <v>453</v>
      </c>
    </row>
    <row r="107" spans="2:8" ht="14.4">
      <c r="B107" s="534"/>
      <c r="C107" s="535"/>
      <c r="D107" s="535"/>
      <c r="E107" s="535"/>
      <c r="F107" s="536">
        <f>'BDO Prequal'!J89</f>
        <v>0</v>
      </c>
      <c r="G107" s="537"/>
      <c r="H107" s="538"/>
    </row>
    <row r="108" spans="2:8" ht="14.4">
      <c r="B108" s="513" t="str">
        <f>'BDO Prequal'!C99</f>
        <v>Total Revenue</v>
      </c>
      <c r="C108" s="539">
        <f>'BDO Prequal'!D99</f>
        <v>9000</v>
      </c>
      <c r="D108" s="539">
        <f>'BDO Prequal'!F99</f>
        <v>2166</v>
      </c>
      <c r="E108" s="539">
        <f>'BDO Prequal'!H99</f>
        <v>1145</v>
      </c>
      <c r="F108" s="540">
        <f>'BDO Prequal'!J99</f>
        <v>880</v>
      </c>
      <c r="G108" s="541">
        <f>'BDO Prequal'!N99</f>
        <v>210</v>
      </c>
      <c r="H108" s="540">
        <f>'BDO Prequal'!P99</f>
        <v>620</v>
      </c>
    </row>
    <row r="109" spans="2:8" ht="14.4">
      <c r="B109" s="513" t="str">
        <f>'BDO Prequal'!C100</f>
        <v>Total COGS</v>
      </c>
      <c r="C109" s="542">
        <f>'BDO Prequal'!D100</f>
        <v>50</v>
      </c>
      <c r="D109" s="542">
        <f>'BDO Prequal'!F100</f>
        <v>500</v>
      </c>
      <c r="E109" s="542">
        <f>'BDO Prequal'!H100</f>
        <v>400</v>
      </c>
      <c r="F109" s="543">
        <f>'BDO Prequal'!J100</f>
        <v>8000</v>
      </c>
      <c r="G109" s="544">
        <f>'BDO Prequal'!N100</f>
        <v>30</v>
      </c>
      <c r="H109" s="543">
        <f>'BDO Prequal'!P100</f>
        <v>0</v>
      </c>
    </row>
    <row r="110" spans="2:8" ht="14.4">
      <c r="B110" s="513" t="str">
        <f>'BDO Prequal'!C101</f>
        <v>Total Gross Margin</v>
      </c>
      <c r="C110" s="545">
        <f>'BDO Prequal'!D101</f>
        <v>8950</v>
      </c>
      <c r="D110" s="545">
        <f>'BDO Prequal'!F101</f>
        <v>1666</v>
      </c>
      <c r="E110" s="545">
        <f>'BDO Prequal'!H101</f>
        <v>745</v>
      </c>
      <c r="F110" s="546">
        <f>'BDO Prequal'!J101</f>
        <v>-7120</v>
      </c>
      <c r="G110" s="547">
        <f>'BDO Prequal'!N101</f>
        <v>180</v>
      </c>
      <c r="H110" s="546">
        <f>'BDO Prequal'!P101</f>
        <v>620</v>
      </c>
    </row>
    <row r="111" spans="2:8" ht="14.4">
      <c r="B111" s="513" t="str">
        <f>'BDO Prequal'!C128</f>
        <v>Total Operating Expenses</v>
      </c>
      <c r="C111" s="548">
        <f>'BDO Prequal'!D128</f>
        <v>800</v>
      </c>
      <c r="D111" s="548">
        <f>'BDO Prequal'!F128</f>
        <v>800</v>
      </c>
      <c r="E111" s="548">
        <f>'BDO Prequal'!H128</f>
        <v>500</v>
      </c>
      <c r="F111" s="549">
        <f>'BDO Prequal'!J128</f>
        <v>5000</v>
      </c>
      <c r="G111" s="550">
        <f>'BDO Prequal'!N128</f>
        <v>6747</v>
      </c>
      <c r="H111" s="549">
        <f>'BDO Prequal'!P128</f>
        <v>7603</v>
      </c>
    </row>
    <row r="112" spans="2:8" ht="14.4">
      <c r="B112" s="551" t="str">
        <f>'BDO Prequal'!C130</f>
        <v>Ordinary Income</v>
      </c>
      <c r="C112" s="552">
        <f>'BDO Prequal'!D130</f>
        <v>8150</v>
      </c>
      <c r="D112" s="552">
        <f>'BDO Prequal'!F130</f>
        <v>866</v>
      </c>
      <c r="E112" s="552">
        <f>'BDO Prequal'!H130</f>
        <v>245</v>
      </c>
      <c r="F112" s="553">
        <f>'BDO Prequal'!J130</f>
        <v>-12120</v>
      </c>
      <c r="G112" s="554">
        <f>'BDO Prequal'!N130</f>
        <v>-6567</v>
      </c>
      <c r="H112" s="553">
        <f>'BDO Prequal'!P130</f>
        <v>-6983</v>
      </c>
    </row>
    <row r="113" spans="2:8" ht="14.4">
      <c r="B113" s="513" t="str">
        <f>'BDO Prequal'!C136</f>
        <v>Total Other Income (Expenses)</v>
      </c>
      <c r="C113" s="548">
        <f>'BDO Prequal'!D136</f>
        <v>5050</v>
      </c>
      <c r="D113" s="548">
        <f>'BDO Prequal'!F136</f>
        <v>6050</v>
      </c>
      <c r="E113" s="548">
        <f>'BDO Prequal'!H136</f>
        <v>8600</v>
      </c>
      <c r="F113" s="549">
        <f>'BDO Prequal'!J136</f>
        <v>9801</v>
      </c>
      <c r="G113" s="550">
        <f>'BDO Prequal'!N136</f>
        <v>510</v>
      </c>
      <c r="H113" s="549">
        <f>'BDO Prequal'!P136</f>
        <v>500</v>
      </c>
    </row>
    <row r="114" spans="2:8" ht="14.4">
      <c r="B114" s="513" t="str">
        <f>'BDO Prequal'!C138</f>
        <v>Net Income Before Taxes</v>
      </c>
      <c r="C114" s="545">
        <f>'BDO Prequal'!D138</f>
        <v>13200</v>
      </c>
      <c r="D114" s="545">
        <f>'BDO Prequal'!F138</f>
        <v>6916</v>
      </c>
      <c r="E114" s="545">
        <f>'BDO Prequal'!H138</f>
        <v>8845</v>
      </c>
      <c r="F114" s="546">
        <f>'BDO Prequal'!J138</f>
        <v>-2319</v>
      </c>
      <c r="G114" s="547">
        <f>'BDO Prequal'!N138</f>
        <v>-6057</v>
      </c>
      <c r="H114" s="546">
        <f>'BDO Prequal'!P138</f>
        <v>-6483</v>
      </c>
    </row>
    <row r="115" spans="2:8" ht="14.4">
      <c r="B115" s="513" t="str">
        <f>'BDO Prequal'!C139</f>
        <v>Income Taxes</v>
      </c>
      <c r="C115" s="545">
        <f>'BDO Prequal'!D139</f>
        <v>1</v>
      </c>
      <c r="D115" s="545">
        <f>'BDO Prequal'!F139</f>
        <v>2</v>
      </c>
      <c r="E115" s="545">
        <f>'BDO Prequal'!H139</f>
        <v>3</v>
      </c>
      <c r="F115" s="546">
        <f>'BDO Prequal'!J139</f>
        <v>6</v>
      </c>
      <c r="G115" s="547">
        <f>'BDO Prequal'!N139</f>
        <v>70</v>
      </c>
      <c r="H115" s="546">
        <f>'BDO Prequal'!P139</f>
        <v>63</v>
      </c>
    </row>
    <row r="116" spans="2:8" ht="14.4">
      <c r="B116" s="551" t="str">
        <f>'BDO Prequal'!C141</f>
        <v>NET INCOME AFTER TAXES</v>
      </c>
      <c r="C116" s="552">
        <f>'BDO Prequal'!D141</f>
        <v>13199</v>
      </c>
      <c r="D116" s="552">
        <f>'BDO Prequal'!F141</f>
        <v>6914</v>
      </c>
      <c r="E116" s="552">
        <f>'BDO Prequal'!H141</f>
        <v>8842</v>
      </c>
      <c r="F116" s="553">
        <f>'BDO Prequal'!J141</f>
        <v>-2325</v>
      </c>
      <c r="G116" s="554">
        <f>'BDO Prequal'!N141</f>
        <v>-6127</v>
      </c>
      <c r="H116" s="553">
        <f>'BDO Prequal'!P141</f>
        <v>-6546</v>
      </c>
    </row>
    <row r="117" spans="2:8" ht="14.4">
      <c r="B117" s="513"/>
      <c r="C117" s="555"/>
      <c r="D117" s="555"/>
      <c r="E117" s="555"/>
      <c r="F117" s="556"/>
      <c r="G117" s="557"/>
      <c r="H117" s="558"/>
    </row>
    <row r="118" spans="2:8" ht="14.4">
      <c r="B118" s="559" t="s">
        <v>259</v>
      </c>
      <c r="C118" s="527"/>
      <c r="D118" s="527"/>
      <c r="E118" s="527"/>
      <c r="F118" s="528"/>
      <c r="G118" s="560"/>
      <c r="H118" s="561"/>
    </row>
    <row r="119" spans="2:8" ht="14.4">
      <c r="B119" s="562" t="str">
        <f>'BDO Prequal'!C144</f>
        <v xml:space="preserve">  + Compensation of Officers</v>
      </c>
      <c r="C119" s="539">
        <f>'BDO Prequal'!D144</f>
        <v>9000</v>
      </c>
      <c r="D119" s="539">
        <f>'BDO Prequal'!F144</f>
        <v>4562</v>
      </c>
      <c r="E119" s="539">
        <f>'BDO Prequal'!H144</f>
        <v>461</v>
      </c>
      <c r="F119" s="540">
        <f>'BDO Prequal'!J144</f>
        <v>621</v>
      </c>
      <c r="G119" s="541">
        <f>'BDO Prequal'!N144</f>
        <v>150</v>
      </c>
      <c r="H119" s="540">
        <f>'BDO Prequal'!P144</f>
        <v>1521</v>
      </c>
    </row>
    <row r="120" spans="2:8" ht="14.4">
      <c r="B120" s="563" t="str">
        <f>'BDO Prequal'!C145</f>
        <v xml:space="preserve">  + Depreciation/Amortization</v>
      </c>
      <c r="C120" s="564">
        <f>'BDO Prequal'!D145</f>
        <v>0</v>
      </c>
      <c r="D120" s="564">
        <f>'BDO Prequal'!F145</f>
        <v>0</v>
      </c>
      <c r="E120" s="564">
        <f>'BDO Prequal'!H145</f>
        <v>0</v>
      </c>
      <c r="F120" s="565">
        <f>'BDO Prequal'!J145</f>
        <v>0</v>
      </c>
      <c r="G120" s="566">
        <f>'BDO Prequal'!N145</f>
        <v>20</v>
      </c>
      <c r="H120" s="565">
        <f>'BDO Prequal'!P145</f>
        <v>3</v>
      </c>
    </row>
    <row r="121" spans="2:8" ht="14.4">
      <c r="B121" s="563" t="str">
        <f>'BDO Prequal'!C146</f>
        <v xml:space="preserve">  + Interest Expense</v>
      </c>
      <c r="C121" s="564">
        <f>'BDO Prequal'!D146</f>
        <v>0</v>
      </c>
      <c r="D121" s="564">
        <f>'BDO Prequal'!F146</f>
        <v>0</v>
      </c>
      <c r="E121" s="564">
        <f>'BDO Prequal'!H146</f>
        <v>0</v>
      </c>
      <c r="F121" s="565">
        <f>'BDO Prequal'!J146</f>
        <v>0</v>
      </c>
      <c r="G121" s="566">
        <f>'BDO Prequal'!N146</f>
        <v>233</v>
      </c>
      <c r="H121" s="565">
        <f>'BDO Prequal'!P146</f>
        <v>2</v>
      </c>
    </row>
    <row r="122" spans="2:8" ht="14.4">
      <c r="B122" s="563" t="str">
        <f>'BDO Prequal'!C147</f>
        <v xml:space="preserve">  + Rent Add Back</v>
      </c>
      <c r="C122" s="564">
        <f>'BDO Prequal'!D147</f>
        <v>0</v>
      </c>
      <c r="D122" s="564">
        <f>'BDO Prequal'!F147</f>
        <v>0</v>
      </c>
      <c r="E122" s="564">
        <f>'BDO Prequal'!H147</f>
        <v>0</v>
      </c>
      <c r="F122" s="565">
        <f>'BDO Prequal'!J147</f>
        <v>0</v>
      </c>
      <c r="G122" s="566">
        <f>'BDO Prequal'!N147</f>
        <v>20</v>
      </c>
      <c r="H122" s="565">
        <f>'BDO Prequal'!P147</f>
        <v>1</v>
      </c>
    </row>
    <row r="123" spans="2:8" ht="14.4">
      <c r="B123" s="567" t="str">
        <f>'BDO Prequal'!C148</f>
        <v>+ - Other</v>
      </c>
      <c r="C123" s="564">
        <f>'BDO Prequal'!D148</f>
        <v>45</v>
      </c>
      <c r="D123" s="564">
        <f>'BDO Prequal'!F148</f>
        <v>46</v>
      </c>
      <c r="E123" s="564">
        <f>'BDO Prequal'!H148</f>
        <v>10</v>
      </c>
      <c r="F123" s="565">
        <f>'BDO Prequal'!J148</f>
        <v>11</v>
      </c>
      <c r="G123" s="566">
        <f>'BDO Prequal'!N148</f>
        <v>12</v>
      </c>
      <c r="H123" s="565">
        <f>'BDO Prequal'!P148</f>
        <v>12</v>
      </c>
    </row>
    <row r="124" spans="2:8" ht="14.4">
      <c r="B124" s="567" t="str">
        <f>'BDO Prequal'!C149</f>
        <v>+ - Other</v>
      </c>
      <c r="C124" s="564">
        <f>'BDO Prequal'!D149</f>
        <v>21</v>
      </c>
      <c r="D124" s="564">
        <f>'BDO Prequal'!F149</f>
        <v>21</v>
      </c>
      <c r="E124" s="564">
        <f>'BDO Prequal'!H149</f>
        <v>22</v>
      </c>
      <c r="F124" s="565">
        <f>'BDO Prequal'!J149</f>
        <v>23</v>
      </c>
      <c r="G124" s="566">
        <f>'BDO Prequal'!N149</f>
        <v>40</v>
      </c>
      <c r="H124" s="565">
        <f>'BDO Prequal'!P149</f>
        <v>13</v>
      </c>
    </row>
    <row r="125" spans="2:8" ht="14.4">
      <c r="B125" s="563" t="str">
        <f>'BDO Prequal'!C150</f>
        <v xml:space="preserve">  - Estimated Property Tax</v>
      </c>
      <c r="C125" s="542">
        <f>'BDO Prequal'!D150</f>
        <v>0</v>
      </c>
      <c r="D125" s="542">
        <f>'BDO Prequal'!F150</f>
        <v>0</v>
      </c>
      <c r="E125" s="542">
        <f>'BDO Prequal'!H150</f>
        <v>0</v>
      </c>
      <c r="F125" s="543">
        <f>'BDO Prequal'!J150</f>
        <v>0</v>
      </c>
      <c r="G125" s="544">
        <f>'BDO Prequal'!N150</f>
        <v>0</v>
      </c>
      <c r="H125" s="543">
        <f>'BDO Prequal'!P150</f>
        <v>0</v>
      </c>
    </row>
    <row r="126" spans="2:8" ht="14.4">
      <c r="B126" s="563" t="str">
        <f>'BDO Prequal'!C151</f>
        <v xml:space="preserve">  - Required Owner's Draw</v>
      </c>
      <c r="C126" s="568">
        <f>'BDO Prequal'!D151</f>
        <v>900</v>
      </c>
      <c r="D126" s="568">
        <f>'BDO Prequal'!F151</f>
        <v>1000</v>
      </c>
      <c r="E126" s="568">
        <f>'BDO Prequal'!H151</f>
        <v>70</v>
      </c>
      <c r="F126" s="569">
        <f>'BDO Prequal'!J151</f>
        <v>7</v>
      </c>
      <c r="G126" s="570">
        <f>'BDO Prequal'!N151</f>
        <v>70</v>
      </c>
      <c r="H126" s="569">
        <f>'BDO Prequal'!P151</f>
        <v>70</v>
      </c>
    </row>
    <row r="127" spans="2:8" ht="14.4">
      <c r="B127" s="563"/>
      <c r="C127" s="571"/>
      <c r="D127" s="571"/>
      <c r="E127" s="571"/>
      <c r="F127" s="572"/>
      <c r="G127" s="573"/>
      <c r="H127" s="574"/>
    </row>
    <row r="128" spans="2:8" ht="14.4">
      <c r="B128" s="563" t="str">
        <f>'BDO Prequal'!C153</f>
        <v>Cash Available</v>
      </c>
      <c r="C128" s="575">
        <f>'BDO Prequal'!D153</f>
        <v>23165</v>
      </c>
      <c r="D128" s="575">
        <f>'BDO Prequal'!F153</f>
        <v>12543</v>
      </c>
      <c r="E128" s="575">
        <f>'BDO Prequal'!H153</f>
        <v>9405</v>
      </c>
      <c r="F128" s="576">
        <f>'BDO Prequal'!J153</f>
        <v>-1663</v>
      </c>
      <c r="G128" s="577">
        <f>'BDO Prequal'!N153</f>
        <v>-5582</v>
      </c>
      <c r="H128" s="576">
        <f>'BDO Prequal'!P153</f>
        <v>-4924</v>
      </c>
    </row>
    <row r="129" spans="2:8" ht="14.4">
      <c r="B129" s="563"/>
      <c r="C129" s="527"/>
      <c r="D129" s="527"/>
      <c r="E129" s="527"/>
      <c r="F129" s="528"/>
      <c r="G129" s="529"/>
      <c r="H129" s="530"/>
    </row>
    <row r="130" spans="2:8" ht="14.4">
      <c r="B130" s="513" t="str">
        <f>'BDO Prequal'!C155</f>
        <v>Existing Debt</v>
      </c>
      <c r="C130" s="545">
        <f>'BDO Prequal'!D155</f>
        <v>600</v>
      </c>
      <c r="D130" s="545">
        <f>'BDO Prequal'!F155</f>
        <v>700</v>
      </c>
      <c r="E130" s="545">
        <f>'BDO Prequal'!H155</f>
        <v>8000</v>
      </c>
      <c r="F130" s="546">
        <f>'BDO Prequal'!J155</f>
        <v>600</v>
      </c>
      <c r="G130" s="547">
        <f>'BDO Prequal'!N155</f>
        <v>1</v>
      </c>
      <c r="H130" s="546">
        <f>'BDO Prequal'!P155</f>
        <v>10</v>
      </c>
    </row>
    <row r="131" spans="2:8" ht="14.4">
      <c r="B131" s="513" t="str">
        <f>'BDO Prequal'!C156</f>
        <v>Proposed Loan 1</v>
      </c>
      <c r="C131" s="545">
        <f ca="1">'BDO Prequal'!D156</f>
        <v>152.05897314497585</v>
      </c>
      <c r="D131" s="545">
        <f ca="1">'BDO Prequal'!F156</f>
        <v>152.05897314497585</v>
      </c>
      <c r="E131" s="545">
        <f ca="1">'BDO Prequal'!H156</f>
        <v>152.05897314497585</v>
      </c>
      <c r="F131" s="546">
        <f ca="1">'BDO Prequal'!J156</f>
        <v>38.014743286243963</v>
      </c>
      <c r="G131" s="547">
        <f>'BDO Prequal'!N156</f>
        <v>1000</v>
      </c>
      <c r="H131" s="546">
        <f>'BDO Prequal'!P156</f>
        <v>1000</v>
      </c>
    </row>
    <row r="132" spans="2:8" ht="14.4">
      <c r="B132" s="513" t="str">
        <f>'BDO Prequal'!C159</f>
        <v>Seller Carry Note</v>
      </c>
      <c r="C132" s="545">
        <f>'BDO Prequal'!D159</f>
        <v>37443.928045799286</v>
      </c>
      <c r="D132" s="545">
        <f>'BDO Prequal'!F159</f>
        <v>37443.928045799286</v>
      </c>
      <c r="E132" s="545">
        <f>'BDO Prequal'!H159</f>
        <v>37443.928045799286</v>
      </c>
      <c r="F132" s="546">
        <f>'BDO Prequal'!J159</f>
        <v>9360.9820114498216</v>
      </c>
      <c r="G132" s="547">
        <f>'BDO Prequal'!N159</f>
        <v>6000</v>
      </c>
      <c r="H132" s="546">
        <f>'BDO Prequal'!P159</f>
        <v>9000</v>
      </c>
    </row>
    <row r="133" spans="2:8" ht="14.4">
      <c r="B133" s="513" t="str">
        <f>'BDO Prequal'!C160</f>
        <v>3rd Party Financing</v>
      </c>
      <c r="C133" s="545">
        <f>'BDO Prequal'!D160</f>
        <v>100</v>
      </c>
      <c r="D133" s="545">
        <f>'BDO Prequal'!F160</f>
        <v>200</v>
      </c>
      <c r="E133" s="545">
        <f>'BDO Prequal'!H160</f>
        <v>1400</v>
      </c>
      <c r="F133" s="546">
        <f>'BDO Prequal'!J160</f>
        <v>3000</v>
      </c>
      <c r="G133" s="547">
        <f>'BDO Prequal'!N160</f>
        <v>15000</v>
      </c>
      <c r="H133" s="546">
        <f>'BDO Prequal'!P160</f>
        <v>6000</v>
      </c>
    </row>
    <row r="134" spans="2:8" ht="14.4">
      <c r="B134" s="513" t="str">
        <f>'BDO Prequal'!C161</f>
        <v>Total Debt</v>
      </c>
      <c r="C134" s="545">
        <f ca="1">'BDO Prequal'!D161</f>
        <v>38295.987018944259</v>
      </c>
      <c r="D134" s="545">
        <f ca="1">'BDO Prequal'!F161</f>
        <v>38495.987018944259</v>
      </c>
      <c r="E134" s="545">
        <f ca="1">'BDO Prequal'!H161</f>
        <v>46995.987018944259</v>
      </c>
      <c r="F134" s="546">
        <f ca="1">'BDO Prequal'!J161</f>
        <v>12998.996754736065</v>
      </c>
      <c r="G134" s="547">
        <f>'BDO Prequal'!N161</f>
        <v>22001</v>
      </c>
      <c r="H134" s="546">
        <f>'BDO Prequal'!P161</f>
        <v>16010</v>
      </c>
    </row>
    <row r="135" spans="2:8" ht="14.4">
      <c r="B135" s="526"/>
      <c r="C135" s="527"/>
      <c r="D135" s="527"/>
      <c r="E135" s="527"/>
      <c r="F135" s="528"/>
      <c r="G135" s="529"/>
      <c r="H135" s="530"/>
    </row>
    <row r="136" spans="2:8" ht="14.4">
      <c r="B136" s="551" t="str">
        <f>'BDO Prequal'!C163</f>
        <v>DCR</v>
      </c>
      <c r="C136" s="578">
        <f ca="1">'BDO Prequal'!D163</f>
        <v>0.60489366649672038</v>
      </c>
      <c r="D136" s="578">
        <f ca="1">'BDO Prequal'!F163</f>
        <v>0.32582616972068973</v>
      </c>
      <c r="E136" s="578">
        <f ca="1">'BDO Prequal'!H163</f>
        <v>0.20012347003604392</v>
      </c>
      <c r="F136" s="579">
        <f ca="1">'BDO Prequal'!J163</f>
        <v>-0.12793294985584955</v>
      </c>
      <c r="G136" s="580">
        <f>'BDO Prequal'!N163</f>
        <v>-0.25371574019362758</v>
      </c>
      <c r="H136" s="579">
        <f>'BDO Prequal'!P163</f>
        <v>-0.3075577763897564</v>
      </c>
    </row>
    <row r="137" spans="2:8" ht="14.4">
      <c r="B137" s="581"/>
      <c r="C137" s="582"/>
      <c r="D137" s="582"/>
      <c r="E137" s="582"/>
      <c r="F137" s="583"/>
      <c r="G137" s="584"/>
      <c r="H137" s="585"/>
    </row>
    <row r="140" spans="2:8" ht="14.4">
      <c r="B140" s="954" t="s">
        <v>454</v>
      </c>
      <c r="C140" s="955"/>
      <c r="D140" s="955"/>
      <c r="E140" s="955"/>
      <c r="F140" s="956"/>
    </row>
    <row r="141" spans="2:8" ht="14.4">
      <c r="B141" s="951"/>
      <c r="C141" s="952"/>
      <c r="D141" s="952"/>
      <c r="E141" s="952"/>
      <c r="F141" s="953"/>
    </row>
    <row r="142" spans="2:8" ht="14.4">
      <c r="B142" s="960" t="str">
        <f>'BDO Prequal'!B224</f>
        <v>{Insert business name which represents Affiliate 1}</v>
      </c>
      <c r="C142" s="961"/>
      <c r="D142" s="961"/>
      <c r="E142" s="961"/>
      <c r="F142" s="962"/>
    </row>
    <row r="143" spans="2:8" ht="14.4">
      <c r="B143" s="526"/>
      <c r="C143" s="527"/>
      <c r="D143" s="527"/>
      <c r="E143" s="527"/>
      <c r="F143" s="528"/>
    </row>
    <row r="144" spans="2:8" ht="14.4">
      <c r="B144" s="513"/>
      <c r="C144" s="531">
        <f>'BDO Prequal'!D226</f>
        <v>44926</v>
      </c>
      <c r="D144" s="531">
        <f>'BDO Prequal'!F226</f>
        <v>45291</v>
      </c>
      <c r="E144" s="531">
        <f>'BDO Prequal'!H226</f>
        <v>45657</v>
      </c>
      <c r="F144" s="532">
        <f>'BDO Prequal'!J226</f>
        <v>45747</v>
      </c>
    </row>
    <row r="145" spans="2:6" ht="14.4">
      <c r="B145" s="534"/>
      <c r="C145" s="535"/>
      <c r="D145" s="535"/>
      <c r="E145" s="535"/>
      <c r="F145" s="536">
        <f>'BDO Prequal'!J230</f>
        <v>0</v>
      </c>
    </row>
    <row r="146" spans="2:6" ht="14.4">
      <c r="B146" s="513" t="str">
        <f>'BDO Prequal'!C240</f>
        <v>Total Revenue</v>
      </c>
      <c r="C146" s="539">
        <f>'BDO Prequal'!D240</f>
        <v>0</v>
      </c>
      <c r="D146" s="539">
        <f>'BDO Prequal'!F240</f>
        <v>0</v>
      </c>
      <c r="E146" s="539">
        <f>'BDO Prequal'!H240</f>
        <v>0</v>
      </c>
      <c r="F146" s="540">
        <f>'BDO Prequal'!J240</f>
        <v>0</v>
      </c>
    </row>
    <row r="147" spans="2:6" ht="14.4">
      <c r="B147" s="513" t="str">
        <f>'BDO Prequal'!C241</f>
        <v>Total COGS</v>
      </c>
      <c r="C147" s="542">
        <f>'BDO Prequal'!D241</f>
        <v>0</v>
      </c>
      <c r="D147" s="542">
        <f>'BDO Prequal'!F241</f>
        <v>0</v>
      </c>
      <c r="E147" s="542">
        <f>'BDO Prequal'!H241</f>
        <v>0</v>
      </c>
      <c r="F147" s="543">
        <f>'BDO Prequal'!J241</f>
        <v>0</v>
      </c>
    </row>
    <row r="148" spans="2:6" ht="14.4">
      <c r="B148" s="513" t="str">
        <f>'BDO Prequal'!C242</f>
        <v>Total Gross Margin</v>
      </c>
      <c r="C148" s="545">
        <f>'BDO Prequal'!D242</f>
        <v>0</v>
      </c>
      <c r="D148" s="545">
        <f>'BDO Prequal'!F242</f>
        <v>0</v>
      </c>
      <c r="E148" s="545">
        <f>'BDO Prequal'!H242</f>
        <v>0</v>
      </c>
      <c r="F148" s="546">
        <f>'BDO Prequal'!J242</f>
        <v>0</v>
      </c>
    </row>
    <row r="149" spans="2:6" ht="14.4">
      <c r="B149" s="513" t="str">
        <f>'BDO Prequal'!C269</f>
        <v>Total Operating Expenses</v>
      </c>
      <c r="C149" s="548">
        <f>'BDO Prequal'!D269</f>
        <v>0</v>
      </c>
      <c r="D149" s="548">
        <f>'BDO Prequal'!F269</f>
        <v>0</v>
      </c>
      <c r="E149" s="548">
        <f>'BDO Prequal'!H269</f>
        <v>0</v>
      </c>
      <c r="F149" s="549">
        <f>'BDO Prequal'!J269</f>
        <v>0</v>
      </c>
    </row>
    <row r="150" spans="2:6" ht="14.4">
      <c r="B150" s="551" t="str">
        <f>'BDO Prequal'!C271</f>
        <v>Ordinary Income</v>
      </c>
      <c r="C150" s="552">
        <f>'BDO Prequal'!D271</f>
        <v>0</v>
      </c>
      <c r="D150" s="552">
        <f>'BDO Prequal'!F271</f>
        <v>0</v>
      </c>
      <c r="E150" s="552">
        <f>'BDO Prequal'!H271</f>
        <v>0</v>
      </c>
      <c r="F150" s="553">
        <f>'BDO Prequal'!J271</f>
        <v>0</v>
      </c>
    </row>
    <row r="151" spans="2:6" ht="14.4">
      <c r="B151" s="513" t="str">
        <f>'BDO Prequal'!C277</f>
        <v>Total Other Income (Expenses)</v>
      </c>
      <c r="C151" s="548">
        <f>'BDO Prequal'!D277</f>
        <v>0</v>
      </c>
      <c r="D151" s="548">
        <f>'BDO Prequal'!F277</f>
        <v>0</v>
      </c>
      <c r="E151" s="548">
        <f>'BDO Prequal'!H277</f>
        <v>0</v>
      </c>
      <c r="F151" s="549">
        <f>'BDO Prequal'!J277</f>
        <v>0</v>
      </c>
    </row>
    <row r="152" spans="2:6" ht="14.4">
      <c r="B152" s="513" t="str">
        <f>'BDO Prequal'!C279</f>
        <v>Net Income Before Taxes</v>
      </c>
      <c r="C152" s="545">
        <f>'BDO Prequal'!D279</f>
        <v>0</v>
      </c>
      <c r="D152" s="545">
        <f>'BDO Prequal'!F279</f>
        <v>0</v>
      </c>
      <c r="E152" s="545">
        <f>'BDO Prequal'!H279</f>
        <v>0</v>
      </c>
      <c r="F152" s="546">
        <f>'BDO Prequal'!J279</f>
        <v>0</v>
      </c>
    </row>
    <row r="153" spans="2:6" ht="14.4">
      <c r="B153" s="513" t="str">
        <f>'BDO Prequal'!C280</f>
        <v>Income Taxes</v>
      </c>
      <c r="C153" s="545">
        <f>'BDO Prequal'!D280</f>
        <v>0</v>
      </c>
      <c r="D153" s="545">
        <f>'BDO Prequal'!F280</f>
        <v>0</v>
      </c>
      <c r="E153" s="545">
        <f>'BDO Prequal'!H280</f>
        <v>0</v>
      </c>
      <c r="F153" s="546">
        <f>'BDO Prequal'!J280</f>
        <v>0</v>
      </c>
    </row>
    <row r="154" spans="2:6" ht="14.4">
      <c r="B154" s="551" t="str">
        <f>'BDO Prequal'!C282</f>
        <v>NET INCOME AFTER TAXES</v>
      </c>
      <c r="C154" s="552">
        <f>'BDO Prequal'!D282</f>
        <v>0</v>
      </c>
      <c r="D154" s="552">
        <f>'BDO Prequal'!F282</f>
        <v>0</v>
      </c>
      <c r="E154" s="552">
        <f>'BDO Prequal'!H282</f>
        <v>0</v>
      </c>
      <c r="F154" s="553">
        <f>'BDO Prequal'!J282</f>
        <v>0</v>
      </c>
    </row>
    <row r="155" spans="2:6" ht="14.4">
      <c r="B155" s="513"/>
      <c r="C155" s="555"/>
      <c r="D155" s="555"/>
      <c r="E155" s="555"/>
      <c r="F155" s="556"/>
    </row>
    <row r="156" spans="2:6" ht="14.4">
      <c r="B156" s="559" t="str">
        <f>'BDO Prequal'!C284</f>
        <v>Add Backs :</v>
      </c>
      <c r="C156" s="527"/>
      <c r="D156" s="527"/>
      <c r="E156" s="527"/>
      <c r="F156" s="528"/>
    </row>
    <row r="157" spans="2:6" ht="14.4">
      <c r="B157" s="562" t="str">
        <f>'BDO Prequal'!C285</f>
        <v xml:space="preserve">  + Compensation of Officers</v>
      </c>
      <c r="C157" s="539">
        <f>'BDO Prequal'!D285</f>
        <v>0</v>
      </c>
      <c r="D157" s="539">
        <f>'BDO Prequal'!F285</f>
        <v>0</v>
      </c>
      <c r="E157" s="539">
        <f>'BDO Prequal'!H285</f>
        <v>0</v>
      </c>
      <c r="F157" s="540">
        <f>'BDO Prequal'!J285</f>
        <v>0</v>
      </c>
    </row>
    <row r="158" spans="2:6" ht="14.4">
      <c r="B158" s="563" t="str">
        <f>'BDO Prequal'!C286</f>
        <v xml:space="preserve">  + Depreciation/Amortization</v>
      </c>
      <c r="C158" s="564">
        <f>'BDO Prequal'!D286</f>
        <v>0</v>
      </c>
      <c r="D158" s="564">
        <f>'BDO Prequal'!F286</f>
        <v>0</v>
      </c>
      <c r="E158" s="564">
        <f>'BDO Prequal'!H286</f>
        <v>0</v>
      </c>
      <c r="F158" s="565">
        <f>'BDO Prequal'!J286</f>
        <v>0</v>
      </c>
    </row>
    <row r="159" spans="2:6" ht="14.4">
      <c r="B159" s="563" t="str">
        <f>'BDO Prequal'!C287</f>
        <v xml:space="preserve">  + Interest Expense</v>
      </c>
      <c r="C159" s="564">
        <f>'BDO Prequal'!D287</f>
        <v>0</v>
      </c>
      <c r="D159" s="564">
        <f>'BDO Prequal'!F287</f>
        <v>0</v>
      </c>
      <c r="E159" s="564">
        <f>'BDO Prequal'!H287</f>
        <v>0</v>
      </c>
      <c r="F159" s="565">
        <f>'BDO Prequal'!J287</f>
        <v>0</v>
      </c>
    </row>
    <row r="160" spans="2:6" ht="14.4">
      <c r="B160" s="563" t="str">
        <f>'BDO Prequal'!C288</f>
        <v xml:space="preserve">  + Rent Add Back</v>
      </c>
      <c r="C160" s="564">
        <f>'BDO Prequal'!D288</f>
        <v>0</v>
      </c>
      <c r="D160" s="564">
        <f>'BDO Prequal'!F288</f>
        <v>0</v>
      </c>
      <c r="E160" s="564">
        <f>'BDO Prequal'!H288</f>
        <v>0</v>
      </c>
      <c r="F160" s="565">
        <f>'BDO Prequal'!J288</f>
        <v>0</v>
      </c>
    </row>
    <row r="161" spans="2:6" ht="14.4">
      <c r="B161" s="567" t="str">
        <f>'BDO Prequal'!C289</f>
        <v>+ - Other</v>
      </c>
      <c r="C161" s="564">
        <f>'BDO Prequal'!D289</f>
        <v>0</v>
      </c>
      <c r="D161" s="564">
        <f>'BDO Prequal'!F289</f>
        <v>0</v>
      </c>
      <c r="E161" s="564">
        <f>'BDO Prequal'!H289</f>
        <v>0</v>
      </c>
      <c r="F161" s="565">
        <f>'BDO Prequal'!J289</f>
        <v>0</v>
      </c>
    </row>
    <row r="162" spans="2:6" ht="14.4">
      <c r="B162" s="567" t="str">
        <f>'BDO Prequal'!C290</f>
        <v>+ - Other</v>
      </c>
      <c r="C162" s="564">
        <f>'BDO Prequal'!D290</f>
        <v>0</v>
      </c>
      <c r="D162" s="564">
        <f>'BDO Prequal'!F290</f>
        <v>0</v>
      </c>
      <c r="E162" s="564">
        <f>'BDO Prequal'!H290</f>
        <v>0</v>
      </c>
      <c r="F162" s="565">
        <f>'BDO Prequal'!J290</f>
        <v>0</v>
      </c>
    </row>
    <row r="163" spans="2:6" ht="14.4">
      <c r="B163" s="563" t="str">
        <f>'BDO Prequal'!C291</f>
        <v xml:space="preserve">  - Estimated Property Tax</v>
      </c>
      <c r="C163" s="542">
        <f>'BDO Prequal'!D291</f>
        <v>0</v>
      </c>
      <c r="D163" s="542">
        <f>'BDO Prequal'!F291</f>
        <v>0</v>
      </c>
      <c r="E163" s="542">
        <f>'BDO Prequal'!H291</f>
        <v>0</v>
      </c>
      <c r="F163" s="543">
        <f>'BDO Prequal'!J291</f>
        <v>0</v>
      </c>
    </row>
    <row r="164" spans="2:6" ht="14.4">
      <c r="B164" s="563"/>
      <c r="C164" s="527"/>
      <c r="D164" s="527"/>
      <c r="E164" s="527"/>
      <c r="F164" s="528"/>
    </row>
    <row r="165" spans="2:6" ht="14.4">
      <c r="B165" s="563" t="str">
        <f>'BDO Prequal'!C294</f>
        <v>Cash Available</v>
      </c>
      <c r="C165" s="575">
        <f>'BDO Prequal'!D294</f>
        <v>0</v>
      </c>
      <c r="D165" s="575">
        <f>'BDO Prequal'!F294</f>
        <v>0</v>
      </c>
      <c r="E165" s="575">
        <f>'BDO Prequal'!H294</f>
        <v>0</v>
      </c>
      <c r="F165" s="576">
        <f>'BDO Prequal'!J294</f>
        <v>0</v>
      </c>
    </row>
    <row r="166" spans="2:6" ht="14.4">
      <c r="B166" s="563"/>
      <c r="C166" s="527"/>
      <c r="D166" s="527"/>
      <c r="E166" s="527"/>
      <c r="F166" s="528"/>
    </row>
    <row r="167" spans="2:6" ht="14.4">
      <c r="B167" s="513" t="str">
        <f>'BDO Prequal'!C296</f>
        <v>Existing Monthly Debt</v>
      </c>
      <c r="C167" s="503">
        <f>'BDO Prequal'!D296</f>
        <v>0</v>
      </c>
      <c r="D167" s="503">
        <f>'BDO Prequal'!F296</f>
        <v>0</v>
      </c>
      <c r="E167" s="503">
        <f>'BDO Prequal'!H296</f>
        <v>0</v>
      </c>
      <c r="F167" s="586">
        <f>'BDO Prequal'!J296</f>
        <v>0</v>
      </c>
    </row>
    <row r="168" spans="2:6" ht="14.4">
      <c r="B168" s="513" t="str">
        <f>'BDO Prequal'!C297</f>
        <v>Existing Debt</v>
      </c>
      <c r="C168" s="545">
        <f>'BDO Prequal'!D297</f>
        <v>0</v>
      </c>
      <c r="D168" s="545">
        <f>'BDO Prequal'!F297</f>
        <v>0</v>
      </c>
      <c r="E168" s="545">
        <f>'BDO Prequal'!H297</f>
        <v>0</v>
      </c>
      <c r="F168" s="546">
        <f>'BDO Prequal'!J297</f>
        <v>0</v>
      </c>
    </row>
    <row r="169" spans="2:6" ht="14.4">
      <c r="B169" s="526"/>
      <c r="C169" s="527"/>
      <c r="D169" s="527"/>
      <c r="E169" s="527"/>
      <c r="F169" s="528"/>
    </row>
    <row r="170" spans="2:6" ht="14.4">
      <c r="B170" s="551" t="str">
        <f>'BDO Prequal'!C299</f>
        <v>DCR</v>
      </c>
      <c r="C170" s="578">
        <f>'BDO Prequal'!D299</f>
        <v>0</v>
      </c>
      <c r="D170" s="578">
        <f>'BDO Prequal'!F299</f>
        <v>0</v>
      </c>
      <c r="E170" s="578">
        <f>'BDO Prequal'!H299</f>
        <v>0</v>
      </c>
      <c r="F170" s="579">
        <f>'BDO Prequal'!J299</f>
        <v>0</v>
      </c>
    </row>
    <row r="171" spans="2:6" ht="14.4">
      <c r="B171" s="581"/>
      <c r="C171" s="582"/>
      <c r="D171" s="582"/>
      <c r="E171" s="582"/>
      <c r="F171" s="583"/>
    </row>
    <row r="172" spans="2:6" ht="14.4">
      <c r="B172" s="587"/>
      <c r="C172" s="587"/>
      <c r="D172" s="587"/>
      <c r="E172" s="587"/>
      <c r="F172" s="587"/>
    </row>
    <row r="173" spans="2:6" ht="14.4">
      <c r="B173" s="587"/>
      <c r="C173" s="587"/>
      <c r="D173" s="587"/>
      <c r="E173" s="587"/>
      <c r="F173" s="587"/>
    </row>
    <row r="174" spans="2:6" ht="14.4">
      <c r="B174" s="954" t="s">
        <v>455</v>
      </c>
      <c r="C174" s="955"/>
      <c r="D174" s="955"/>
      <c r="E174" s="955"/>
      <c r="F174" s="956"/>
    </row>
    <row r="175" spans="2:6" ht="14.4">
      <c r="B175" s="951"/>
      <c r="C175" s="952"/>
      <c r="D175" s="952"/>
      <c r="E175" s="952"/>
      <c r="F175" s="953"/>
    </row>
    <row r="176" spans="2:6" ht="14.4">
      <c r="B176" s="960" t="str">
        <f>'BDO Prequal'!B303</f>
        <v>{Insert business name which represents Affiliate 2}</v>
      </c>
      <c r="C176" s="961"/>
      <c r="D176" s="961"/>
      <c r="E176" s="961"/>
      <c r="F176" s="962"/>
    </row>
    <row r="177" spans="2:6" ht="14.4">
      <c r="B177" s="526"/>
      <c r="C177" s="527"/>
      <c r="D177" s="527"/>
      <c r="E177" s="527"/>
      <c r="F177" s="528"/>
    </row>
    <row r="178" spans="2:6" ht="14.4">
      <c r="B178" s="513"/>
      <c r="C178" s="531">
        <f>'BDO Prequal'!D305</f>
        <v>44926</v>
      </c>
      <c r="D178" s="531">
        <f>'BDO Prequal'!F305</f>
        <v>45291</v>
      </c>
      <c r="E178" s="531">
        <f>'BDO Prequal'!H305</f>
        <v>45657</v>
      </c>
      <c r="F178" s="532">
        <f>'BDO Prequal'!J305</f>
        <v>45747</v>
      </c>
    </row>
    <row r="179" spans="2:6" ht="14.4">
      <c r="B179" s="534"/>
      <c r="C179" s="535"/>
      <c r="D179" s="535"/>
      <c r="E179" s="535"/>
      <c r="F179" s="536">
        <f>'BDO Prequal'!J309</f>
        <v>0</v>
      </c>
    </row>
    <row r="180" spans="2:6" ht="14.4">
      <c r="B180" s="513" t="str">
        <f>'BDO Prequal'!C319</f>
        <v>Total Revenue</v>
      </c>
      <c r="C180" s="539">
        <f>'BDO Prequal'!D319</f>
        <v>0</v>
      </c>
      <c r="D180" s="539">
        <f>'BDO Prequal'!F319</f>
        <v>0</v>
      </c>
      <c r="E180" s="539">
        <f>'BDO Prequal'!H319</f>
        <v>0</v>
      </c>
      <c r="F180" s="540">
        <f>'BDO Prequal'!J319</f>
        <v>0</v>
      </c>
    </row>
    <row r="181" spans="2:6" ht="14.4">
      <c r="B181" s="513" t="str">
        <f>'BDO Prequal'!C320</f>
        <v>Total COGS</v>
      </c>
      <c r="C181" s="542">
        <f>'BDO Prequal'!D320</f>
        <v>0</v>
      </c>
      <c r="D181" s="542">
        <f>'BDO Prequal'!F320</f>
        <v>0</v>
      </c>
      <c r="E181" s="542">
        <f>'BDO Prequal'!H320</f>
        <v>0</v>
      </c>
      <c r="F181" s="543">
        <f>'BDO Prequal'!J320</f>
        <v>0</v>
      </c>
    </row>
    <row r="182" spans="2:6" ht="14.4">
      <c r="B182" s="513" t="str">
        <f>'BDO Prequal'!C321</f>
        <v>Total Gross Margin</v>
      </c>
      <c r="C182" s="545">
        <f>'BDO Prequal'!D321</f>
        <v>0</v>
      </c>
      <c r="D182" s="545">
        <f>'BDO Prequal'!F321</f>
        <v>0</v>
      </c>
      <c r="E182" s="545">
        <f>'BDO Prequal'!H321</f>
        <v>0</v>
      </c>
      <c r="F182" s="546">
        <f>'BDO Prequal'!J321</f>
        <v>0</v>
      </c>
    </row>
    <row r="183" spans="2:6" ht="14.4">
      <c r="B183" s="513" t="str">
        <f>'BDO Prequal'!C348</f>
        <v>Total Operating Expenses</v>
      </c>
      <c r="C183" s="548">
        <f>'BDO Prequal'!D348</f>
        <v>0</v>
      </c>
      <c r="D183" s="548">
        <f>'BDO Prequal'!F348</f>
        <v>0</v>
      </c>
      <c r="E183" s="548">
        <f>'BDO Prequal'!H348</f>
        <v>0</v>
      </c>
      <c r="F183" s="549">
        <f>'BDO Prequal'!J348</f>
        <v>0</v>
      </c>
    </row>
    <row r="184" spans="2:6" ht="14.4">
      <c r="B184" s="551" t="str">
        <f>'BDO Prequal'!C350</f>
        <v>Ordinary Income</v>
      </c>
      <c r="C184" s="552">
        <f>'BDO Prequal'!D350</f>
        <v>0</v>
      </c>
      <c r="D184" s="552">
        <f>'BDO Prequal'!F350</f>
        <v>0</v>
      </c>
      <c r="E184" s="552">
        <f>'BDO Prequal'!H350</f>
        <v>0</v>
      </c>
      <c r="F184" s="553">
        <f>'BDO Prequal'!J350</f>
        <v>0</v>
      </c>
    </row>
    <row r="185" spans="2:6" ht="14.4">
      <c r="B185" s="513" t="str">
        <f>'BDO Prequal'!C356</f>
        <v>Total Other Income (Expenses)</v>
      </c>
      <c r="C185" s="548">
        <f>'BDO Prequal'!D356</f>
        <v>0</v>
      </c>
      <c r="D185" s="548">
        <f>'BDO Prequal'!F356</f>
        <v>0</v>
      </c>
      <c r="E185" s="548">
        <f>'BDO Prequal'!H356</f>
        <v>0</v>
      </c>
      <c r="F185" s="549">
        <f>'BDO Prequal'!J356</f>
        <v>0</v>
      </c>
    </row>
    <row r="186" spans="2:6" ht="14.4">
      <c r="B186" s="513" t="str">
        <f>'BDO Prequal'!C358</f>
        <v>Net Income Before Taxes</v>
      </c>
      <c r="C186" s="545">
        <f>'BDO Prequal'!D358</f>
        <v>0</v>
      </c>
      <c r="D186" s="545">
        <f>'BDO Prequal'!F358</f>
        <v>0</v>
      </c>
      <c r="E186" s="545">
        <f>'BDO Prequal'!H358</f>
        <v>0</v>
      </c>
      <c r="F186" s="546">
        <f>'BDO Prequal'!J358</f>
        <v>0</v>
      </c>
    </row>
    <row r="187" spans="2:6" ht="14.4">
      <c r="B187" s="513" t="str">
        <f>'BDO Prequal'!C359</f>
        <v>Income Taxes</v>
      </c>
      <c r="C187" s="548">
        <f>'BDO Prequal'!D359</f>
        <v>0</v>
      </c>
      <c r="D187" s="548">
        <f>'BDO Prequal'!F359</f>
        <v>0</v>
      </c>
      <c r="E187" s="548">
        <f>'BDO Prequal'!H359</f>
        <v>0</v>
      </c>
      <c r="F187" s="549">
        <f>'BDO Prequal'!J359</f>
        <v>0</v>
      </c>
    </row>
    <row r="188" spans="2:6" ht="14.4">
      <c r="B188" s="551" t="str">
        <f>'BDO Prequal'!C361</f>
        <v>NET INCOME AFTER TAXES</v>
      </c>
      <c r="C188" s="552">
        <f>'BDO Prequal'!D361</f>
        <v>0</v>
      </c>
      <c r="D188" s="552">
        <f>'BDO Prequal'!F361</f>
        <v>0</v>
      </c>
      <c r="E188" s="552">
        <f>'BDO Prequal'!H361</f>
        <v>0</v>
      </c>
      <c r="F188" s="553">
        <f>'BDO Prequal'!J361</f>
        <v>0</v>
      </c>
    </row>
    <row r="189" spans="2:6" ht="14.4">
      <c r="B189" s="513"/>
      <c r="C189" s="555"/>
      <c r="D189" s="555"/>
      <c r="E189" s="555"/>
      <c r="F189" s="556"/>
    </row>
    <row r="190" spans="2:6" ht="14.4">
      <c r="B190" s="559" t="str">
        <f>'BDO Prequal'!C363</f>
        <v>Add Backs :</v>
      </c>
      <c r="C190" s="527"/>
      <c r="D190" s="527"/>
      <c r="E190" s="527"/>
      <c r="F190" s="528"/>
    </row>
    <row r="191" spans="2:6" ht="14.4">
      <c r="B191" s="562" t="str">
        <f>'BDO Prequal'!C364</f>
        <v xml:space="preserve">  + Compensation of Officers</v>
      </c>
      <c r="C191" s="539">
        <f>'BDO Prequal'!D364</f>
        <v>0</v>
      </c>
      <c r="D191" s="539">
        <f>'BDO Prequal'!F364</f>
        <v>0</v>
      </c>
      <c r="E191" s="539">
        <f>'BDO Prequal'!H364</f>
        <v>0</v>
      </c>
      <c r="F191" s="540">
        <f>'BDO Prequal'!J364</f>
        <v>0</v>
      </c>
    </row>
    <row r="192" spans="2:6" ht="14.4">
      <c r="B192" s="563" t="str">
        <f>'BDO Prequal'!C365</f>
        <v xml:space="preserve">  + Depreciation/Amortization</v>
      </c>
      <c r="C192" s="564">
        <f>'BDO Prequal'!D365</f>
        <v>0</v>
      </c>
      <c r="D192" s="564">
        <f>'BDO Prequal'!F365</f>
        <v>0</v>
      </c>
      <c r="E192" s="564">
        <f>'BDO Prequal'!H365</f>
        <v>0</v>
      </c>
      <c r="F192" s="565">
        <f>'BDO Prequal'!J365</f>
        <v>0</v>
      </c>
    </row>
    <row r="193" spans="2:6" ht="14.4">
      <c r="B193" s="563" t="str">
        <f>'BDO Prequal'!C366</f>
        <v xml:space="preserve">  + Interest Expense</v>
      </c>
      <c r="C193" s="564">
        <f>'BDO Prequal'!D366</f>
        <v>0</v>
      </c>
      <c r="D193" s="564">
        <f>'BDO Prequal'!F366</f>
        <v>0</v>
      </c>
      <c r="E193" s="564">
        <f>'BDO Prequal'!H366</f>
        <v>0</v>
      </c>
      <c r="F193" s="565">
        <f>'BDO Prequal'!J366</f>
        <v>0</v>
      </c>
    </row>
    <row r="194" spans="2:6" ht="14.4">
      <c r="B194" s="563" t="str">
        <f>'BDO Prequal'!C367</f>
        <v xml:space="preserve">  + Rent Add Back</v>
      </c>
      <c r="C194" s="564">
        <f>'BDO Prequal'!D367</f>
        <v>0</v>
      </c>
      <c r="D194" s="564">
        <f>'BDO Prequal'!F367</f>
        <v>0</v>
      </c>
      <c r="E194" s="564">
        <f>'BDO Prequal'!H367</f>
        <v>0</v>
      </c>
      <c r="F194" s="565">
        <f>'BDO Prequal'!J367</f>
        <v>0</v>
      </c>
    </row>
    <row r="195" spans="2:6" ht="14.4">
      <c r="B195" s="567" t="str">
        <f>'BDO Prequal'!C368</f>
        <v>+ - Other</v>
      </c>
      <c r="C195" s="564">
        <f>'BDO Prequal'!D368</f>
        <v>0</v>
      </c>
      <c r="D195" s="564">
        <f>'BDO Prequal'!F368</f>
        <v>0</v>
      </c>
      <c r="E195" s="564">
        <f>'BDO Prequal'!H368</f>
        <v>0</v>
      </c>
      <c r="F195" s="565">
        <f>'BDO Prequal'!J368</f>
        <v>0</v>
      </c>
    </row>
    <row r="196" spans="2:6" ht="14.4">
      <c r="B196" s="567" t="str">
        <f>'BDO Prequal'!C369</f>
        <v>+ - Other</v>
      </c>
      <c r="C196" s="564">
        <f>'BDO Prequal'!D369</f>
        <v>0</v>
      </c>
      <c r="D196" s="564">
        <f>'BDO Prequal'!F369</f>
        <v>0</v>
      </c>
      <c r="E196" s="564">
        <f>'BDO Prequal'!H369</f>
        <v>0</v>
      </c>
      <c r="F196" s="565">
        <f>'BDO Prequal'!J369</f>
        <v>0</v>
      </c>
    </row>
    <row r="197" spans="2:6" ht="14.4">
      <c r="B197" s="563" t="str">
        <f>'BDO Prequal'!C370</f>
        <v xml:space="preserve">  - Estimated Property Tax</v>
      </c>
      <c r="C197" s="542">
        <f>'BDO Prequal'!D370</f>
        <v>0</v>
      </c>
      <c r="D197" s="542">
        <f>'BDO Prequal'!F370</f>
        <v>0</v>
      </c>
      <c r="E197" s="542">
        <f>'BDO Prequal'!H370</f>
        <v>0</v>
      </c>
      <c r="F197" s="543">
        <f>'BDO Prequal'!J370</f>
        <v>0</v>
      </c>
    </row>
    <row r="198" spans="2:6" ht="14.4">
      <c r="B198" s="563"/>
      <c r="C198" s="527"/>
      <c r="D198" s="527"/>
      <c r="E198" s="527"/>
      <c r="F198" s="528"/>
    </row>
    <row r="199" spans="2:6" ht="14.4">
      <c r="B199" s="563" t="str">
        <f>'BDO Prequal'!C373</f>
        <v>Cash Available</v>
      </c>
      <c r="C199" s="575">
        <f>'BDO Prequal'!D373</f>
        <v>0</v>
      </c>
      <c r="D199" s="575">
        <f>'BDO Prequal'!F373</f>
        <v>0</v>
      </c>
      <c r="E199" s="575">
        <f>'BDO Prequal'!H373</f>
        <v>0</v>
      </c>
      <c r="F199" s="576">
        <f>'BDO Prequal'!J373</f>
        <v>0</v>
      </c>
    </row>
    <row r="200" spans="2:6" ht="14.4">
      <c r="B200" s="563"/>
      <c r="C200" s="527"/>
      <c r="D200" s="527"/>
      <c r="E200" s="527"/>
      <c r="F200" s="528"/>
    </row>
    <row r="201" spans="2:6" ht="14.4">
      <c r="B201" s="513" t="str">
        <f>'BDO Prequal'!C375</f>
        <v>Existing Monthly Debt</v>
      </c>
      <c r="C201" s="503">
        <f>'BDO Prequal'!D375</f>
        <v>0</v>
      </c>
      <c r="D201" s="503">
        <f>'BDO Prequal'!F375</f>
        <v>0</v>
      </c>
      <c r="E201" s="503">
        <f>'BDO Prequal'!H375</f>
        <v>0</v>
      </c>
      <c r="F201" s="586">
        <f>'BDO Prequal'!J375</f>
        <v>0</v>
      </c>
    </row>
    <row r="202" spans="2:6" ht="14.4">
      <c r="B202" s="513" t="str">
        <f>'BDO Prequal'!C376</f>
        <v>Existing Debt</v>
      </c>
      <c r="C202" s="545">
        <f>'BDO Prequal'!D376</f>
        <v>0</v>
      </c>
      <c r="D202" s="545">
        <f>'BDO Prequal'!F376</f>
        <v>0</v>
      </c>
      <c r="E202" s="545">
        <f>'BDO Prequal'!H376</f>
        <v>0</v>
      </c>
      <c r="F202" s="546">
        <f>'BDO Prequal'!J376</f>
        <v>0</v>
      </c>
    </row>
    <row r="203" spans="2:6" ht="14.4">
      <c r="B203" s="526"/>
      <c r="C203" s="527"/>
      <c r="D203" s="527"/>
      <c r="E203" s="527"/>
      <c r="F203" s="528"/>
    </row>
    <row r="204" spans="2:6" ht="14.4">
      <c r="B204" s="551" t="str">
        <f>'BDO Prequal'!C378</f>
        <v>DCR</v>
      </c>
      <c r="C204" s="578">
        <f>'BDO Prequal'!D378</f>
        <v>0</v>
      </c>
      <c r="D204" s="578">
        <f>'BDO Prequal'!F378</f>
        <v>0</v>
      </c>
      <c r="E204" s="578">
        <f>'BDO Prequal'!H378</f>
        <v>0</v>
      </c>
      <c r="F204" s="579">
        <f>'BDO Prequal'!J378</f>
        <v>0</v>
      </c>
    </row>
    <row r="205" spans="2:6" ht="14.4">
      <c r="B205" s="581"/>
      <c r="C205" s="582"/>
      <c r="D205" s="582"/>
      <c r="E205" s="582"/>
      <c r="F205" s="583"/>
    </row>
    <row r="206" spans="2:6" ht="14.4">
      <c r="B206" s="587"/>
      <c r="C206" s="587"/>
      <c r="D206" s="587"/>
      <c r="E206" s="587"/>
      <c r="F206" s="587"/>
    </row>
    <row r="207" spans="2:6" ht="14.4">
      <c r="B207" s="587"/>
      <c r="C207" s="587"/>
      <c r="D207" s="587"/>
      <c r="E207" s="587"/>
      <c r="F207" s="587"/>
    </row>
    <row r="208" spans="2:6" ht="14.4">
      <c r="B208" s="954" t="s">
        <v>456</v>
      </c>
      <c r="C208" s="955"/>
      <c r="D208" s="955"/>
      <c r="E208" s="955"/>
      <c r="F208" s="956"/>
    </row>
    <row r="209" spans="2:6" ht="14.4">
      <c r="B209" s="951"/>
      <c r="C209" s="952"/>
      <c r="D209" s="952"/>
      <c r="E209" s="952"/>
      <c r="F209" s="953"/>
    </row>
    <row r="210" spans="2:6" ht="14.4">
      <c r="B210" s="960" t="str">
        <f>'BDO Prequal'!B382</f>
        <v>{Insert business name which represents Affiliate 3}</v>
      </c>
      <c r="C210" s="961"/>
      <c r="D210" s="961"/>
      <c r="E210" s="961"/>
      <c r="F210" s="962"/>
    </row>
    <row r="211" spans="2:6" ht="14.4">
      <c r="B211" s="526"/>
      <c r="C211" s="527"/>
      <c r="D211" s="527"/>
      <c r="E211" s="527"/>
      <c r="F211" s="528"/>
    </row>
    <row r="212" spans="2:6" ht="14.4">
      <c r="B212" s="513"/>
      <c r="C212" s="531">
        <f>'BDO Prequal'!D384</f>
        <v>44926</v>
      </c>
      <c r="D212" s="531">
        <f>'BDO Prequal'!F384</f>
        <v>45291</v>
      </c>
      <c r="E212" s="531">
        <f>'BDO Prequal'!H384</f>
        <v>45657</v>
      </c>
      <c r="F212" s="532">
        <f>'BDO Prequal'!J384</f>
        <v>45747</v>
      </c>
    </row>
    <row r="213" spans="2:6" ht="14.4">
      <c r="B213" s="534"/>
      <c r="C213" s="535"/>
      <c r="D213" s="535"/>
      <c r="E213" s="535"/>
      <c r="F213" s="536">
        <f>'BDO Prequal'!J388</f>
        <v>0</v>
      </c>
    </row>
    <row r="214" spans="2:6" ht="14.4">
      <c r="B214" s="513" t="str">
        <f>'BDO Prequal'!C398</f>
        <v>Total Revenue</v>
      </c>
      <c r="C214" s="539">
        <f>'BDO Prequal'!D398</f>
        <v>0</v>
      </c>
      <c r="D214" s="539">
        <f>'BDO Prequal'!F398</f>
        <v>0</v>
      </c>
      <c r="E214" s="539">
        <f>'BDO Prequal'!H398</f>
        <v>0</v>
      </c>
      <c r="F214" s="540">
        <f>'BDO Prequal'!J398</f>
        <v>0</v>
      </c>
    </row>
    <row r="215" spans="2:6" ht="14.4">
      <c r="B215" s="513" t="str">
        <f>'BDO Prequal'!C399</f>
        <v>Total COGS</v>
      </c>
      <c r="C215" s="542">
        <f>'BDO Prequal'!D399</f>
        <v>0</v>
      </c>
      <c r="D215" s="542">
        <f>'BDO Prequal'!F399</f>
        <v>0</v>
      </c>
      <c r="E215" s="542">
        <f>'BDO Prequal'!H399</f>
        <v>0</v>
      </c>
      <c r="F215" s="543">
        <f>'BDO Prequal'!J399</f>
        <v>0</v>
      </c>
    </row>
    <row r="216" spans="2:6" ht="14.4">
      <c r="B216" s="513" t="str">
        <f>'BDO Prequal'!C400</f>
        <v>Total Gross Margin</v>
      </c>
      <c r="C216" s="545">
        <f>'BDO Prequal'!D400</f>
        <v>0</v>
      </c>
      <c r="D216" s="545">
        <f>'BDO Prequal'!F400</f>
        <v>0</v>
      </c>
      <c r="E216" s="545">
        <f>'BDO Prequal'!H400</f>
        <v>0</v>
      </c>
      <c r="F216" s="546">
        <f>'BDO Prequal'!J400</f>
        <v>0</v>
      </c>
    </row>
    <row r="217" spans="2:6" ht="14.4">
      <c r="B217" s="513" t="str">
        <f>'BDO Prequal'!C427</f>
        <v>Total Operating Expenses</v>
      </c>
      <c r="C217" s="548">
        <f>'BDO Prequal'!D427</f>
        <v>0</v>
      </c>
      <c r="D217" s="548">
        <f>'BDO Prequal'!F427</f>
        <v>0</v>
      </c>
      <c r="E217" s="548">
        <f>'BDO Prequal'!H427</f>
        <v>0</v>
      </c>
      <c r="F217" s="549">
        <f>'BDO Prequal'!J427</f>
        <v>0</v>
      </c>
    </row>
    <row r="218" spans="2:6" ht="14.4">
      <c r="B218" s="551" t="str">
        <f>'BDO Prequal'!C429</f>
        <v>Ordinary Income</v>
      </c>
      <c r="C218" s="552">
        <f>'BDO Prequal'!D429</f>
        <v>0</v>
      </c>
      <c r="D218" s="552">
        <f>'BDO Prequal'!F429</f>
        <v>0</v>
      </c>
      <c r="E218" s="552">
        <f>'BDO Prequal'!H429</f>
        <v>0</v>
      </c>
      <c r="F218" s="553">
        <f>'BDO Prequal'!J429</f>
        <v>0</v>
      </c>
    </row>
    <row r="219" spans="2:6" ht="14.4">
      <c r="B219" s="513" t="str">
        <f>'BDO Prequal'!C435</f>
        <v>Total Other Income (Expenses)</v>
      </c>
      <c r="C219" s="548">
        <f>'BDO Prequal'!D435</f>
        <v>0</v>
      </c>
      <c r="D219" s="548">
        <f>'BDO Prequal'!F435</f>
        <v>0</v>
      </c>
      <c r="E219" s="548">
        <f>'BDO Prequal'!H435</f>
        <v>0</v>
      </c>
      <c r="F219" s="549">
        <f>'BDO Prequal'!J435</f>
        <v>0</v>
      </c>
    </row>
    <row r="220" spans="2:6" ht="14.4">
      <c r="B220" s="513" t="str">
        <f>'BDO Prequal'!C437</f>
        <v>Net Income Before Taxes</v>
      </c>
      <c r="C220" s="545">
        <f>'BDO Prequal'!D437</f>
        <v>0</v>
      </c>
      <c r="D220" s="545">
        <f>'BDO Prequal'!F437</f>
        <v>0</v>
      </c>
      <c r="E220" s="545">
        <f>'BDO Prequal'!H437</f>
        <v>0</v>
      </c>
      <c r="F220" s="546">
        <f>'BDO Prequal'!J437</f>
        <v>0</v>
      </c>
    </row>
    <row r="221" spans="2:6" ht="14.4">
      <c r="B221" s="513" t="str">
        <f>'BDO Prequal'!C438</f>
        <v>Income Taxes</v>
      </c>
      <c r="C221" s="548">
        <f>'BDO Prequal'!D438</f>
        <v>0</v>
      </c>
      <c r="D221" s="548">
        <f>'BDO Prequal'!F438</f>
        <v>0</v>
      </c>
      <c r="E221" s="548">
        <f>'BDO Prequal'!H438</f>
        <v>0</v>
      </c>
      <c r="F221" s="549">
        <f>'BDO Prequal'!J438</f>
        <v>0</v>
      </c>
    </row>
    <row r="222" spans="2:6" ht="14.4">
      <c r="B222" s="551" t="str">
        <f>'BDO Prequal'!C440</f>
        <v>NET INCOME AFTER TAXES</v>
      </c>
      <c r="C222" s="552">
        <f>'BDO Prequal'!D440</f>
        <v>0</v>
      </c>
      <c r="D222" s="552">
        <f>'BDO Prequal'!F440</f>
        <v>0</v>
      </c>
      <c r="E222" s="552">
        <f>'BDO Prequal'!H440</f>
        <v>0</v>
      </c>
      <c r="F222" s="553">
        <f>'BDO Prequal'!J440</f>
        <v>0</v>
      </c>
    </row>
    <row r="223" spans="2:6" ht="14.4">
      <c r="B223" s="513"/>
      <c r="C223" s="555"/>
      <c r="D223" s="555"/>
      <c r="E223" s="555"/>
      <c r="F223" s="556"/>
    </row>
    <row r="224" spans="2:6" ht="14.4">
      <c r="B224" s="559" t="str">
        <f>'BDO Prequal'!C442</f>
        <v>Add Backs :</v>
      </c>
      <c r="C224" s="527"/>
      <c r="D224" s="527"/>
      <c r="E224" s="527"/>
      <c r="F224" s="528"/>
    </row>
    <row r="225" spans="2:6" ht="14.4">
      <c r="B225" s="562" t="str">
        <f>'BDO Prequal'!C443</f>
        <v xml:space="preserve">  + Compensation of Officers</v>
      </c>
      <c r="C225" s="539">
        <f>'BDO Prequal'!D443</f>
        <v>0</v>
      </c>
      <c r="D225" s="539">
        <f>'BDO Prequal'!F443</f>
        <v>0</v>
      </c>
      <c r="E225" s="539">
        <f>'BDO Prequal'!H443</f>
        <v>0</v>
      </c>
      <c r="F225" s="540">
        <f>'BDO Prequal'!J443</f>
        <v>0</v>
      </c>
    </row>
    <row r="226" spans="2:6" ht="14.4">
      <c r="B226" s="563" t="str">
        <f>'BDO Prequal'!C444</f>
        <v xml:space="preserve">  + Depreciation/Amortization</v>
      </c>
      <c r="C226" s="564">
        <f>'BDO Prequal'!D444</f>
        <v>0</v>
      </c>
      <c r="D226" s="564">
        <f>'BDO Prequal'!F444</f>
        <v>0</v>
      </c>
      <c r="E226" s="564">
        <f>'BDO Prequal'!H444</f>
        <v>0</v>
      </c>
      <c r="F226" s="565">
        <f>'BDO Prequal'!J444</f>
        <v>0</v>
      </c>
    </row>
    <row r="227" spans="2:6" ht="14.4">
      <c r="B227" s="563" t="str">
        <f>'BDO Prequal'!C445</f>
        <v xml:space="preserve">  + Interest Expense</v>
      </c>
      <c r="C227" s="564">
        <f>'BDO Prequal'!D445</f>
        <v>0</v>
      </c>
      <c r="D227" s="564">
        <f>'BDO Prequal'!F445</f>
        <v>0</v>
      </c>
      <c r="E227" s="564">
        <f>'BDO Prequal'!H445</f>
        <v>0</v>
      </c>
      <c r="F227" s="565">
        <f>'BDO Prequal'!J445</f>
        <v>0</v>
      </c>
    </row>
    <row r="228" spans="2:6" ht="14.4">
      <c r="B228" s="563" t="str">
        <f>'BDO Prequal'!C446</f>
        <v xml:space="preserve">  + Rent Add Back</v>
      </c>
      <c r="C228" s="564">
        <f>'BDO Prequal'!D446</f>
        <v>0</v>
      </c>
      <c r="D228" s="564">
        <f>'BDO Prequal'!F446</f>
        <v>0</v>
      </c>
      <c r="E228" s="564">
        <f>'BDO Prequal'!H446</f>
        <v>0</v>
      </c>
      <c r="F228" s="565">
        <f>'BDO Prequal'!J446</f>
        <v>0</v>
      </c>
    </row>
    <row r="229" spans="2:6" ht="14.4">
      <c r="B229" s="567" t="str">
        <f>'BDO Prequal'!C447</f>
        <v>+ - Other</v>
      </c>
      <c r="C229" s="564">
        <f>'BDO Prequal'!D447</f>
        <v>0</v>
      </c>
      <c r="D229" s="564">
        <f>'BDO Prequal'!F447</f>
        <v>0</v>
      </c>
      <c r="E229" s="564">
        <f>'BDO Prequal'!H447</f>
        <v>0</v>
      </c>
      <c r="F229" s="565">
        <f>'BDO Prequal'!J447</f>
        <v>0</v>
      </c>
    </row>
    <row r="230" spans="2:6" ht="14.4">
      <c r="B230" s="567" t="str">
        <f>'BDO Prequal'!C448</f>
        <v>+ - Other</v>
      </c>
      <c r="C230" s="564">
        <f>'BDO Prequal'!D448</f>
        <v>0</v>
      </c>
      <c r="D230" s="564">
        <f>'BDO Prequal'!F448</f>
        <v>0</v>
      </c>
      <c r="E230" s="564">
        <f>'BDO Prequal'!H448</f>
        <v>0</v>
      </c>
      <c r="F230" s="565">
        <f>'BDO Prequal'!J448</f>
        <v>0</v>
      </c>
    </row>
    <row r="231" spans="2:6" ht="14.4">
      <c r="B231" s="563" t="str">
        <f>'BDO Prequal'!C449</f>
        <v xml:space="preserve">  - Estimated Property Tax</v>
      </c>
      <c r="C231" s="542">
        <f>'BDO Prequal'!D449</f>
        <v>0</v>
      </c>
      <c r="D231" s="542">
        <f>'BDO Prequal'!F449</f>
        <v>0</v>
      </c>
      <c r="E231" s="542">
        <f>'BDO Prequal'!H449</f>
        <v>0</v>
      </c>
      <c r="F231" s="543">
        <f>'BDO Prequal'!J449</f>
        <v>0</v>
      </c>
    </row>
    <row r="232" spans="2:6" ht="14.4">
      <c r="B232" s="563"/>
      <c r="C232" s="527"/>
      <c r="D232" s="527"/>
      <c r="E232" s="527"/>
      <c r="F232" s="528"/>
    </row>
    <row r="233" spans="2:6" ht="14.4">
      <c r="B233" s="563" t="str">
        <f>'BDO Prequal'!C452</f>
        <v>Cash Available</v>
      </c>
      <c r="C233" s="575">
        <f>'BDO Prequal'!D452</f>
        <v>0</v>
      </c>
      <c r="D233" s="575">
        <f>'BDO Prequal'!F452</f>
        <v>0</v>
      </c>
      <c r="E233" s="575">
        <f>'BDO Prequal'!H452</f>
        <v>0</v>
      </c>
      <c r="F233" s="576">
        <f>'BDO Prequal'!J452</f>
        <v>0</v>
      </c>
    </row>
    <row r="234" spans="2:6" ht="14.4">
      <c r="B234" s="563"/>
      <c r="C234" s="527"/>
      <c r="D234" s="527"/>
      <c r="E234" s="527"/>
      <c r="F234" s="528"/>
    </row>
    <row r="235" spans="2:6" ht="14.4">
      <c r="B235" s="513" t="str">
        <f>'BDO Prequal'!C454</f>
        <v>Existing Monthly Debt</v>
      </c>
      <c r="C235" s="503">
        <f>'BDO Prequal'!D454</f>
        <v>0</v>
      </c>
      <c r="D235" s="503">
        <f>'BDO Prequal'!F454</f>
        <v>0</v>
      </c>
      <c r="E235" s="503">
        <f>'BDO Prequal'!H454</f>
        <v>0</v>
      </c>
      <c r="F235" s="586">
        <f>'BDO Prequal'!J454</f>
        <v>0</v>
      </c>
    </row>
    <row r="236" spans="2:6" ht="14.4">
      <c r="B236" s="513" t="str">
        <f>'BDO Prequal'!C455</f>
        <v>Existing Debt</v>
      </c>
      <c r="C236" s="545">
        <f>'BDO Prequal'!D455</f>
        <v>0</v>
      </c>
      <c r="D236" s="545">
        <f>'BDO Prequal'!F455</f>
        <v>0</v>
      </c>
      <c r="E236" s="545">
        <f>'BDO Prequal'!H455</f>
        <v>0</v>
      </c>
      <c r="F236" s="546">
        <f>'BDO Prequal'!J455</f>
        <v>0</v>
      </c>
    </row>
    <row r="237" spans="2:6" ht="14.4">
      <c r="B237" s="526"/>
      <c r="C237" s="527"/>
      <c r="D237" s="527"/>
      <c r="E237" s="527"/>
      <c r="F237" s="528"/>
    </row>
    <row r="238" spans="2:6" ht="14.4">
      <c r="B238" s="551" t="str">
        <f>'BDO Prequal'!C457</f>
        <v>DCR</v>
      </c>
      <c r="C238" s="578">
        <f>'BDO Prequal'!D457</f>
        <v>0</v>
      </c>
      <c r="D238" s="578">
        <f>'BDO Prequal'!F457</f>
        <v>0</v>
      </c>
      <c r="E238" s="578">
        <f>'BDO Prequal'!H457</f>
        <v>0</v>
      </c>
      <c r="F238" s="579">
        <f>'BDO Prequal'!J457</f>
        <v>0</v>
      </c>
    </row>
    <row r="239" spans="2:6" ht="14.4">
      <c r="B239" s="581"/>
      <c r="C239" s="582"/>
      <c r="D239" s="582"/>
      <c r="E239" s="582"/>
      <c r="F239" s="583"/>
    </row>
    <row r="240" spans="2:6" ht="14.4">
      <c r="B240" s="587"/>
      <c r="C240" s="587"/>
      <c r="D240" s="587"/>
      <c r="E240" s="587"/>
      <c r="F240" s="587"/>
    </row>
    <row r="241" spans="2:6" ht="14.4">
      <c r="B241" s="587"/>
      <c r="C241" s="587"/>
      <c r="D241" s="587"/>
      <c r="E241" s="587"/>
      <c r="F241" s="587"/>
    </row>
    <row r="242" spans="2:6" ht="14.4">
      <c r="B242" s="954" t="s">
        <v>457</v>
      </c>
      <c r="C242" s="955"/>
      <c r="D242" s="955"/>
      <c r="E242" s="955"/>
      <c r="F242" s="956"/>
    </row>
    <row r="243" spans="2:6" ht="14.4">
      <c r="B243" s="951"/>
      <c r="C243" s="952"/>
      <c r="D243" s="952"/>
      <c r="E243" s="952"/>
      <c r="F243" s="953"/>
    </row>
    <row r="244" spans="2:6" ht="14.4">
      <c r="B244" s="960" t="str">
        <f>'BDO Prequal'!B461</f>
        <v>{Insert business name which represents Affiliate 4}</v>
      </c>
      <c r="C244" s="961"/>
      <c r="D244" s="961"/>
      <c r="E244" s="961"/>
      <c r="F244" s="962"/>
    </row>
    <row r="245" spans="2:6" ht="14.4">
      <c r="B245" s="526"/>
      <c r="C245" s="527"/>
      <c r="D245" s="527"/>
      <c r="E245" s="527"/>
      <c r="F245" s="528"/>
    </row>
    <row r="246" spans="2:6" ht="14.4">
      <c r="B246" s="513"/>
      <c r="C246" s="531">
        <f>'BDO Prequal'!D463</f>
        <v>44926</v>
      </c>
      <c r="D246" s="531">
        <f>'BDO Prequal'!F463</f>
        <v>45291</v>
      </c>
      <c r="E246" s="531">
        <f>'BDO Prequal'!H463</f>
        <v>45657</v>
      </c>
      <c r="F246" s="532">
        <f>'BDO Prequal'!J463</f>
        <v>45747</v>
      </c>
    </row>
    <row r="247" spans="2:6" ht="14.4">
      <c r="B247" s="534"/>
      <c r="C247" s="535"/>
      <c r="D247" s="535"/>
      <c r="E247" s="535"/>
      <c r="F247" s="536">
        <f>'BDO Prequal'!J467</f>
        <v>0</v>
      </c>
    </row>
    <row r="248" spans="2:6" ht="14.4">
      <c r="B248" s="513" t="str">
        <f>'BDO Prequal'!C477</f>
        <v>Total Revenue</v>
      </c>
      <c r="C248" s="539">
        <f>'BDO Prequal'!D477</f>
        <v>0</v>
      </c>
      <c r="D248" s="539">
        <f>'BDO Prequal'!F477</f>
        <v>0</v>
      </c>
      <c r="E248" s="539">
        <f>'BDO Prequal'!H477</f>
        <v>0</v>
      </c>
      <c r="F248" s="540">
        <f>'BDO Prequal'!J477</f>
        <v>0</v>
      </c>
    </row>
    <row r="249" spans="2:6" ht="14.4">
      <c r="B249" s="513" t="str">
        <f>'BDO Prequal'!C478</f>
        <v>Total COGS</v>
      </c>
      <c r="C249" s="542">
        <f>'BDO Prequal'!D478</f>
        <v>0</v>
      </c>
      <c r="D249" s="542">
        <f>'BDO Prequal'!F478</f>
        <v>0</v>
      </c>
      <c r="E249" s="542">
        <f>'BDO Prequal'!H478</f>
        <v>0</v>
      </c>
      <c r="F249" s="543">
        <f>'BDO Prequal'!J478</f>
        <v>0</v>
      </c>
    </row>
    <row r="250" spans="2:6" ht="14.4">
      <c r="B250" s="513" t="str">
        <f>'BDO Prequal'!C479</f>
        <v>Total Gross Margin</v>
      </c>
      <c r="C250" s="545">
        <f>'BDO Prequal'!D479</f>
        <v>0</v>
      </c>
      <c r="D250" s="545">
        <f>'BDO Prequal'!F479</f>
        <v>0</v>
      </c>
      <c r="E250" s="545">
        <f>'BDO Prequal'!H479</f>
        <v>0</v>
      </c>
      <c r="F250" s="546">
        <f>'BDO Prequal'!J479</f>
        <v>0</v>
      </c>
    </row>
    <row r="251" spans="2:6" ht="14.4">
      <c r="B251" s="513" t="str">
        <f>'BDO Prequal'!C506</f>
        <v>Total Operating Expenses</v>
      </c>
      <c r="C251" s="548">
        <f>'BDO Prequal'!D506</f>
        <v>0</v>
      </c>
      <c r="D251" s="548">
        <f>'BDO Prequal'!F506</f>
        <v>0</v>
      </c>
      <c r="E251" s="548">
        <f>'BDO Prequal'!H506</f>
        <v>0</v>
      </c>
      <c r="F251" s="549">
        <f>'BDO Prequal'!J506</f>
        <v>0</v>
      </c>
    </row>
    <row r="252" spans="2:6" ht="14.4">
      <c r="B252" s="551" t="str">
        <f>'BDO Prequal'!C508</f>
        <v>Ordinary Income</v>
      </c>
      <c r="C252" s="552">
        <f>'BDO Prequal'!D508</f>
        <v>0</v>
      </c>
      <c r="D252" s="552">
        <f>'BDO Prequal'!F508</f>
        <v>0</v>
      </c>
      <c r="E252" s="552">
        <f>'BDO Prequal'!H508</f>
        <v>0</v>
      </c>
      <c r="F252" s="553">
        <f>'BDO Prequal'!J508</f>
        <v>0</v>
      </c>
    </row>
    <row r="253" spans="2:6" ht="14.4">
      <c r="B253" s="513" t="str">
        <f>'BDO Prequal'!C514</f>
        <v>Total Other Income (Expenses)</v>
      </c>
      <c r="C253" s="548">
        <f>'BDO Prequal'!D514</f>
        <v>0</v>
      </c>
      <c r="D253" s="548">
        <f>'BDO Prequal'!F514</f>
        <v>0</v>
      </c>
      <c r="E253" s="548">
        <f>'BDO Prequal'!H514</f>
        <v>0</v>
      </c>
      <c r="F253" s="549">
        <f>'BDO Prequal'!J514</f>
        <v>0</v>
      </c>
    </row>
    <row r="254" spans="2:6" ht="14.4">
      <c r="B254" s="513" t="str">
        <f>'BDO Prequal'!C516</f>
        <v>Net Income Before Taxes</v>
      </c>
      <c r="C254" s="545">
        <f>'BDO Prequal'!D516</f>
        <v>0</v>
      </c>
      <c r="D254" s="545">
        <f>'BDO Prequal'!F516</f>
        <v>0</v>
      </c>
      <c r="E254" s="545">
        <f>'BDO Prequal'!H516</f>
        <v>0</v>
      </c>
      <c r="F254" s="546">
        <f>'BDO Prequal'!J516</f>
        <v>0</v>
      </c>
    </row>
    <row r="255" spans="2:6" ht="14.4">
      <c r="B255" s="513" t="str">
        <f>'BDO Prequal'!C517</f>
        <v>Income Taxes</v>
      </c>
      <c r="C255" s="548">
        <f>'BDO Prequal'!D517</f>
        <v>0</v>
      </c>
      <c r="D255" s="548">
        <f>'BDO Prequal'!F517</f>
        <v>0</v>
      </c>
      <c r="E255" s="548">
        <f>'BDO Prequal'!H517</f>
        <v>0</v>
      </c>
      <c r="F255" s="549">
        <f>'BDO Prequal'!J517</f>
        <v>0</v>
      </c>
    </row>
    <row r="256" spans="2:6" ht="14.4">
      <c r="B256" s="551" t="str">
        <f>'BDO Prequal'!C519</f>
        <v>NET INCOME AFTER TAXES</v>
      </c>
      <c r="C256" s="552">
        <f>'BDO Prequal'!D519</f>
        <v>0</v>
      </c>
      <c r="D256" s="552">
        <f>'BDO Prequal'!F519</f>
        <v>0</v>
      </c>
      <c r="E256" s="552">
        <f>'BDO Prequal'!H519</f>
        <v>0</v>
      </c>
      <c r="F256" s="553">
        <f>'BDO Prequal'!J519</f>
        <v>0</v>
      </c>
    </row>
    <row r="257" spans="2:6" ht="14.4">
      <c r="B257" s="513"/>
      <c r="C257" s="555"/>
      <c r="D257" s="555"/>
      <c r="E257" s="555"/>
      <c r="F257" s="556"/>
    </row>
    <row r="258" spans="2:6" ht="14.4">
      <c r="B258" s="559" t="str">
        <f>'BDO Prequal'!C521</f>
        <v>Add Backs :</v>
      </c>
      <c r="C258" s="527"/>
      <c r="D258" s="527"/>
      <c r="E258" s="527"/>
      <c r="F258" s="528"/>
    </row>
    <row r="259" spans="2:6" ht="14.4">
      <c r="B259" s="562" t="str">
        <f>'BDO Prequal'!C522</f>
        <v xml:space="preserve">  + Compensation of Officers</v>
      </c>
      <c r="C259" s="539">
        <f>'BDO Prequal'!D522</f>
        <v>0</v>
      </c>
      <c r="D259" s="539">
        <f>'BDO Prequal'!F522</f>
        <v>0</v>
      </c>
      <c r="E259" s="539">
        <f>'BDO Prequal'!H522</f>
        <v>0</v>
      </c>
      <c r="F259" s="540">
        <f>'BDO Prequal'!J522</f>
        <v>0</v>
      </c>
    </row>
    <row r="260" spans="2:6" ht="14.4">
      <c r="B260" s="563" t="str">
        <f>'BDO Prequal'!C523</f>
        <v xml:space="preserve">  + Depreciation/Amortization</v>
      </c>
      <c r="C260" s="564">
        <f>'BDO Prequal'!D523</f>
        <v>0</v>
      </c>
      <c r="D260" s="564">
        <f>'BDO Prequal'!F523</f>
        <v>0</v>
      </c>
      <c r="E260" s="564">
        <f>'BDO Prequal'!H523</f>
        <v>0</v>
      </c>
      <c r="F260" s="565">
        <f>'BDO Prequal'!J523</f>
        <v>0</v>
      </c>
    </row>
    <row r="261" spans="2:6" ht="14.4">
      <c r="B261" s="563" t="str">
        <f>'BDO Prequal'!C524</f>
        <v xml:space="preserve">  + Interest Expense</v>
      </c>
      <c r="C261" s="564">
        <f>'BDO Prequal'!D524</f>
        <v>0</v>
      </c>
      <c r="D261" s="564">
        <f>'BDO Prequal'!F524</f>
        <v>0</v>
      </c>
      <c r="E261" s="564">
        <f>'BDO Prequal'!H524</f>
        <v>0</v>
      </c>
      <c r="F261" s="565">
        <f>'BDO Prequal'!J524</f>
        <v>0</v>
      </c>
    </row>
    <row r="262" spans="2:6" ht="14.4">
      <c r="B262" s="563" t="str">
        <f>'BDO Prequal'!C525</f>
        <v xml:space="preserve">  + Rent Add Back</v>
      </c>
      <c r="C262" s="564">
        <f>'BDO Prequal'!D525</f>
        <v>0</v>
      </c>
      <c r="D262" s="564">
        <f>'BDO Prequal'!F525</f>
        <v>0</v>
      </c>
      <c r="E262" s="564">
        <f>'BDO Prequal'!H525</f>
        <v>0</v>
      </c>
      <c r="F262" s="565">
        <f>'BDO Prequal'!J525</f>
        <v>0</v>
      </c>
    </row>
    <row r="263" spans="2:6" ht="14.4">
      <c r="B263" s="567" t="str">
        <f>'BDO Prequal'!C526</f>
        <v>+ - Other</v>
      </c>
      <c r="C263" s="564">
        <f>'BDO Prequal'!D526</f>
        <v>0</v>
      </c>
      <c r="D263" s="564">
        <f>'BDO Prequal'!F526</f>
        <v>0</v>
      </c>
      <c r="E263" s="564">
        <f>'BDO Prequal'!H526</f>
        <v>0</v>
      </c>
      <c r="F263" s="565">
        <f>'BDO Prequal'!J526</f>
        <v>0</v>
      </c>
    </row>
    <row r="264" spans="2:6" ht="14.4">
      <c r="B264" s="567" t="str">
        <f>'BDO Prequal'!C527</f>
        <v>+ - Other</v>
      </c>
      <c r="C264" s="564">
        <f>'BDO Prequal'!D527</f>
        <v>0</v>
      </c>
      <c r="D264" s="564">
        <f>'BDO Prequal'!F527</f>
        <v>0</v>
      </c>
      <c r="E264" s="564">
        <f>'BDO Prequal'!H527</f>
        <v>0</v>
      </c>
      <c r="F264" s="565">
        <f>'BDO Prequal'!J527</f>
        <v>0</v>
      </c>
    </row>
    <row r="265" spans="2:6" ht="14.4">
      <c r="B265" s="563" t="str">
        <f>'BDO Prequal'!C528</f>
        <v xml:space="preserve">  - Estimated Property Tax</v>
      </c>
      <c r="C265" s="542">
        <f>'BDO Prequal'!D528</f>
        <v>0</v>
      </c>
      <c r="D265" s="542">
        <f>'BDO Prequal'!F528</f>
        <v>0</v>
      </c>
      <c r="E265" s="542">
        <f>'BDO Prequal'!H528</f>
        <v>0</v>
      </c>
      <c r="F265" s="543">
        <f>'BDO Prequal'!J528</f>
        <v>0</v>
      </c>
    </row>
    <row r="266" spans="2:6" ht="14.4">
      <c r="B266" s="563"/>
      <c r="C266" s="527"/>
      <c r="D266" s="527"/>
      <c r="E266" s="527"/>
      <c r="F266" s="528"/>
    </row>
    <row r="267" spans="2:6" ht="14.4">
      <c r="B267" s="563" t="str">
        <f>'BDO Prequal'!C531</f>
        <v>Cash Available</v>
      </c>
      <c r="C267" s="575">
        <f>'BDO Prequal'!D531</f>
        <v>0</v>
      </c>
      <c r="D267" s="575">
        <f>'BDO Prequal'!F531</f>
        <v>0</v>
      </c>
      <c r="E267" s="575">
        <f>'BDO Prequal'!H531</f>
        <v>0</v>
      </c>
      <c r="F267" s="576">
        <f>'BDO Prequal'!J531</f>
        <v>0</v>
      </c>
    </row>
    <row r="268" spans="2:6" ht="14.4">
      <c r="B268" s="563"/>
      <c r="C268" s="527"/>
      <c r="D268" s="527"/>
      <c r="E268" s="527"/>
      <c r="F268" s="528"/>
    </row>
    <row r="269" spans="2:6" ht="14.4">
      <c r="B269" s="513" t="str">
        <f>'BDO Prequal'!C533</f>
        <v>Existing Monthly Debt</v>
      </c>
      <c r="C269" s="503">
        <f>'BDO Prequal'!D533</f>
        <v>0</v>
      </c>
      <c r="D269" s="503">
        <f>'BDO Prequal'!F533</f>
        <v>0</v>
      </c>
      <c r="E269" s="503">
        <f>'BDO Prequal'!H533</f>
        <v>0</v>
      </c>
      <c r="F269" s="586">
        <f>'BDO Prequal'!J533</f>
        <v>0</v>
      </c>
    </row>
    <row r="270" spans="2:6" ht="14.4">
      <c r="B270" s="513" t="str">
        <f>'BDO Prequal'!C534</f>
        <v>Existing Debt</v>
      </c>
      <c r="C270" s="545">
        <f>'BDO Prequal'!D534</f>
        <v>0</v>
      </c>
      <c r="D270" s="545">
        <f>'BDO Prequal'!F534</f>
        <v>0</v>
      </c>
      <c r="E270" s="545">
        <f>'BDO Prequal'!H534</f>
        <v>0</v>
      </c>
      <c r="F270" s="546">
        <f>'BDO Prequal'!J534</f>
        <v>0</v>
      </c>
    </row>
    <row r="271" spans="2:6" ht="14.4">
      <c r="B271" s="526"/>
      <c r="C271" s="527"/>
      <c r="D271" s="527"/>
      <c r="E271" s="527"/>
      <c r="F271" s="528"/>
    </row>
    <row r="272" spans="2:6" ht="14.4">
      <c r="B272" s="551" t="str">
        <f>'BDO Prequal'!C536</f>
        <v>DCR</v>
      </c>
      <c r="C272" s="578">
        <f>'BDO Prequal'!D536</f>
        <v>0</v>
      </c>
      <c r="D272" s="578">
        <f>'BDO Prequal'!F536</f>
        <v>0</v>
      </c>
      <c r="E272" s="578">
        <f>'BDO Prequal'!H536</f>
        <v>0</v>
      </c>
      <c r="F272" s="579">
        <f>'BDO Prequal'!J536</f>
        <v>0</v>
      </c>
    </row>
    <row r="273" spans="2:6" ht="14.4">
      <c r="B273" s="581"/>
      <c r="C273" s="582"/>
      <c r="D273" s="582"/>
      <c r="E273" s="582"/>
      <c r="F273" s="583"/>
    </row>
    <row r="274" spans="2:6" ht="14.4">
      <c r="B274" s="587"/>
      <c r="C274" s="587"/>
      <c r="D274" s="587"/>
      <c r="E274" s="587"/>
      <c r="F274" s="587"/>
    </row>
    <row r="275" spans="2:6" ht="14.4">
      <c r="B275" s="587"/>
      <c r="C275" s="587"/>
      <c r="D275" s="587"/>
      <c r="E275" s="587"/>
      <c r="F275" s="587"/>
    </row>
    <row r="276" spans="2:6" ht="14.4">
      <c r="B276" s="954" t="s">
        <v>458</v>
      </c>
      <c r="C276" s="955"/>
      <c r="D276" s="955"/>
      <c r="E276" s="955"/>
      <c r="F276" s="956"/>
    </row>
    <row r="277" spans="2:6" ht="14.4">
      <c r="B277" s="951"/>
      <c r="C277" s="952"/>
      <c r="D277" s="952"/>
      <c r="E277" s="952"/>
      <c r="F277" s="953"/>
    </row>
    <row r="278" spans="2:6" ht="14.4">
      <c r="B278" s="960" t="str">
        <f>'BDO Prequal'!B540</f>
        <v>{Insert business name which represents Affiliate 5}</v>
      </c>
      <c r="C278" s="961"/>
      <c r="D278" s="961"/>
      <c r="E278" s="961"/>
      <c r="F278" s="962"/>
    </row>
    <row r="279" spans="2:6" ht="14.4">
      <c r="B279" s="526"/>
      <c r="C279" s="527"/>
      <c r="D279" s="527"/>
      <c r="E279" s="527"/>
      <c r="F279" s="528"/>
    </row>
    <row r="280" spans="2:6" ht="14.4">
      <c r="B280" s="513"/>
      <c r="C280" s="531">
        <f>'BDO Prequal'!D542</f>
        <v>44926</v>
      </c>
      <c r="D280" s="531">
        <f>'BDO Prequal'!F542</f>
        <v>45291</v>
      </c>
      <c r="E280" s="531">
        <f>'BDO Prequal'!H542</f>
        <v>45657</v>
      </c>
      <c r="F280" s="532">
        <f>'BDO Prequal'!J542</f>
        <v>45747</v>
      </c>
    </row>
    <row r="281" spans="2:6" ht="14.4">
      <c r="B281" s="534"/>
      <c r="C281" s="535"/>
      <c r="D281" s="535"/>
      <c r="E281" s="535"/>
      <c r="F281" s="536">
        <f>'BDO Prequal'!J546</f>
        <v>0</v>
      </c>
    </row>
    <row r="282" spans="2:6" ht="14.4">
      <c r="B282" s="513" t="str">
        <f>'BDO Prequal'!C556</f>
        <v>Total Revenue</v>
      </c>
      <c r="C282" s="539">
        <f>'BDO Prequal'!D556</f>
        <v>0</v>
      </c>
      <c r="D282" s="539">
        <f>'BDO Prequal'!F556</f>
        <v>0</v>
      </c>
      <c r="E282" s="539">
        <f>'BDO Prequal'!H556</f>
        <v>0</v>
      </c>
      <c r="F282" s="540">
        <f>'BDO Prequal'!J556</f>
        <v>0</v>
      </c>
    </row>
    <row r="283" spans="2:6" ht="14.4">
      <c r="B283" s="513" t="str">
        <f>'BDO Prequal'!C557</f>
        <v>Total COGS</v>
      </c>
      <c r="C283" s="542">
        <f>'BDO Prequal'!D557</f>
        <v>0</v>
      </c>
      <c r="D283" s="542">
        <f>'BDO Prequal'!F557</f>
        <v>0</v>
      </c>
      <c r="E283" s="542">
        <f>'BDO Prequal'!H557</f>
        <v>0</v>
      </c>
      <c r="F283" s="543">
        <f>'BDO Prequal'!J557</f>
        <v>0</v>
      </c>
    </row>
    <row r="284" spans="2:6" ht="14.4">
      <c r="B284" s="513" t="str">
        <f>'BDO Prequal'!C558</f>
        <v>Total Gross Margin</v>
      </c>
      <c r="C284" s="545">
        <f>'BDO Prequal'!D558</f>
        <v>0</v>
      </c>
      <c r="D284" s="545">
        <f>'BDO Prequal'!F558</f>
        <v>0</v>
      </c>
      <c r="E284" s="545">
        <f>'BDO Prequal'!H558</f>
        <v>0</v>
      </c>
      <c r="F284" s="546">
        <f>'BDO Prequal'!J558</f>
        <v>0</v>
      </c>
    </row>
    <row r="285" spans="2:6" ht="14.4">
      <c r="B285" s="513" t="str">
        <f>'BDO Prequal'!C585</f>
        <v>Total Operating Expenses</v>
      </c>
      <c r="C285" s="548">
        <f>'BDO Prequal'!D585</f>
        <v>0</v>
      </c>
      <c r="D285" s="548">
        <f>'BDO Prequal'!F585</f>
        <v>0</v>
      </c>
      <c r="E285" s="548">
        <f>'BDO Prequal'!H585</f>
        <v>0</v>
      </c>
      <c r="F285" s="549">
        <f>'BDO Prequal'!J585</f>
        <v>0</v>
      </c>
    </row>
    <row r="286" spans="2:6" ht="14.4">
      <c r="B286" s="551" t="str">
        <f>'BDO Prequal'!C587</f>
        <v>Ordinary Income</v>
      </c>
      <c r="C286" s="552">
        <f>'BDO Prequal'!D587</f>
        <v>0</v>
      </c>
      <c r="D286" s="552">
        <f>'BDO Prequal'!F587</f>
        <v>0</v>
      </c>
      <c r="E286" s="552">
        <f>'BDO Prequal'!H587</f>
        <v>0</v>
      </c>
      <c r="F286" s="553">
        <f>'BDO Prequal'!J587</f>
        <v>0</v>
      </c>
    </row>
    <row r="287" spans="2:6" ht="14.4">
      <c r="B287" s="513" t="str">
        <f>'BDO Prequal'!C593</f>
        <v>Total Other Income (Expenses)</v>
      </c>
      <c r="C287" s="548">
        <f>'BDO Prequal'!D593</f>
        <v>0</v>
      </c>
      <c r="D287" s="548">
        <f>'BDO Prequal'!F593</f>
        <v>0</v>
      </c>
      <c r="E287" s="548">
        <f>'BDO Prequal'!H593</f>
        <v>0</v>
      </c>
      <c r="F287" s="549">
        <f>'BDO Prequal'!J593</f>
        <v>0</v>
      </c>
    </row>
    <row r="288" spans="2:6" ht="14.4">
      <c r="B288" s="513" t="str">
        <f>'BDO Prequal'!C595</f>
        <v>Net Income Before Taxes</v>
      </c>
      <c r="C288" s="545">
        <f>'BDO Prequal'!D595</f>
        <v>0</v>
      </c>
      <c r="D288" s="545">
        <f>'BDO Prequal'!F595</f>
        <v>0</v>
      </c>
      <c r="E288" s="545">
        <f>'BDO Prequal'!H595</f>
        <v>0</v>
      </c>
      <c r="F288" s="546">
        <f>'BDO Prequal'!J595</f>
        <v>0</v>
      </c>
    </row>
    <row r="289" spans="2:6" ht="14.4">
      <c r="B289" s="513" t="str">
        <f>'BDO Prequal'!C596</f>
        <v>Income Taxes</v>
      </c>
      <c r="C289" s="548">
        <f>'BDO Prequal'!D596</f>
        <v>0</v>
      </c>
      <c r="D289" s="548">
        <f>'BDO Prequal'!F596</f>
        <v>0</v>
      </c>
      <c r="E289" s="548">
        <f>'BDO Prequal'!H596</f>
        <v>0</v>
      </c>
      <c r="F289" s="549">
        <f>'BDO Prequal'!J596</f>
        <v>0</v>
      </c>
    </row>
    <row r="290" spans="2:6" ht="14.4">
      <c r="B290" s="551" t="str">
        <f>'BDO Prequal'!C598</f>
        <v>NET INCOME AFTER TAXES</v>
      </c>
      <c r="C290" s="552">
        <f>'BDO Prequal'!D598</f>
        <v>0</v>
      </c>
      <c r="D290" s="552">
        <f>'BDO Prequal'!F598</f>
        <v>0</v>
      </c>
      <c r="E290" s="552">
        <f>'BDO Prequal'!H598</f>
        <v>0</v>
      </c>
      <c r="F290" s="553">
        <f>'BDO Prequal'!J598</f>
        <v>0</v>
      </c>
    </row>
    <row r="291" spans="2:6" ht="14.4">
      <c r="B291" s="513"/>
      <c r="C291" s="555"/>
      <c r="D291" s="555"/>
      <c r="E291" s="555"/>
      <c r="F291" s="556"/>
    </row>
    <row r="292" spans="2:6" ht="14.4">
      <c r="B292" s="559" t="str">
        <f>'BDO Prequal'!C600</f>
        <v>Add Backs :</v>
      </c>
      <c r="C292" s="527"/>
      <c r="D292" s="527"/>
      <c r="E292" s="527"/>
      <c r="F292" s="528"/>
    </row>
    <row r="293" spans="2:6" ht="14.4">
      <c r="B293" s="562" t="str">
        <f>'BDO Prequal'!C601</f>
        <v xml:space="preserve">  + Compensation of Officers</v>
      </c>
      <c r="C293" s="539">
        <f>'BDO Prequal'!D601</f>
        <v>0</v>
      </c>
      <c r="D293" s="539">
        <f>'BDO Prequal'!F601</f>
        <v>0</v>
      </c>
      <c r="E293" s="539">
        <f>'BDO Prequal'!H601</f>
        <v>0</v>
      </c>
      <c r="F293" s="540">
        <f>'BDO Prequal'!J601</f>
        <v>0</v>
      </c>
    </row>
    <row r="294" spans="2:6" ht="14.4">
      <c r="B294" s="563" t="str">
        <f>'BDO Prequal'!C602</f>
        <v xml:space="preserve">  + Depreciation/Amortization</v>
      </c>
      <c r="C294" s="564">
        <f>'BDO Prequal'!D602</f>
        <v>0</v>
      </c>
      <c r="D294" s="564">
        <f>'BDO Prequal'!F602</f>
        <v>0</v>
      </c>
      <c r="E294" s="564">
        <f>'BDO Prequal'!H602</f>
        <v>0</v>
      </c>
      <c r="F294" s="565">
        <f>'BDO Prequal'!J602</f>
        <v>0</v>
      </c>
    </row>
    <row r="295" spans="2:6" ht="14.4">
      <c r="B295" s="563" t="str">
        <f>'BDO Prequal'!C603</f>
        <v xml:space="preserve">  + Interest Expense</v>
      </c>
      <c r="C295" s="564">
        <f>'BDO Prequal'!D603</f>
        <v>0</v>
      </c>
      <c r="D295" s="564">
        <f>'BDO Prequal'!F603</f>
        <v>0</v>
      </c>
      <c r="E295" s="564">
        <f>'BDO Prequal'!H603</f>
        <v>0</v>
      </c>
      <c r="F295" s="565">
        <f>'BDO Prequal'!J603</f>
        <v>0</v>
      </c>
    </row>
    <row r="296" spans="2:6" ht="14.4">
      <c r="B296" s="563" t="str">
        <f>'BDO Prequal'!C604</f>
        <v xml:space="preserve">  + Rent Add Back</v>
      </c>
      <c r="C296" s="564">
        <f>'BDO Prequal'!D604</f>
        <v>0</v>
      </c>
      <c r="D296" s="564">
        <f>'BDO Prequal'!F604</f>
        <v>0</v>
      </c>
      <c r="E296" s="564">
        <f>'BDO Prequal'!H604</f>
        <v>0</v>
      </c>
      <c r="F296" s="565">
        <f>'BDO Prequal'!J604</f>
        <v>0</v>
      </c>
    </row>
    <row r="297" spans="2:6" ht="14.4">
      <c r="B297" s="567" t="str">
        <f>'BDO Prequal'!C605</f>
        <v>+ - Other</v>
      </c>
      <c r="C297" s="564">
        <f>'BDO Prequal'!D605</f>
        <v>0</v>
      </c>
      <c r="D297" s="564">
        <f>'BDO Prequal'!F605</f>
        <v>0</v>
      </c>
      <c r="E297" s="564">
        <f>'BDO Prequal'!H605</f>
        <v>0</v>
      </c>
      <c r="F297" s="565">
        <f>'BDO Prequal'!J605</f>
        <v>0</v>
      </c>
    </row>
    <row r="298" spans="2:6" ht="14.4">
      <c r="B298" s="567" t="str">
        <f>'BDO Prequal'!C606</f>
        <v>+ - Other</v>
      </c>
      <c r="C298" s="564">
        <f>'BDO Prequal'!D606</f>
        <v>0</v>
      </c>
      <c r="D298" s="564">
        <f>'BDO Prequal'!F606</f>
        <v>0</v>
      </c>
      <c r="E298" s="564">
        <f>'BDO Prequal'!H606</f>
        <v>0</v>
      </c>
      <c r="F298" s="565">
        <f>'BDO Prequal'!J606</f>
        <v>0</v>
      </c>
    </row>
    <row r="299" spans="2:6" ht="14.4">
      <c r="B299" s="563" t="str">
        <f>'BDO Prequal'!C607</f>
        <v xml:space="preserve">  - Estimated Property Tax</v>
      </c>
      <c r="C299" s="542">
        <f>'BDO Prequal'!D607</f>
        <v>0</v>
      </c>
      <c r="D299" s="542">
        <f>'BDO Prequal'!F607</f>
        <v>0</v>
      </c>
      <c r="E299" s="542">
        <f>'BDO Prequal'!H607</f>
        <v>0</v>
      </c>
      <c r="F299" s="543">
        <f>'BDO Prequal'!J607</f>
        <v>0</v>
      </c>
    </row>
    <row r="300" spans="2:6" ht="14.4">
      <c r="B300" s="563"/>
      <c r="C300" s="527"/>
      <c r="D300" s="527"/>
      <c r="E300" s="527"/>
      <c r="F300" s="528"/>
    </row>
    <row r="301" spans="2:6" ht="14.4">
      <c r="B301" s="563" t="str">
        <f>'BDO Prequal'!C610</f>
        <v>Cash Available</v>
      </c>
      <c r="C301" s="575">
        <f>'BDO Prequal'!D610</f>
        <v>0</v>
      </c>
      <c r="D301" s="575">
        <f>'BDO Prequal'!F610</f>
        <v>0</v>
      </c>
      <c r="E301" s="575">
        <f>'BDO Prequal'!H610</f>
        <v>0</v>
      </c>
      <c r="F301" s="576">
        <f>'BDO Prequal'!J610</f>
        <v>0</v>
      </c>
    </row>
    <row r="302" spans="2:6" ht="14.4">
      <c r="B302" s="563"/>
      <c r="C302" s="527"/>
      <c r="D302" s="527"/>
      <c r="E302" s="527"/>
      <c r="F302" s="528"/>
    </row>
    <row r="303" spans="2:6" ht="14.4">
      <c r="B303" s="513" t="str">
        <f>'BDO Prequal'!C612</f>
        <v>Existing Monthly Debt</v>
      </c>
      <c r="C303" s="503">
        <f>'BDO Prequal'!D612</f>
        <v>0</v>
      </c>
      <c r="D303" s="503">
        <f>'BDO Prequal'!F612</f>
        <v>0</v>
      </c>
      <c r="E303" s="503">
        <f>'BDO Prequal'!H612</f>
        <v>0</v>
      </c>
      <c r="F303" s="586">
        <f>'BDO Prequal'!J612</f>
        <v>0</v>
      </c>
    </row>
    <row r="304" spans="2:6" ht="14.4">
      <c r="B304" s="513" t="str">
        <f>'BDO Prequal'!C613</f>
        <v>Existing Debt</v>
      </c>
      <c r="C304" s="545">
        <f>'BDO Prequal'!D613</f>
        <v>0</v>
      </c>
      <c r="D304" s="545">
        <f>'BDO Prequal'!F613</f>
        <v>0</v>
      </c>
      <c r="E304" s="545">
        <f>'BDO Prequal'!H613</f>
        <v>0</v>
      </c>
      <c r="F304" s="546">
        <f>'BDO Prequal'!J613</f>
        <v>0</v>
      </c>
    </row>
    <row r="305" spans="2:6" ht="14.4">
      <c r="B305" s="526"/>
      <c r="C305" s="527"/>
      <c r="D305" s="527"/>
      <c r="E305" s="527"/>
      <c r="F305" s="528"/>
    </row>
    <row r="306" spans="2:6" ht="14.4">
      <c r="B306" s="551" t="str">
        <f>'BDO Prequal'!C615</f>
        <v>DCR</v>
      </c>
      <c r="C306" s="578">
        <f>'BDO Prequal'!D615</f>
        <v>0</v>
      </c>
      <c r="D306" s="578">
        <f>'BDO Prequal'!F615</f>
        <v>0</v>
      </c>
      <c r="E306" s="578">
        <f>'BDO Prequal'!H615</f>
        <v>0</v>
      </c>
      <c r="F306" s="579">
        <f>'BDO Prequal'!J615</f>
        <v>0</v>
      </c>
    </row>
    <row r="307" spans="2:6" ht="14.4">
      <c r="B307" s="581"/>
      <c r="C307" s="582"/>
      <c r="D307" s="582"/>
      <c r="E307" s="582"/>
      <c r="F307" s="583"/>
    </row>
  </sheetData>
  <mergeCells count="55">
    <mergeCell ref="B44:D44"/>
    <mergeCell ref="B47:E47"/>
    <mergeCell ref="B48:E48"/>
    <mergeCell ref="B26:E26"/>
    <mergeCell ref="B3:G3"/>
    <mergeCell ref="B4:G4"/>
    <mergeCell ref="B27:E27"/>
    <mergeCell ref="B68:H68"/>
    <mergeCell ref="B67:H67"/>
    <mergeCell ref="B69:C69"/>
    <mergeCell ref="B78:C78"/>
    <mergeCell ref="B81:C81"/>
    <mergeCell ref="B80:C80"/>
    <mergeCell ref="B79:C79"/>
    <mergeCell ref="B71:C71"/>
    <mergeCell ref="B75:C75"/>
    <mergeCell ref="B73:C73"/>
    <mergeCell ref="B74:C74"/>
    <mergeCell ref="B72:C72"/>
    <mergeCell ref="B76:C76"/>
    <mergeCell ref="B70:C70"/>
    <mergeCell ref="B77:C77"/>
    <mergeCell ref="E80:G80"/>
    <mergeCell ref="G102:H102"/>
    <mergeCell ref="G103:H103"/>
    <mergeCell ref="B142:F142"/>
    <mergeCell ref="G104:H104"/>
    <mergeCell ref="B141:F141"/>
    <mergeCell ref="B210:F210"/>
    <mergeCell ref="B176:F176"/>
    <mergeCell ref="B175:F175"/>
    <mergeCell ref="B174:F174"/>
    <mergeCell ref="B140:F140"/>
    <mergeCell ref="B276:F276"/>
    <mergeCell ref="B277:F277"/>
    <mergeCell ref="B278:F278"/>
    <mergeCell ref="B244:F244"/>
    <mergeCell ref="E81:G81"/>
    <mergeCell ref="B102:F102"/>
    <mergeCell ref="B103:F103"/>
    <mergeCell ref="B104:F104"/>
    <mergeCell ref="B82:C82"/>
    <mergeCell ref="B85:C85"/>
    <mergeCell ref="B86:C86"/>
    <mergeCell ref="B242:F242"/>
    <mergeCell ref="B243:F243"/>
    <mergeCell ref="E82:G82"/>
    <mergeCell ref="B209:F209"/>
    <mergeCell ref="B208:F208"/>
    <mergeCell ref="N4:R4"/>
    <mergeCell ref="N3:R3"/>
    <mergeCell ref="T3:X3"/>
    <mergeCell ref="T4:X4"/>
    <mergeCell ref="I4:L4"/>
    <mergeCell ref="I3:L3"/>
  </mergeCells>
  <conditionalFormatting sqref="B89:B94">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ZT59"/>
  <sheetViews>
    <sheetView topLeftCell="A4" workbookViewId="0"/>
  </sheetViews>
  <sheetFormatPr defaultRowHeight="16.95" customHeight="1"/>
  <cols>
    <col min="1" max="1" width="9.109375" style="182"/>
    <col min="2" max="2" width="39.5546875" style="182"/>
    <col min="3" max="8" width="17.6640625" style="182"/>
    <col min="9" max="9" width="13.109375" style="182"/>
    <col min="10" max="10" width="36.5546875" style="182"/>
    <col min="11" max="16" width="17.6640625" style="182"/>
    <col min="17" max="17" width="9.109375" style="182"/>
    <col min="18" max="18" width="28.5546875" style="182"/>
    <col min="19" max="19" width="11.21875" style="182"/>
    <col min="20" max="20" width="9.109375" style="182"/>
    <col min="21" max="21" width="11.6640625" style="182"/>
    <col min="22" max="2048" width="9.109375" style="182"/>
  </cols>
  <sheetData>
    <row r="3" spans="2:21" ht="15.6">
      <c r="B3" s="860" t="s">
        <v>25</v>
      </c>
      <c r="C3" s="861"/>
      <c r="D3" s="861"/>
      <c r="E3" s="861"/>
      <c r="F3" s="861"/>
      <c r="G3" s="861"/>
      <c r="H3" s="862"/>
      <c r="J3" s="37" t="s">
        <v>138</v>
      </c>
      <c r="K3" s="146">
        <f>SUM(K4:K6)</f>
        <v>1</v>
      </c>
      <c r="L3" s="147">
        <f>O36</f>
        <v>0</v>
      </c>
      <c r="M3" s="588" t="s">
        <v>139</v>
      </c>
      <c r="N3" s="589"/>
      <c r="O3" s="589"/>
      <c r="P3" s="590"/>
      <c r="R3" s="37" t="s">
        <v>26</v>
      </c>
      <c r="S3" s="38" t="s">
        <v>27</v>
      </c>
      <c r="T3" s="38" t="s">
        <v>28</v>
      </c>
      <c r="U3" s="39" t="s">
        <v>29</v>
      </c>
    </row>
    <row r="4" spans="2:21" ht="14.4">
      <c r="B4" s="16"/>
      <c r="C4" s="17"/>
      <c r="D4" s="17"/>
      <c r="E4" s="17"/>
      <c r="F4" s="17"/>
      <c r="G4" s="13"/>
      <c r="H4" s="591"/>
      <c r="J4" s="42" t="s">
        <v>141</v>
      </c>
      <c r="K4" s="153">
        <v>0.5</v>
      </c>
      <c r="L4" s="154">
        <f>L3*K4</f>
        <v>0</v>
      </c>
      <c r="M4" s="154">
        <f>K36-L4</f>
        <v>0</v>
      </c>
      <c r="N4" s="172"/>
      <c r="O4" s="172"/>
      <c r="P4" s="193"/>
      <c r="R4" s="42" t="s">
        <v>31</v>
      </c>
      <c r="S4" s="43">
        <v>2500</v>
      </c>
      <c r="T4" s="44">
        <v>0</v>
      </c>
      <c r="U4" s="45">
        <f t="shared" ref="U4:U18" si="0">S4*T4</f>
        <v>0</v>
      </c>
    </row>
    <row r="5" spans="2:21" ht="14.4">
      <c r="B5" s="46"/>
      <c r="C5" s="47" t="s">
        <v>459</v>
      </c>
      <c r="D5" s="48" t="s">
        <v>34</v>
      </c>
      <c r="E5" s="47" t="s">
        <v>35</v>
      </c>
      <c r="F5" s="47" t="s">
        <v>460</v>
      </c>
      <c r="G5" s="48" t="s">
        <v>461</v>
      </c>
      <c r="H5" s="18"/>
      <c r="J5" s="42" t="s">
        <v>143</v>
      </c>
      <c r="K5" s="153">
        <v>0.4</v>
      </c>
      <c r="L5" s="154">
        <f>L3*K5</f>
        <v>0</v>
      </c>
      <c r="M5" s="154">
        <f>N36-L5</f>
        <v>0</v>
      </c>
      <c r="N5" s="172"/>
      <c r="O5" s="172"/>
      <c r="P5" s="193"/>
      <c r="R5" s="42" t="s">
        <v>37</v>
      </c>
      <c r="S5" s="43">
        <v>0</v>
      </c>
      <c r="T5" s="44">
        <v>0</v>
      </c>
      <c r="U5" s="45">
        <f t="shared" si="0"/>
        <v>0</v>
      </c>
    </row>
    <row r="6" spans="2:21" ht="14.4">
      <c r="B6" s="49" t="s">
        <v>47</v>
      </c>
      <c r="C6" s="27">
        <v>7.4999999999999997E-2</v>
      </c>
      <c r="D6" s="54"/>
      <c r="E6" s="27">
        <v>0.08</v>
      </c>
      <c r="F6" s="27">
        <v>7.4999999999999997E-2</v>
      </c>
      <c r="G6" s="27">
        <v>6.2399999999999997E-2</v>
      </c>
      <c r="H6" s="18"/>
      <c r="J6" s="42" t="s">
        <v>144</v>
      </c>
      <c r="K6" s="153">
        <v>0.1</v>
      </c>
      <c r="L6" s="154">
        <f>L3*K6</f>
        <v>0</v>
      </c>
      <c r="M6" s="154">
        <f>L36-L6</f>
        <v>0</v>
      </c>
      <c r="N6" s="172"/>
      <c r="O6" s="172"/>
      <c r="P6" s="193"/>
      <c r="R6" s="42" t="s">
        <v>41</v>
      </c>
      <c r="S6" s="43">
        <v>0</v>
      </c>
      <c r="T6" s="44">
        <v>0</v>
      </c>
      <c r="U6" s="45">
        <f t="shared" si="0"/>
        <v>0</v>
      </c>
    </row>
    <row r="7" spans="2:21" ht="14.4">
      <c r="B7" s="49" t="s">
        <v>51</v>
      </c>
      <c r="C7" s="27">
        <v>1.4999999999999999E-2</v>
      </c>
      <c r="D7" s="56"/>
      <c r="E7" s="27">
        <v>0</v>
      </c>
      <c r="F7" s="27">
        <v>1.4999999999999999E-2</v>
      </c>
      <c r="G7" s="27">
        <v>0</v>
      </c>
      <c r="H7" s="18"/>
      <c r="J7" s="42"/>
      <c r="K7" s="172"/>
      <c r="L7" s="173"/>
      <c r="M7" s="174"/>
      <c r="N7" s="172"/>
      <c r="O7" s="172"/>
      <c r="P7" s="193"/>
      <c r="R7" s="42" t="s">
        <v>45</v>
      </c>
      <c r="S7" s="43">
        <v>0</v>
      </c>
      <c r="T7" s="44">
        <v>0</v>
      </c>
      <c r="U7" s="45">
        <f t="shared" si="0"/>
        <v>0</v>
      </c>
    </row>
    <row r="8" spans="2:21" ht="14.4">
      <c r="B8" s="49" t="s">
        <v>55</v>
      </c>
      <c r="C8" s="57">
        <f>C6+C7</f>
        <v>0.09</v>
      </c>
      <c r="D8" s="56"/>
      <c r="E8" s="57">
        <f>E6+E7</f>
        <v>0.08</v>
      </c>
      <c r="F8" s="57">
        <f>F6+F7</f>
        <v>0.09</v>
      </c>
      <c r="G8" s="57">
        <f>G6+G7</f>
        <v>6.2399999999999997E-2</v>
      </c>
      <c r="H8" s="18"/>
      <c r="J8" s="42" t="s">
        <v>147</v>
      </c>
      <c r="K8" s="180">
        <v>2.5000000000000001E-2</v>
      </c>
      <c r="L8" s="154">
        <f>L4*K8</f>
        <v>0</v>
      </c>
      <c r="M8" s="592" t="s">
        <v>164</v>
      </c>
      <c r="N8" s="987" t="e">
        <f>(K36*F8+N36*G8)/SUM(K36+N36)</f>
        <v>#DIV/0!</v>
      </c>
      <c r="O8" s="988"/>
      <c r="P8" s="193"/>
      <c r="R8" s="42" t="s">
        <v>49</v>
      </c>
      <c r="S8" s="43">
        <v>3500</v>
      </c>
      <c r="T8" s="44">
        <v>0</v>
      </c>
      <c r="U8" s="45">
        <f t="shared" si="0"/>
        <v>0</v>
      </c>
    </row>
    <row r="9" spans="2:21" ht="14.4">
      <c r="B9" s="49" t="s">
        <v>59</v>
      </c>
      <c r="C9" s="58" t="s">
        <v>60</v>
      </c>
      <c r="D9" s="56"/>
      <c r="E9" s="59"/>
      <c r="F9" s="58" t="s">
        <v>60</v>
      </c>
      <c r="G9" s="51"/>
      <c r="H9" s="18"/>
      <c r="J9" s="42" t="s">
        <v>148</v>
      </c>
      <c r="K9" s="180">
        <v>5.0000000000000001E-3</v>
      </c>
      <c r="L9" s="154">
        <f>L4*K9</f>
        <v>0</v>
      </c>
      <c r="M9" s="172"/>
      <c r="N9" s="172"/>
      <c r="O9" s="172"/>
      <c r="P9" s="193"/>
      <c r="R9" s="42" t="s">
        <v>53</v>
      </c>
      <c r="S9" s="43">
        <v>7500</v>
      </c>
      <c r="T9" s="44">
        <v>0</v>
      </c>
      <c r="U9" s="45">
        <f t="shared" si="0"/>
        <v>0</v>
      </c>
    </row>
    <row r="10" spans="2:21" ht="14.4">
      <c r="B10" s="49" t="s">
        <v>63</v>
      </c>
      <c r="C10" s="60">
        <v>10</v>
      </c>
      <c r="D10" s="61"/>
      <c r="E10" s="60">
        <v>10</v>
      </c>
      <c r="F10" s="60">
        <v>10</v>
      </c>
      <c r="G10" s="60">
        <v>25</v>
      </c>
      <c r="H10" s="18"/>
      <c r="J10" s="183" t="s">
        <v>149</v>
      </c>
      <c r="K10" s="180">
        <v>0</v>
      </c>
      <c r="L10" s="154">
        <f>K10*L4</f>
        <v>0</v>
      </c>
      <c r="M10" s="593" t="s">
        <v>155</v>
      </c>
      <c r="N10" s="989">
        <f>K36+N36</f>
        <v>0</v>
      </c>
      <c r="O10" s="990"/>
      <c r="P10" s="193"/>
      <c r="R10" s="42" t="s">
        <v>57</v>
      </c>
      <c r="S10" s="43">
        <v>0</v>
      </c>
      <c r="T10" s="44">
        <v>0</v>
      </c>
      <c r="U10" s="45">
        <f t="shared" si="0"/>
        <v>0</v>
      </c>
    </row>
    <row r="11" spans="2:21" ht="14.4">
      <c r="B11" s="49" t="s">
        <v>67</v>
      </c>
      <c r="C11" s="60">
        <f>C10*12</f>
        <v>120</v>
      </c>
      <c r="D11" s="61"/>
      <c r="E11" s="60">
        <f>E10*12</f>
        <v>120</v>
      </c>
      <c r="F11" s="60">
        <f>F10*12</f>
        <v>120</v>
      </c>
      <c r="G11" s="60">
        <f>G10*12</f>
        <v>300</v>
      </c>
      <c r="H11" s="18"/>
      <c r="J11" s="183" t="s">
        <v>150</v>
      </c>
      <c r="K11" s="180">
        <v>0</v>
      </c>
      <c r="L11" s="154">
        <f>K11*L4</f>
        <v>0</v>
      </c>
      <c r="M11" s="593" t="s">
        <v>158</v>
      </c>
      <c r="N11" s="989">
        <f>ROUNDUP(L12,-3)</f>
        <v>0</v>
      </c>
      <c r="O11" s="990"/>
      <c r="P11" s="193"/>
      <c r="R11" s="42" t="s">
        <v>62</v>
      </c>
      <c r="S11" s="43">
        <v>350</v>
      </c>
      <c r="T11" s="44">
        <v>0</v>
      </c>
      <c r="U11" s="45">
        <f t="shared" si="0"/>
        <v>0</v>
      </c>
    </row>
    <row r="12" spans="2:21" ht="14.4">
      <c r="B12" s="49" t="s">
        <v>74</v>
      </c>
      <c r="C12" s="65">
        <v>0</v>
      </c>
      <c r="D12" s="66"/>
      <c r="E12" s="67"/>
      <c r="F12" s="68"/>
      <c r="G12" s="13"/>
      <c r="H12" s="18"/>
      <c r="J12" s="42" t="s">
        <v>152</v>
      </c>
      <c r="K12" s="180">
        <f>SUM(K8:K11)</f>
        <v>3.0000000000000002E-2</v>
      </c>
      <c r="L12" s="154">
        <f>SUM(L8:L11)</f>
        <v>0</v>
      </c>
      <c r="M12" s="593" t="s">
        <v>462</v>
      </c>
      <c r="N12" s="987" t="e">
        <f>N11/N10</f>
        <v>#DIV/0!</v>
      </c>
      <c r="O12" s="988"/>
      <c r="P12" s="193"/>
      <c r="R12" s="42" t="s">
        <v>65</v>
      </c>
      <c r="S12" s="43">
        <v>2500</v>
      </c>
      <c r="T12" s="44">
        <v>0</v>
      </c>
      <c r="U12" s="45">
        <f t="shared" si="0"/>
        <v>0</v>
      </c>
    </row>
    <row r="13" spans="2:21" ht="14.4">
      <c r="B13" s="74"/>
      <c r="C13" s="75"/>
      <c r="D13" s="75"/>
      <c r="E13" s="75"/>
      <c r="F13" s="75"/>
      <c r="G13" s="75"/>
      <c r="H13" s="35"/>
      <c r="J13" s="84" t="s">
        <v>463</v>
      </c>
      <c r="K13" s="85"/>
      <c r="L13" s="85"/>
      <c r="M13" s="85"/>
      <c r="N13" s="85"/>
      <c r="O13" s="85"/>
      <c r="P13" s="134"/>
      <c r="R13" s="42" t="s">
        <v>61</v>
      </c>
      <c r="S13" s="43">
        <v>2500</v>
      </c>
      <c r="T13" s="44">
        <v>0</v>
      </c>
      <c r="U13" s="45">
        <f t="shared" si="0"/>
        <v>0</v>
      </c>
    </row>
    <row r="14" spans="2:21" ht="14.4">
      <c r="I14" s="594"/>
      <c r="J14" s="594"/>
      <c r="R14" s="42" t="s">
        <v>464</v>
      </c>
      <c r="S14" s="43">
        <v>0</v>
      </c>
      <c r="T14" s="44">
        <v>0</v>
      </c>
      <c r="U14" s="45">
        <f t="shared" si="0"/>
        <v>0</v>
      </c>
    </row>
    <row r="15" spans="2:21" ht="14.4">
      <c r="I15" s="594"/>
      <c r="J15" s="594"/>
      <c r="R15" s="42" t="s">
        <v>76</v>
      </c>
      <c r="S15" s="43">
        <v>8000</v>
      </c>
      <c r="T15" s="44">
        <v>0</v>
      </c>
      <c r="U15" s="45">
        <f t="shared" si="0"/>
        <v>0</v>
      </c>
    </row>
    <row r="16" spans="2:21" ht="15.6">
      <c r="B16" s="595" t="s">
        <v>465</v>
      </c>
      <c r="C16" s="596"/>
      <c r="D16" s="596"/>
      <c r="E16" s="596"/>
      <c r="F16" s="596"/>
      <c r="G16" s="596"/>
      <c r="H16" s="597"/>
      <c r="J16" s="595" t="s">
        <v>466</v>
      </c>
      <c r="K16" s="596"/>
      <c r="L16" s="596"/>
      <c r="M16" s="596"/>
      <c r="N16" s="596"/>
      <c r="O16" s="596"/>
      <c r="P16" s="597"/>
      <c r="R16" s="42" t="s">
        <v>82</v>
      </c>
      <c r="S16" s="43">
        <v>64000</v>
      </c>
      <c r="T16" s="44">
        <v>0</v>
      </c>
      <c r="U16" s="45">
        <f t="shared" si="0"/>
        <v>0</v>
      </c>
    </row>
    <row r="17" spans="2:21" ht="14.4">
      <c r="B17" s="32"/>
      <c r="C17" s="13"/>
      <c r="D17" s="13"/>
      <c r="E17" s="13"/>
      <c r="F17" s="83"/>
      <c r="G17" s="13"/>
      <c r="H17" s="18"/>
      <c r="J17" s="32"/>
      <c r="K17" s="13"/>
      <c r="L17" s="13"/>
      <c r="M17" s="13"/>
      <c r="N17" s="83"/>
      <c r="O17" s="13"/>
      <c r="P17" s="18"/>
      <c r="R17" s="42" t="s">
        <v>467</v>
      </c>
      <c r="S17" s="43">
        <v>13000</v>
      </c>
      <c r="T17" s="44">
        <v>0</v>
      </c>
      <c r="U17" s="45">
        <f t="shared" si="0"/>
        <v>0</v>
      </c>
    </row>
    <row r="18" spans="2:21" ht="14.4">
      <c r="B18" s="93"/>
      <c r="C18" s="47" t="str">
        <f>C5</f>
        <v>T Bank  7(a)</v>
      </c>
      <c r="D18" s="48" t="str">
        <f>D5</f>
        <v>Borrower</v>
      </c>
      <c r="E18" s="47" t="str">
        <f>E5</f>
        <v>Seller Note</v>
      </c>
      <c r="F18" s="47" t="str">
        <f>G5</f>
        <v>CDC 504</v>
      </c>
      <c r="G18" s="48" t="s">
        <v>29</v>
      </c>
      <c r="H18" s="18"/>
      <c r="J18" s="93"/>
      <c r="K18" s="47" t="s">
        <v>460</v>
      </c>
      <c r="L18" s="48" t="str">
        <f>D5</f>
        <v>Borrower</v>
      </c>
      <c r="M18" s="47" t="str">
        <f>E5</f>
        <v>Seller Note</v>
      </c>
      <c r="N18" s="47" t="str">
        <f>G5</f>
        <v>CDC 504</v>
      </c>
      <c r="O18" s="48" t="s">
        <v>29</v>
      </c>
      <c r="P18" s="18"/>
      <c r="R18" s="42" t="s">
        <v>86</v>
      </c>
      <c r="S18" s="43">
        <v>300</v>
      </c>
      <c r="T18" s="44">
        <v>0</v>
      </c>
      <c r="U18" s="45">
        <f t="shared" si="0"/>
        <v>0</v>
      </c>
    </row>
    <row r="19" spans="2:21" ht="14.4">
      <c r="B19" s="95" t="s">
        <v>95</v>
      </c>
      <c r="C19" s="96"/>
      <c r="D19" s="96"/>
      <c r="E19" s="96"/>
      <c r="F19" s="96"/>
      <c r="G19" s="96"/>
      <c r="H19" s="18"/>
      <c r="J19" s="95" t="s">
        <v>95</v>
      </c>
      <c r="K19" s="96"/>
      <c r="L19" s="96"/>
      <c r="M19" s="96"/>
      <c r="N19" s="96"/>
      <c r="O19" s="96"/>
      <c r="P19" s="18"/>
      <c r="R19" s="78" t="s">
        <v>88</v>
      </c>
      <c r="S19" s="79"/>
      <c r="T19" s="80"/>
      <c r="U19" s="81">
        <f>U32</f>
        <v>0</v>
      </c>
    </row>
    <row r="20" spans="2:21" ht="14.4">
      <c r="B20" s="105" t="s">
        <v>98</v>
      </c>
      <c r="C20" s="106">
        <f t="shared" ref="C20:C30" si="1">G20-SUM(D20:F20)</f>
        <v>0</v>
      </c>
      <c r="D20" s="107">
        <v>0</v>
      </c>
      <c r="E20" s="107">
        <v>0</v>
      </c>
      <c r="F20" s="107">
        <v>0</v>
      </c>
      <c r="G20" s="107">
        <v>0</v>
      </c>
      <c r="H20" s="18"/>
      <c r="J20" s="105" t="s">
        <v>98</v>
      </c>
      <c r="K20" s="106">
        <f t="shared" ref="K20:K30" si="2">O20-SUM(L20:N20)</f>
        <v>0</v>
      </c>
      <c r="L20" s="107">
        <v>0</v>
      </c>
      <c r="M20" s="107">
        <v>0</v>
      </c>
      <c r="N20" s="107">
        <v>0</v>
      </c>
      <c r="O20" s="107">
        <v>0</v>
      </c>
      <c r="P20" s="18"/>
      <c r="R20" s="84" t="s">
        <v>89</v>
      </c>
      <c r="S20" s="85"/>
      <c r="T20" s="85"/>
      <c r="U20" s="86">
        <f>SUM(U4:U19)</f>
        <v>0</v>
      </c>
    </row>
    <row r="21" spans="2:21" ht="14.4">
      <c r="B21" s="105" t="s">
        <v>101</v>
      </c>
      <c r="C21" s="106">
        <f t="shared" si="1"/>
        <v>0</v>
      </c>
      <c r="D21" s="107">
        <v>0</v>
      </c>
      <c r="E21" s="107">
        <v>0</v>
      </c>
      <c r="F21" s="107">
        <v>0</v>
      </c>
      <c r="G21" s="107">
        <v>0</v>
      </c>
      <c r="H21" s="18"/>
      <c r="J21" s="105" t="s">
        <v>101</v>
      </c>
      <c r="K21" s="106">
        <f t="shared" si="2"/>
        <v>0</v>
      </c>
      <c r="L21" s="107">
        <v>0</v>
      </c>
      <c r="M21" s="107">
        <v>0</v>
      </c>
      <c r="N21" s="107">
        <v>0</v>
      </c>
      <c r="O21" s="107">
        <v>0</v>
      </c>
      <c r="P21" s="18"/>
      <c r="R21" s="40"/>
      <c r="S21" s="40"/>
      <c r="T21" s="40"/>
      <c r="U21" s="40"/>
    </row>
    <row r="22" spans="2:21" ht="14.4">
      <c r="B22" s="105" t="s">
        <v>104</v>
      </c>
      <c r="C22" s="106">
        <f t="shared" si="1"/>
        <v>0</v>
      </c>
      <c r="D22" s="107">
        <v>0</v>
      </c>
      <c r="E22" s="107">
        <v>0</v>
      </c>
      <c r="F22" s="107">
        <v>0</v>
      </c>
      <c r="G22" s="107">
        <v>0</v>
      </c>
      <c r="H22" s="18"/>
      <c r="J22" s="105" t="s">
        <v>104</v>
      </c>
      <c r="K22" s="106">
        <f t="shared" si="2"/>
        <v>0</v>
      </c>
      <c r="L22" s="107">
        <v>0</v>
      </c>
      <c r="M22" s="107">
        <v>0</v>
      </c>
      <c r="N22" s="107">
        <v>0</v>
      </c>
      <c r="O22" s="107">
        <v>0</v>
      </c>
      <c r="P22" s="18"/>
      <c r="R22" s="37" t="s">
        <v>96</v>
      </c>
      <c r="S22" s="38" t="s">
        <v>27</v>
      </c>
      <c r="T22" s="38" t="s">
        <v>28</v>
      </c>
      <c r="U22" s="39" t="s">
        <v>29</v>
      </c>
    </row>
    <row r="23" spans="2:21" ht="14.4">
      <c r="B23" s="105" t="s">
        <v>109</v>
      </c>
      <c r="C23" s="106">
        <f t="shared" si="1"/>
        <v>0</v>
      </c>
      <c r="D23" s="107">
        <v>0</v>
      </c>
      <c r="E23" s="107">
        <v>0</v>
      </c>
      <c r="F23" s="107">
        <v>0</v>
      </c>
      <c r="G23" s="107">
        <v>0</v>
      </c>
      <c r="H23" s="18"/>
      <c r="J23" s="105" t="s">
        <v>109</v>
      </c>
      <c r="K23" s="106">
        <f t="shared" si="2"/>
        <v>0</v>
      </c>
      <c r="L23" s="107">
        <v>0</v>
      </c>
      <c r="M23" s="107">
        <v>0</v>
      </c>
      <c r="N23" s="107">
        <v>0</v>
      </c>
      <c r="O23" s="107">
        <v>0</v>
      </c>
      <c r="P23" s="18"/>
      <c r="R23" s="42" t="s">
        <v>99</v>
      </c>
      <c r="S23" s="43">
        <v>35</v>
      </c>
      <c r="T23" s="43">
        <v>0</v>
      </c>
      <c r="U23" s="45">
        <f t="shared" ref="U23:U31" si="3">S23*T23</f>
        <v>0</v>
      </c>
    </row>
    <row r="24" spans="2:21" ht="14.4">
      <c r="B24" s="105" t="s">
        <v>112</v>
      </c>
      <c r="C24" s="106">
        <f t="shared" si="1"/>
        <v>0</v>
      </c>
      <c r="D24" s="107">
        <v>0</v>
      </c>
      <c r="E24" s="107">
        <v>0</v>
      </c>
      <c r="F24" s="107">
        <v>0</v>
      </c>
      <c r="G24" s="107">
        <v>0</v>
      </c>
      <c r="H24" s="18"/>
      <c r="J24" s="105" t="s">
        <v>112</v>
      </c>
      <c r="K24" s="106">
        <f t="shared" si="2"/>
        <v>0</v>
      </c>
      <c r="L24" s="107">
        <v>0</v>
      </c>
      <c r="M24" s="107">
        <v>0</v>
      </c>
      <c r="N24" s="107">
        <v>0</v>
      </c>
      <c r="O24" s="107">
        <v>0</v>
      </c>
      <c r="P24" s="18"/>
      <c r="R24" s="42" t="s">
        <v>102</v>
      </c>
      <c r="S24" s="43">
        <v>25</v>
      </c>
      <c r="T24" s="43">
        <v>0</v>
      </c>
      <c r="U24" s="45">
        <f t="shared" si="3"/>
        <v>0</v>
      </c>
    </row>
    <row r="25" spans="2:21" ht="14.4">
      <c r="B25" s="105" t="s">
        <v>115</v>
      </c>
      <c r="C25" s="106">
        <f t="shared" si="1"/>
        <v>0</v>
      </c>
      <c r="D25" s="107">
        <v>0</v>
      </c>
      <c r="E25" s="107">
        <v>0</v>
      </c>
      <c r="F25" s="107">
        <v>0</v>
      </c>
      <c r="G25" s="107">
        <v>0</v>
      </c>
      <c r="H25" s="18"/>
      <c r="J25" s="105" t="s">
        <v>115</v>
      </c>
      <c r="K25" s="106">
        <f t="shared" si="2"/>
        <v>0</v>
      </c>
      <c r="L25" s="107">
        <v>0</v>
      </c>
      <c r="M25" s="107">
        <v>0</v>
      </c>
      <c r="N25" s="107">
        <v>0</v>
      </c>
      <c r="O25" s="107">
        <v>0</v>
      </c>
      <c r="P25" s="18"/>
      <c r="R25" s="42" t="s">
        <v>105</v>
      </c>
      <c r="S25" s="43">
        <v>65</v>
      </c>
      <c r="T25" s="43">
        <v>0</v>
      </c>
      <c r="U25" s="45">
        <f t="shared" si="3"/>
        <v>0</v>
      </c>
    </row>
    <row r="26" spans="2:21" ht="14.4">
      <c r="B26" s="105" t="s">
        <v>118</v>
      </c>
      <c r="C26" s="106">
        <f t="shared" si="1"/>
        <v>0</v>
      </c>
      <c r="D26" s="107">
        <v>0</v>
      </c>
      <c r="E26" s="107">
        <v>0</v>
      </c>
      <c r="F26" s="107">
        <v>0</v>
      </c>
      <c r="G26" s="107">
        <v>0</v>
      </c>
      <c r="H26" s="18"/>
      <c r="J26" s="105" t="s">
        <v>118</v>
      </c>
      <c r="K26" s="106">
        <f t="shared" si="2"/>
        <v>0</v>
      </c>
      <c r="L26" s="107">
        <v>0</v>
      </c>
      <c r="M26" s="107">
        <v>0</v>
      </c>
      <c r="N26" s="107">
        <v>0</v>
      </c>
      <c r="O26" s="107">
        <v>0</v>
      </c>
      <c r="P26" s="18"/>
      <c r="R26" s="42" t="s">
        <v>110</v>
      </c>
      <c r="S26" s="43">
        <v>300</v>
      </c>
      <c r="T26" s="43">
        <v>0</v>
      </c>
      <c r="U26" s="45">
        <f t="shared" si="3"/>
        <v>0</v>
      </c>
    </row>
    <row r="27" spans="2:21" ht="14.4">
      <c r="B27" s="105" t="s">
        <v>122</v>
      </c>
      <c r="C27" s="106">
        <f t="shared" si="1"/>
        <v>0</v>
      </c>
      <c r="D27" s="107">
        <v>0</v>
      </c>
      <c r="E27" s="107">
        <v>0</v>
      </c>
      <c r="F27" s="107">
        <v>0</v>
      </c>
      <c r="G27" s="107">
        <v>0</v>
      </c>
      <c r="H27" s="18"/>
      <c r="J27" s="105" t="s">
        <v>122</v>
      </c>
      <c r="K27" s="106">
        <f t="shared" si="2"/>
        <v>0</v>
      </c>
      <c r="L27" s="107">
        <v>0</v>
      </c>
      <c r="M27" s="107">
        <v>0</v>
      </c>
      <c r="N27" s="107">
        <v>0</v>
      </c>
      <c r="O27" s="107">
        <v>0</v>
      </c>
      <c r="P27" s="18"/>
      <c r="R27" s="42" t="s">
        <v>113</v>
      </c>
      <c r="S27" s="43">
        <v>20</v>
      </c>
      <c r="T27" s="43">
        <v>0</v>
      </c>
      <c r="U27" s="45">
        <f t="shared" si="3"/>
        <v>0</v>
      </c>
    </row>
    <row r="28" spans="2:21" ht="14.4">
      <c r="B28" s="105" t="s">
        <v>126</v>
      </c>
      <c r="C28" s="106">
        <f t="shared" si="1"/>
        <v>0</v>
      </c>
      <c r="D28" s="107">
        <v>0</v>
      </c>
      <c r="E28" s="107">
        <v>0</v>
      </c>
      <c r="F28" s="107">
        <v>0</v>
      </c>
      <c r="G28" s="107">
        <v>0</v>
      </c>
      <c r="H28" s="18"/>
      <c r="J28" s="105" t="s">
        <v>126</v>
      </c>
      <c r="K28" s="106">
        <f t="shared" si="2"/>
        <v>0</v>
      </c>
      <c r="L28" s="107">
        <v>0</v>
      </c>
      <c r="M28" s="107">
        <v>0</v>
      </c>
      <c r="N28" s="107">
        <v>0</v>
      </c>
      <c r="O28" s="107">
        <v>0</v>
      </c>
      <c r="P28" s="18"/>
      <c r="R28" s="42" t="s">
        <v>116</v>
      </c>
      <c r="S28" s="43">
        <v>18</v>
      </c>
      <c r="T28" s="43">
        <v>0</v>
      </c>
      <c r="U28" s="45">
        <f t="shared" si="3"/>
        <v>0</v>
      </c>
    </row>
    <row r="29" spans="2:21" ht="14.4">
      <c r="B29" s="105" t="s">
        <v>128</v>
      </c>
      <c r="C29" s="106">
        <f t="shared" si="1"/>
        <v>0</v>
      </c>
      <c r="D29" s="107">
        <v>0</v>
      </c>
      <c r="E29" s="107">
        <v>0</v>
      </c>
      <c r="F29" s="107">
        <v>0</v>
      </c>
      <c r="G29" s="107">
        <v>0</v>
      </c>
      <c r="H29" s="18"/>
      <c r="J29" s="105" t="s">
        <v>128</v>
      </c>
      <c r="K29" s="106">
        <f t="shared" si="2"/>
        <v>0</v>
      </c>
      <c r="L29" s="107">
        <v>0</v>
      </c>
      <c r="M29" s="107">
        <v>0</v>
      </c>
      <c r="N29" s="107">
        <v>0</v>
      </c>
      <c r="O29" s="107">
        <v>0</v>
      </c>
      <c r="P29" s="18"/>
      <c r="R29" s="42" t="s">
        <v>119</v>
      </c>
      <c r="S29" s="43">
        <v>100</v>
      </c>
      <c r="T29" s="43">
        <v>0</v>
      </c>
      <c r="U29" s="45">
        <f t="shared" si="3"/>
        <v>0</v>
      </c>
    </row>
    <row r="30" spans="2:21" ht="14.4">
      <c r="B30" s="138" t="s">
        <v>134</v>
      </c>
      <c r="C30" s="106">
        <f t="shared" si="1"/>
        <v>0</v>
      </c>
      <c r="D30" s="107">
        <v>0</v>
      </c>
      <c r="E30" s="107">
        <v>0</v>
      </c>
      <c r="F30" s="107">
        <v>0</v>
      </c>
      <c r="G30" s="107">
        <v>0</v>
      </c>
      <c r="H30" s="18"/>
      <c r="J30" s="138" t="s">
        <v>134</v>
      </c>
      <c r="K30" s="106">
        <f t="shared" si="2"/>
        <v>0</v>
      </c>
      <c r="L30" s="107">
        <v>0</v>
      </c>
      <c r="M30" s="107">
        <v>0</v>
      </c>
      <c r="N30" s="107">
        <v>0</v>
      </c>
      <c r="O30" s="107">
        <v>0</v>
      </c>
      <c r="P30" s="18"/>
      <c r="R30" s="42" t="s">
        <v>123</v>
      </c>
      <c r="S30" s="43">
        <v>50</v>
      </c>
      <c r="T30" s="43">
        <v>0</v>
      </c>
      <c r="U30" s="45">
        <f t="shared" si="3"/>
        <v>0</v>
      </c>
    </row>
    <row r="31" spans="2:21" ht="14.4">
      <c r="B31" s="105" t="s">
        <v>136</v>
      </c>
      <c r="C31" s="107">
        <v>0</v>
      </c>
      <c r="D31" s="106">
        <f>G31-C31</f>
        <v>0</v>
      </c>
      <c r="E31" s="107">
        <v>0</v>
      </c>
      <c r="F31" s="107">
        <v>0</v>
      </c>
      <c r="G31" s="106">
        <f>ROUND(((C20+F20)*C8/12)*C12+((C36-C20+F36-F20)*C8*0.6/12)*C12,0)</f>
        <v>0</v>
      </c>
      <c r="H31" s="145" t="s">
        <v>137</v>
      </c>
      <c r="J31" s="105" t="s">
        <v>136</v>
      </c>
      <c r="K31" s="107">
        <v>0</v>
      </c>
      <c r="L31" s="106">
        <f>O31-K31</f>
        <v>0</v>
      </c>
      <c r="M31" s="107">
        <v>0</v>
      </c>
      <c r="N31" s="107">
        <v>0</v>
      </c>
      <c r="O31" s="106">
        <v>0</v>
      </c>
      <c r="P31" s="145" t="s">
        <v>137</v>
      </c>
      <c r="R31" s="78" t="s">
        <v>127</v>
      </c>
      <c r="S31" s="43">
        <v>77</v>
      </c>
      <c r="T31" s="43">
        <v>0</v>
      </c>
      <c r="U31" s="45">
        <f t="shared" si="3"/>
        <v>0</v>
      </c>
    </row>
    <row r="32" spans="2:21" ht="14.4">
      <c r="B32" s="105" t="s">
        <v>140</v>
      </c>
      <c r="C32" s="106">
        <f>G32-D32-E32-F32</f>
        <v>0</v>
      </c>
      <c r="D32" s="107">
        <v>0</v>
      </c>
      <c r="E32" s="107">
        <v>0</v>
      </c>
      <c r="F32" s="107">
        <v>0</v>
      </c>
      <c r="G32" s="106">
        <f>ROUND(G30*H32,0)</f>
        <v>0</v>
      </c>
      <c r="H32" s="152">
        <v>0.1</v>
      </c>
      <c r="J32" s="105" t="s">
        <v>140</v>
      </c>
      <c r="K32" s="106">
        <f>O32-L32-M32-N32</f>
        <v>0</v>
      </c>
      <c r="L32" s="107">
        <v>0</v>
      </c>
      <c r="M32" s="107">
        <v>0</v>
      </c>
      <c r="N32" s="107">
        <v>0</v>
      </c>
      <c r="O32" s="106">
        <f>ROUND(O30*P32,0)</f>
        <v>0</v>
      </c>
      <c r="P32" s="152">
        <v>0.1</v>
      </c>
      <c r="R32" s="84" t="s">
        <v>129</v>
      </c>
      <c r="S32" s="85"/>
      <c r="T32" s="85"/>
      <c r="U32" s="134">
        <f>SUM(U23:U31)</f>
        <v>0</v>
      </c>
    </row>
    <row r="33" spans="2:16" ht="14.4">
      <c r="B33" s="138" t="s">
        <v>142</v>
      </c>
      <c r="C33" s="106">
        <f t="shared" ref="C33:C34" si="4">G33-SUM(D33:F33)</f>
        <v>0</v>
      </c>
      <c r="D33" s="107">
        <v>0</v>
      </c>
      <c r="E33" s="107">
        <v>0</v>
      </c>
      <c r="F33" s="107">
        <v>0</v>
      </c>
      <c r="G33" s="107">
        <v>0</v>
      </c>
      <c r="H33" s="18"/>
      <c r="J33" s="138" t="s">
        <v>142</v>
      </c>
      <c r="K33" s="106">
        <f t="shared" ref="K33:K34" si="5">O33-SUM(L33:N33)</f>
        <v>0</v>
      </c>
      <c r="L33" s="107">
        <v>0</v>
      </c>
      <c r="M33" s="107">
        <v>0</v>
      </c>
      <c r="N33" s="107">
        <v>0</v>
      </c>
      <c r="O33" s="107">
        <v>0</v>
      </c>
      <c r="P33" s="18"/>
    </row>
    <row r="34" spans="2:16" ht="14.4">
      <c r="B34" s="163" t="s">
        <v>26</v>
      </c>
      <c r="C34" s="106">
        <f t="shared" si="4"/>
        <v>0</v>
      </c>
      <c r="D34" s="107">
        <v>0</v>
      </c>
      <c r="E34" s="107">
        <v>0</v>
      </c>
      <c r="F34" s="107">
        <v>0</v>
      </c>
      <c r="G34" s="107">
        <v>0</v>
      </c>
      <c r="H34" s="18"/>
      <c r="J34" s="163" t="s">
        <v>26</v>
      </c>
      <c r="K34" s="106">
        <f t="shared" si="5"/>
        <v>0</v>
      </c>
      <c r="L34" s="107">
        <v>0</v>
      </c>
      <c r="M34" s="107">
        <v>0</v>
      </c>
      <c r="N34" s="107">
        <v>0</v>
      </c>
      <c r="O34" s="107">
        <v>0</v>
      </c>
      <c r="P34" s="18"/>
    </row>
    <row r="35" spans="2:16" ht="14.4">
      <c r="B35" s="163" t="s">
        <v>145</v>
      </c>
      <c r="C35" s="107">
        <v>0</v>
      </c>
      <c r="D35" s="106">
        <f>G35-C35</f>
        <v>0</v>
      </c>
      <c r="E35" s="51"/>
      <c r="F35" s="51"/>
      <c r="G35" s="598">
        <v>0</v>
      </c>
      <c r="H35" s="18"/>
      <c r="J35" s="163" t="s">
        <v>145</v>
      </c>
      <c r="K35" s="107">
        <v>0</v>
      </c>
      <c r="L35" s="106">
        <f>O35-K35</f>
        <v>0</v>
      </c>
      <c r="M35" s="51"/>
      <c r="N35" s="51"/>
      <c r="O35" s="598">
        <v>0</v>
      </c>
      <c r="P35" s="18"/>
    </row>
    <row r="36" spans="2:16" ht="14.4">
      <c r="B36" s="175"/>
      <c r="C36" s="176">
        <f>SUM(C20:C35)</f>
        <v>0</v>
      </c>
      <c r="D36" s="176">
        <f>SUM(D20:D35)</f>
        <v>0</v>
      </c>
      <c r="E36" s="176">
        <f>SUM(E20:E35)</f>
        <v>0</v>
      </c>
      <c r="F36" s="176">
        <f>SUM(F20:F35)</f>
        <v>0</v>
      </c>
      <c r="G36" s="176">
        <f>SUM(G20:G35)</f>
        <v>0</v>
      </c>
      <c r="H36" s="18"/>
      <c r="J36" s="175"/>
      <c r="K36" s="176">
        <f>SUM(K20:K35)</f>
        <v>0</v>
      </c>
      <c r="L36" s="176">
        <f>SUM(L20:L35)</f>
        <v>0</v>
      </c>
      <c r="M36" s="176">
        <f>SUM(M20:M35)</f>
        <v>0</v>
      </c>
      <c r="N36" s="176">
        <f>SUM(N20:N35)</f>
        <v>0</v>
      </c>
      <c r="O36" s="176">
        <f>SUM(O20:O35)</f>
        <v>0</v>
      </c>
      <c r="P36" s="18"/>
    </row>
    <row r="37" spans="2:16" ht="14.4">
      <c r="B37" s="32"/>
      <c r="C37" s="109">
        <f>IFERROR(C36/$G$36,0)</f>
        <v>0</v>
      </c>
      <c r="D37" s="109">
        <f>IFERROR(D36/$G$36,0)</f>
        <v>0</v>
      </c>
      <c r="E37" s="109">
        <f>IFERROR(E36/$G$36,0)</f>
        <v>0</v>
      </c>
      <c r="F37" s="109">
        <f>IFERROR(F36/$G$36,0)</f>
        <v>0</v>
      </c>
      <c r="G37" s="109">
        <f>IFERROR(G36/$G$36,0)</f>
        <v>0</v>
      </c>
      <c r="H37" s="18"/>
      <c r="J37" s="32"/>
      <c r="K37" s="109">
        <f>IFERROR(K36/$O$36,0)</f>
        <v>0</v>
      </c>
      <c r="L37" s="109">
        <f>IFERROR(L36/$O$36,0)</f>
        <v>0</v>
      </c>
      <c r="M37" s="109">
        <f>IFERROR(M36/$O$36,0)</f>
        <v>0</v>
      </c>
      <c r="N37" s="109">
        <f>IFERROR(N36/$O$36,0)</f>
        <v>0</v>
      </c>
      <c r="O37" s="109">
        <f>IFERROR(O36/$O$36,0)</f>
        <v>0</v>
      </c>
      <c r="P37" s="18"/>
    </row>
    <row r="38" spans="2:16" ht="14.4">
      <c r="B38" s="74"/>
      <c r="C38" s="75"/>
      <c r="D38" s="75"/>
      <c r="E38" s="75"/>
      <c r="F38" s="75"/>
      <c r="G38" s="75"/>
      <c r="H38" s="35"/>
      <c r="J38" s="74"/>
      <c r="K38" s="75"/>
      <c r="L38" s="75"/>
      <c r="M38" s="75"/>
      <c r="N38" s="75"/>
      <c r="O38" s="75"/>
      <c r="P38" s="35"/>
    </row>
    <row r="41" spans="2:16" ht="14.4">
      <c r="B41" s="454"/>
      <c r="C41" s="455" t="str">
        <f>C18</f>
        <v>T Bank  7(a)</v>
      </c>
      <c r="D41" s="456" t="str">
        <f>D18</f>
        <v>Borrower</v>
      </c>
      <c r="E41" s="456" t="str">
        <f>E18</f>
        <v>Seller Note</v>
      </c>
      <c r="F41" s="457" t="str">
        <f>G18</f>
        <v>Total</v>
      </c>
      <c r="J41" s="454"/>
      <c r="K41" s="455" t="str">
        <f>K18</f>
        <v>T Bank 504</v>
      </c>
      <c r="L41" s="456" t="str">
        <f>L18</f>
        <v>Borrower</v>
      </c>
      <c r="M41" s="455" t="str">
        <f>M18</f>
        <v>Seller Note</v>
      </c>
      <c r="N41" s="456" t="str">
        <f>N18</f>
        <v>CDC 504</v>
      </c>
      <c r="O41" s="457" t="str">
        <f>O18</f>
        <v>Total</v>
      </c>
    </row>
    <row r="42" spans="2:16" ht="14.4">
      <c r="B42" s="458" t="str">
        <f t="shared" ref="B42:B57" si="6">B20</f>
        <v>Real Estate Acquisition</v>
      </c>
      <c r="C42" s="459">
        <f t="shared" ref="C42:C59" si="7">C20</f>
        <v>0</v>
      </c>
      <c r="D42" s="459">
        <f t="shared" ref="D42:D59" si="8">D20</f>
        <v>0</v>
      </c>
      <c r="E42" s="459">
        <f t="shared" ref="E42:E59" si="9">E20</f>
        <v>0</v>
      </c>
      <c r="F42" s="460">
        <f t="shared" ref="F42:F59" si="10">G20</f>
        <v>0</v>
      </c>
      <c r="J42" s="458" t="str">
        <f t="shared" ref="J42:J57" si="11">J20</f>
        <v>Real Estate Acquisition</v>
      </c>
      <c r="K42" s="459">
        <f t="shared" ref="K42:K59" si="12">K20</f>
        <v>0</v>
      </c>
      <c r="L42" s="459">
        <f t="shared" ref="L42:L59" si="13">L20</f>
        <v>0</v>
      </c>
      <c r="M42" s="459">
        <f t="shared" ref="M42:M59" si="14">M20</f>
        <v>0</v>
      </c>
      <c r="N42" s="459">
        <f t="shared" ref="N42:N59" si="15">N20</f>
        <v>0</v>
      </c>
      <c r="O42" s="460">
        <f t="shared" ref="O42:O59" si="16">O20</f>
        <v>0</v>
      </c>
    </row>
    <row r="43" spans="2:16" ht="14.4">
      <c r="B43" s="458" t="str">
        <f t="shared" si="6"/>
        <v>Debt Refi - CRE</v>
      </c>
      <c r="C43" s="459">
        <f t="shared" si="7"/>
        <v>0</v>
      </c>
      <c r="D43" s="459">
        <f t="shared" si="8"/>
        <v>0</v>
      </c>
      <c r="E43" s="459">
        <f t="shared" si="9"/>
        <v>0</v>
      </c>
      <c r="F43" s="460">
        <f t="shared" si="10"/>
        <v>0</v>
      </c>
      <c r="J43" s="458" t="str">
        <f t="shared" si="11"/>
        <v>Debt Refi - CRE</v>
      </c>
      <c r="K43" s="459">
        <f t="shared" si="12"/>
        <v>0</v>
      </c>
      <c r="L43" s="459">
        <f t="shared" si="13"/>
        <v>0</v>
      </c>
      <c r="M43" s="459">
        <f t="shared" si="14"/>
        <v>0</v>
      </c>
      <c r="N43" s="459">
        <f t="shared" si="15"/>
        <v>0</v>
      </c>
      <c r="O43" s="460">
        <f t="shared" si="16"/>
        <v>0</v>
      </c>
    </row>
    <row r="44" spans="2:16" ht="14.4">
      <c r="B44" s="458" t="str">
        <f t="shared" si="6"/>
        <v>Debt Refi - Non-CRE</v>
      </c>
      <c r="C44" s="459">
        <f t="shared" si="7"/>
        <v>0</v>
      </c>
      <c r="D44" s="459">
        <f t="shared" si="8"/>
        <v>0</v>
      </c>
      <c r="E44" s="459">
        <f t="shared" si="9"/>
        <v>0</v>
      </c>
      <c r="F44" s="460">
        <f t="shared" si="10"/>
        <v>0</v>
      </c>
      <c r="J44" s="458" t="str">
        <f t="shared" si="11"/>
        <v>Debt Refi - Non-CRE</v>
      </c>
      <c r="K44" s="459">
        <f t="shared" si="12"/>
        <v>0</v>
      </c>
      <c r="L44" s="459">
        <f t="shared" si="13"/>
        <v>0</v>
      </c>
      <c r="M44" s="459">
        <f t="shared" si="14"/>
        <v>0</v>
      </c>
      <c r="N44" s="459">
        <f t="shared" si="15"/>
        <v>0</v>
      </c>
      <c r="O44" s="460">
        <f t="shared" si="16"/>
        <v>0</v>
      </c>
    </row>
    <row r="45" spans="2:16" ht="14.4">
      <c r="B45" s="458" t="str">
        <f t="shared" si="6"/>
        <v>Machinery &amp; Equipment</v>
      </c>
      <c r="C45" s="459">
        <f t="shared" si="7"/>
        <v>0</v>
      </c>
      <c r="D45" s="459">
        <f t="shared" si="8"/>
        <v>0</v>
      </c>
      <c r="E45" s="459">
        <f t="shared" si="9"/>
        <v>0</v>
      </c>
      <c r="F45" s="460">
        <f t="shared" si="10"/>
        <v>0</v>
      </c>
      <c r="J45" s="458" t="str">
        <f t="shared" si="11"/>
        <v>Machinery &amp; Equipment</v>
      </c>
      <c r="K45" s="459">
        <f t="shared" si="12"/>
        <v>0</v>
      </c>
      <c r="L45" s="459">
        <f t="shared" si="13"/>
        <v>0</v>
      </c>
      <c r="M45" s="459">
        <f t="shared" si="14"/>
        <v>0</v>
      </c>
      <c r="N45" s="459">
        <f t="shared" si="15"/>
        <v>0</v>
      </c>
      <c r="O45" s="460">
        <f t="shared" si="16"/>
        <v>0</v>
      </c>
    </row>
    <row r="46" spans="2:16" ht="14.4" hidden="1">
      <c r="B46" s="458" t="str">
        <f t="shared" si="6"/>
        <v>Furniture &amp; Fixtures (TIs)</v>
      </c>
      <c r="C46" s="459">
        <f t="shared" si="7"/>
        <v>0</v>
      </c>
      <c r="D46" s="459">
        <f t="shared" si="8"/>
        <v>0</v>
      </c>
      <c r="E46" s="459">
        <f t="shared" si="9"/>
        <v>0</v>
      </c>
      <c r="F46" s="460">
        <f t="shared" si="10"/>
        <v>0</v>
      </c>
      <c r="J46" s="458" t="str">
        <f t="shared" si="11"/>
        <v>Furniture &amp; Fixtures (TIs)</v>
      </c>
      <c r="K46" s="459">
        <f t="shared" si="12"/>
        <v>0</v>
      </c>
      <c r="L46" s="459">
        <f t="shared" si="13"/>
        <v>0</v>
      </c>
      <c r="M46" s="459">
        <f t="shared" si="14"/>
        <v>0</v>
      </c>
      <c r="N46" s="459">
        <f t="shared" si="15"/>
        <v>0</v>
      </c>
      <c r="O46" s="460">
        <f t="shared" si="16"/>
        <v>0</v>
      </c>
    </row>
    <row r="47" spans="2:16" ht="14.4" hidden="1">
      <c r="B47" s="458" t="str">
        <f t="shared" si="6"/>
        <v>Inventory</v>
      </c>
      <c r="C47" s="459">
        <f t="shared" si="7"/>
        <v>0</v>
      </c>
      <c r="D47" s="459">
        <f t="shared" si="8"/>
        <v>0</v>
      </c>
      <c r="E47" s="459">
        <f t="shared" si="9"/>
        <v>0</v>
      </c>
      <c r="F47" s="460">
        <f t="shared" si="10"/>
        <v>0</v>
      </c>
      <c r="J47" s="458" t="str">
        <f t="shared" si="11"/>
        <v>Inventory</v>
      </c>
      <c r="K47" s="459">
        <f t="shared" si="12"/>
        <v>0</v>
      </c>
      <c r="L47" s="459">
        <f t="shared" si="13"/>
        <v>0</v>
      </c>
      <c r="M47" s="459">
        <f t="shared" si="14"/>
        <v>0</v>
      </c>
      <c r="N47" s="459">
        <f t="shared" si="15"/>
        <v>0</v>
      </c>
      <c r="O47" s="460">
        <f t="shared" si="16"/>
        <v>0</v>
      </c>
    </row>
    <row r="48" spans="2:16" ht="14.4" hidden="1">
      <c r="B48" s="458" t="str">
        <f t="shared" si="6"/>
        <v>Working Capital</v>
      </c>
      <c r="C48" s="459">
        <f t="shared" si="7"/>
        <v>0</v>
      </c>
      <c r="D48" s="459">
        <f t="shared" si="8"/>
        <v>0</v>
      </c>
      <c r="E48" s="459">
        <f t="shared" si="9"/>
        <v>0</v>
      </c>
      <c r="F48" s="460">
        <f t="shared" si="10"/>
        <v>0</v>
      </c>
      <c r="J48" s="458" t="str">
        <f t="shared" si="11"/>
        <v>Working Capital</v>
      </c>
      <c r="K48" s="459">
        <f t="shared" si="12"/>
        <v>0</v>
      </c>
      <c r="L48" s="459">
        <f t="shared" si="13"/>
        <v>0</v>
      </c>
      <c r="M48" s="459">
        <f t="shared" si="14"/>
        <v>0</v>
      </c>
      <c r="N48" s="459">
        <f t="shared" si="15"/>
        <v>0</v>
      </c>
      <c r="O48" s="460">
        <f t="shared" si="16"/>
        <v>0</v>
      </c>
    </row>
    <row r="49" spans="2:15" ht="14.4" hidden="1">
      <c r="B49" s="458" t="str">
        <f t="shared" si="6"/>
        <v>Working Capital - Pre Opening</v>
      </c>
      <c r="C49" s="459">
        <f t="shared" si="7"/>
        <v>0</v>
      </c>
      <c r="D49" s="459">
        <f t="shared" si="8"/>
        <v>0</v>
      </c>
      <c r="E49" s="459">
        <f t="shared" si="9"/>
        <v>0</v>
      </c>
      <c r="F49" s="460">
        <f t="shared" si="10"/>
        <v>0</v>
      </c>
      <c r="J49" s="458" t="str">
        <f t="shared" si="11"/>
        <v>Working Capital - Pre Opening</v>
      </c>
      <c r="K49" s="459">
        <f t="shared" si="12"/>
        <v>0</v>
      </c>
      <c r="L49" s="459">
        <f t="shared" si="13"/>
        <v>0</v>
      </c>
      <c r="M49" s="459">
        <f t="shared" si="14"/>
        <v>0</v>
      </c>
      <c r="N49" s="459">
        <f t="shared" si="15"/>
        <v>0</v>
      </c>
      <c r="O49" s="460">
        <f t="shared" si="16"/>
        <v>0</v>
      </c>
    </row>
    <row r="50" spans="2:15" ht="14.4">
      <c r="B50" s="458" t="str">
        <f t="shared" si="6"/>
        <v>Business Acquisition</v>
      </c>
      <c r="C50" s="459">
        <f t="shared" si="7"/>
        <v>0</v>
      </c>
      <c r="D50" s="459">
        <f t="shared" si="8"/>
        <v>0</v>
      </c>
      <c r="E50" s="459">
        <f t="shared" si="9"/>
        <v>0</v>
      </c>
      <c r="F50" s="460">
        <f t="shared" si="10"/>
        <v>0</v>
      </c>
      <c r="J50" s="458" t="str">
        <f t="shared" si="11"/>
        <v>Business Acquisition</v>
      </c>
      <c r="K50" s="459">
        <f t="shared" si="12"/>
        <v>0</v>
      </c>
      <c r="L50" s="459">
        <f t="shared" si="13"/>
        <v>0</v>
      </c>
      <c r="M50" s="459">
        <f t="shared" si="14"/>
        <v>0</v>
      </c>
      <c r="N50" s="459">
        <f t="shared" si="15"/>
        <v>0</v>
      </c>
      <c r="O50" s="460">
        <f t="shared" si="16"/>
        <v>0</v>
      </c>
    </row>
    <row r="51" spans="2:15" ht="14.4">
      <c r="B51" s="458" t="str">
        <f t="shared" si="6"/>
        <v>Franchise Fees</v>
      </c>
      <c r="C51" s="459">
        <f t="shared" si="7"/>
        <v>0</v>
      </c>
      <c r="D51" s="459">
        <f t="shared" si="8"/>
        <v>0</v>
      </c>
      <c r="E51" s="459">
        <f t="shared" si="9"/>
        <v>0</v>
      </c>
      <c r="F51" s="460">
        <f t="shared" si="10"/>
        <v>0</v>
      </c>
      <c r="J51" s="458" t="str">
        <f t="shared" si="11"/>
        <v>Franchise Fees</v>
      </c>
      <c r="K51" s="459">
        <f t="shared" si="12"/>
        <v>0</v>
      </c>
      <c r="L51" s="459">
        <f t="shared" si="13"/>
        <v>0</v>
      </c>
      <c r="M51" s="459">
        <f t="shared" si="14"/>
        <v>0</v>
      </c>
      <c r="N51" s="459">
        <f t="shared" si="15"/>
        <v>0</v>
      </c>
      <c r="O51" s="460">
        <f t="shared" si="16"/>
        <v>0</v>
      </c>
    </row>
    <row r="52" spans="2:15" ht="14.4">
      <c r="B52" s="458" t="str">
        <f t="shared" si="6"/>
        <v>Construction Hard Costs</v>
      </c>
      <c r="C52" s="459">
        <f t="shared" si="7"/>
        <v>0</v>
      </c>
      <c r="D52" s="459">
        <f t="shared" si="8"/>
        <v>0</v>
      </c>
      <c r="E52" s="459">
        <f t="shared" si="9"/>
        <v>0</v>
      </c>
      <c r="F52" s="460">
        <f t="shared" si="10"/>
        <v>0</v>
      </c>
      <c r="J52" s="458" t="str">
        <f t="shared" si="11"/>
        <v>Construction Hard Costs</v>
      </c>
      <c r="K52" s="459">
        <f t="shared" si="12"/>
        <v>0</v>
      </c>
      <c r="L52" s="459">
        <f t="shared" si="13"/>
        <v>0</v>
      </c>
      <c r="M52" s="459">
        <f t="shared" si="14"/>
        <v>0</v>
      </c>
      <c r="N52" s="459">
        <f t="shared" si="15"/>
        <v>0</v>
      </c>
      <c r="O52" s="460">
        <f t="shared" si="16"/>
        <v>0</v>
      </c>
    </row>
    <row r="53" spans="2:15" ht="14.4">
      <c r="B53" s="458" t="str">
        <f t="shared" si="6"/>
        <v>Interim Interest Reserve</v>
      </c>
      <c r="C53" s="459">
        <f t="shared" si="7"/>
        <v>0</v>
      </c>
      <c r="D53" s="459">
        <f t="shared" si="8"/>
        <v>0</v>
      </c>
      <c r="E53" s="459">
        <f t="shared" si="9"/>
        <v>0</v>
      </c>
      <c r="F53" s="460">
        <f t="shared" si="10"/>
        <v>0</v>
      </c>
      <c r="J53" s="458" t="str">
        <f t="shared" si="11"/>
        <v>Interim Interest Reserve</v>
      </c>
      <c r="K53" s="459">
        <f t="shared" si="12"/>
        <v>0</v>
      </c>
      <c r="L53" s="459">
        <f t="shared" si="13"/>
        <v>0</v>
      </c>
      <c r="M53" s="459">
        <f t="shared" si="14"/>
        <v>0</v>
      </c>
      <c r="N53" s="459">
        <f t="shared" si="15"/>
        <v>0</v>
      </c>
      <c r="O53" s="460">
        <f t="shared" si="16"/>
        <v>0</v>
      </c>
    </row>
    <row r="54" spans="2:15" ht="14.4">
      <c r="B54" s="458" t="str">
        <f t="shared" si="6"/>
        <v>Construction Contingency</v>
      </c>
      <c r="C54" s="459">
        <f t="shared" si="7"/>
        <v>0</v>
      </c>
      <c r="D54" s="459">
        <f t="shared" si="8"/>
        <v>0</v>
      </c>
      <c r="E54" s="459">
        <f t="shared" si="9"/>
        <v>0</v>
      </c>
      <c r="F54" s="460">
        <f t="shared" si="10"/>
        <v>0</v>
      </c>
      <c r="J54" s="458" t="str">
        <f t="shared" si="11"/>
        <v>Construction Contingency</v>
      </c>
      <c r="K54" s="459">
        <f t="shared" si="12"/>
        <v>0</v>
      </c>
      <c r="L54" s="459">
        <f t="shared" si="13"/>
        <v>0</v>
      </c>
      <c r="M54" s="459">
        <f t="shared" si="14"/>
        <v>0</v>
      </c>
      <c r="N54" s="459">
        <f t="shared" si="15"/>
        <v>0</v>
      </c>
      <c r="O54" s="460">
        <f t="shared" si="16"/>
        <v>0</v>
      </c>
    </row>
    <row r="55" spans="2:15" ht="14.4">
      <c r="B55" s="458" t="str">
        <f t="shared" si="6"/>
        <v>Other Construction Soft Costs</v>
      </c>
      <c r="C55" s="459">
        <f t="shared" si="7"/>
        <v>0</v>
      </c>
      <c r="D55" s="459">
        <f t="shared" si="8"/>
        <v>0</v>
      </c>
      <c r="E55" s="459">
        <f t="shared" si="9"/>
        <v>0</v>
      </c>
      <c r="F55" s="460">
        <f t="shared" si="10"/>
        <v>0</v>
      </c>
      <c r="J55" s="458" t="str">
        <f t="shared" si="11"/>
        <v>Other Construction Soft Costs</v>
      </c>
      <c r="K55" s="459">
        <f t="shared" si="12"/>
        <v>0</v>
      </c>
      <c r="L55" s="459">
        <f t="shared" si="13"/>
        <v>0</v>
      </c>
      <c r="M55" s="459">
        <f t="shared" si="14"/>
        <v>0</v>
      </c>
      <c r="N55" s="459">
        <f t="shared" si="15"/>
        <v>0</v>
      </c>
      <c r="O55" s="460">
        <f t="shared" si="16"/>
        <v>0</v>
      </c>
    </row>
    <row r="56" spans="2:15" ht="14.4">
      <c r="B56" s="458" t="str">
        <f t="shared" si="6"/>
        <v>Closing Costs</v>
      </c>
      <c r="C56" s="459">
        <f t="shared" si="7"/>
        <v>0</v>
      </c>
      <c r="D56" s="459">
        <f t="shared" si="8"/>
        <v>0</v>
      </c>
      <c r="E56" s="459">
        <f t="shared" si="9"/>
        <v>0</v>
      </c>
      <c r="F56" s="460">
        <f t="shared" si="10"/>
        <v>0</v>
      </c>
      <c r="J56" s="458" t="str">
        <f t="shared" si="11"/>
        <v>Closing Costs</v>
      </c>
      <c r="K56" s="459">
        <f t="shared" si="12"/>
        <v>0</v>
      </c>
      <c r="L56" s="459">
        <f t="shared" si="13"/>
        <v>0</v>
      </c>
      <c r="M56" s="459">
        <f t="shared" si="14"/>
        <v>0</v>
      </c>
      <c r="N56" s="459">
        <f t="shared" si="15"/>
        <v>0</v>
      </c>
      <c r="O56" s="460">
        <f t="shared" si="16"/>
        <v>0</v>
      </c>
    </row>
    <row r="57" spans="2:15" ht="14.4">
      <c r="B57" s="458" t="str">
        <f t="shared" si="6"/>
        <v>SBA Gty Fee</v>
      </c>
      <c r="C57" s="459">
        <f t="shared" si="7"/>
        <v>0</v>
      </c>
      <c r="D57" s="459">
        <f t="shared" si="8"/>
        <v>0</v>
      </c>
      <c r="E57" s="459">
        <f t="shared" si="9"/>
        <v>0</v>
      </c>
      <c r="F57" s="460">
        <f t="shared" si="10"/>
        <v>0</v>
      </c>
      <c r="J57" s="458" t="str">
        <f t="shared" si="11"/>
        <v>SBA Gty Fee</v>
      </c>
      <c r="K57" s="459">
        <f t="shared" si="12"/>
        <v>0</v>
      </c>
      <c r="L57" s="459">
        <f t="shared" si="13"/>
        <v>0</v>
      </c>
      <c r="M57" s="459">
        <f t="shared" si="14"/>
        <v>0</v>
      </c>
      <c r="N57" s="459">
        <f t="shared" si="15"/>
        <v>0</v>
      </c>
      <c r="O57" s="460">
        <f t="shared" si="16"/>
        <v>0</v>
      </c>
    </row>
    <row r="58" spans="2:15" ht="14.4">
      <c r="B58" s="461" t="s">
        <v>435</v>
      </c>
      <c r="C58" s="462">
        <f t="shared" si="7"/>
        <v>0</v>
      </c>
      <c r="D58" s="462">
        <f t="shared" si="8"/>
        <v>0</v>
      </c>
      <c r="E58" s="462">
        <f t="shared" si="9"/>
        <v>0</v>
      </c>
      <c r="F58" s="463">
        <f t="shared" si="10"/>
        <v>0</v>
      </c>
      <c r="J58" s="461" t="s">
        <v>435</v>
      </c>
      <c r="K58" s="462">
        <f t="shared" si="12"/>
        <v>0</v>
      </c>
      <c r="L58" s="462">
        <f t="shared" si="13"/>
        <v>0</v>
      </c>
      <c r="M58" s="462">
        <f t="shared" si="14"/>
        <v>0</v>
      </c>
      <c r="N58" s="462">
        <f t="shared" si="15"/>
        <v>0</v>
      </c>
      <c r="O58" s="463">
        <f t="shared" si="16"/>
        <v>0</v>
      </c>
    </row>
    <row r="59" spans="2:15" ht="14.4">
      <c r="B59" s="464" t="s">
        <v>436</v>
      </c>
      <c r="C59" s="465">
        <f t="shared" si="7"/>
        <v>0</v>
      </c>
      <c r="D59" s="465">
        <f t="shared" si="8"/>
        <v>0</v>
      </c>
      <c r="E59" s="465">
        <f t="shared" si="9"/>
        <v>0</v>
      </c>
      <c r="F59" s="466">
        <f t="shared" si="10"/>
        <v>0</v>
      </c>
      <c r="J59" s="464" t="s">
        <v>436</v>
      </c>
      <c r="K59" s="465">
        <f t="shared" si="12"/>
        <v>0</v>
      </c>
      <c r="L59" s="465">
        <f t="shared" si="13"/>
        <v>0</v>
      </c>
      <c r="M59" s="465">
        <f t="shared" si="14"/>
        <v>0</v>
      </c>
      <c r="N59" s="465">
        <f t="shared" si="15"/>
        <v>0</v>
      </c>
      <c r="O59" s="466">
        <f t="shared" si="16"/>
        <v>0</v>
      </c>
    </row>
  </sheetData>
  <mergeCells count="5">
    <mergeCell ref="B3:H3"/>
    <mergeCell ref="N8:O8"/>
    <mergeCell ref="N11:O11"/>
    <mergeCell ref="N12:O12"/>
    <mergeCell ref="N10:O10"/>
  </mergeCells>
  <conditionalFormatting sqref="C35:G35">
    <cfRule type="expression" dxfId="10" priority="1">
      <formula>$C$30=504</formula>
    </cfRule>
  </conditionalFormatting>
  <conditionalFormatting sqref="J13">
    <cfRule type="expression" dxfId="9" priority="3">
      <formula>$H$29&gt;5000000</formula>
    </cfRule>
  </conditionalFormatting>
  <conditionalFormatting sqref="K3">
    <cfRule type="expression" dxfId="8" priority="4">
      <formula>"IF(N60&lt;1)"</formula>
    </cfRule>
  </conditionalFormatting>
  <conditionalFormatting sqref="K35:O35">
    <cfRule type="expression" dxfId="7" priority="2">
      <formula>$C$30=504</formula>
    </cfRule>
  </conditionalFormatting>
  <conditionalFormatting sqref="R20">
    <cfRule type="expression" dxfId="6" priority="10">
      <formula>$H$29&gt;5000000</formula>
    </cfRule>
  </conditionalFormatting>
  <conditionalFormatting sqref="R32">
    <cfRule type="expression" dxfId="5" priority="12">
      <formula>$H$29&gt;5000000</formula>
    </cfRule>
  </conditionalFormatting>
  <conditionalFormatting sqref="S4:S18">
    <cfRule type="expression" dxfId="4" priority="5">
      <formula>OR(ISBLANK(S4),ISTEXT(S4))</formula>
    </cfRule>
  </conditionalFormatting>
  <conditionalFormatting sqref="S10">
    <cfRule type="containsBlanks" dxfId="3" priority="6">
      <formula>LEN(TRIM(S10))=0</formula>
    </cfRule>
  </conditionalFormatting>
  <conditionalFormatting sqref="S19">
    <cfRule type="cellIs" dxfId="2" priority="7" operator="greaterThan">
      <formula>5000000</formula>
    </cfRule>
  </conditionalFormatting>
  <conditionalFormatting sqref="S23:S31">
    <cfRule type="expression" dxfId="1" priority="11">
      <formula>OR(ISBLANK(S23),ISTEXT(S23))</formula>
    </cfRule>
  </conditionalFormatting>
  <conditionalFormatting sqref="U19">
    <cfRule type="cellIs" dxfId="0" priority="13" operator="greaterThan">
      <formula>5000000</formula>
    </cfRule>
  </conditionalFormatting>
  <dataValidations count="1">
    <dataValidation type="whole" operator="greaterThanOrEqual" allowBlank="1" showErrorMessage="1" errorTitle="The value you entered is not valid." error="The value entered violates data validation rules set in cell" sqref="S4:U17 U18 S23:U31" xr:uid="{00000000-0002-0000-0300-000000000000}">
      <formula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D7D31"/>
  </sheetPr>
  <dimension ref="A1:J84"/>
  <sheetViews>
    <sheetView workbookViewId="0"/>
  </sheetViews>
  <sheetFormatPr defaultRowHeight="16.95" customHeight="1"/>
  <cols>
    <col min="1" max="1" width="18.77734375"/>
    <col min="2" max="2" width="29.44140625"/>
    <col min="3" max="3" width="18.6640625"/>
    <col min="4" max="4" width="16.33203125"/>
    <col min="5" max="5" width="18.88671875"/>
    <col min="6" max="6" width="16"/>
    <col min="7" max="2048" width="9.109375"/>
  </cols>
  <sheetData>
    <row r="1" spans="1:10">
      <c r="A1" s="354" t="s">
        <v>468</v>
      </c>
      <c r="B1" s="354" t="s">
        <v>469</v>
      </c>
      <c r="C1" s="354" t="s">
        <v>470</v>
      </c>
      <c r="D1" s="354" t="s">
        <v>471</v>
      </c>
      <c r="E1" s="354" t="s">
        <v>472</v>
      </c>
      <c r="F1" s="354" t="s">
        <v>473</v>
      </c>
      <c r="H1" s="599"/>
      <c r="I1" s="600"/>
      <c r="J1" s="600"/>
    </row>
    <row r="2" spans="1:10">
      <c r="H2" s="991"/>
      <c r="I2" s="991"/>
      <c r="J2" s="991"/>
    </row>
    <row r="3" spans="1:10">
      <c r="A3" s="601" t="s">
        <v>474</v>
      </c>
      <c r="B3" s="601" t="s">
        <v>397</v>
      </c>
      <c r="C3" s="601" t="s">
        <v>194</v>
      </c>
      <c r="D3" s="601" t="s">
        <v>475</v>
      </c>
      <c r="E3" s="601" t="s">
        <v>476</v>
      </c>
      <c r="F3" s="601" t="s">
        <v>477</v>
      </c>
      <c r="H3" s="991"/>
      <c r="I3" s="991"/>
      <c r="J3" s="991"/>
    </row>
    <row r="4" spans="1:10">
      <c r="A4" s="601" t="s">
        <v>478</v>
      </c>
      <c r="B4" s="601" t="s">
        <v>479</v>
      </c>
      <c r="C4" s="601" t="s">
        <v>79</v>
      </c>
      <c r="D4" s="601" t="s">
        <v>480</v>
      </c>
      <c r="E4" s="601" t="s">
        <v>481</v>
      </c>
      <c r="F4" s="601" t="s">
        <v>482</v>
      </c>
      <c r="H4" s="991"/>
      <c r="I4" s="991"/>
      <c r="J4" s="991"/>
    </row>
    <row r="5" spans="1:10">
      <c r="A5" s="601" t="s">
        <v>483</v>
      </c>
      <c r="B5" s="601" t="s">
        <v>484</v>
      </c>
      <c r="C5" s="601" t="s">
        <v>397</v>
      </c>
      <c r="D5" s="601" t="s">
        <v>485</v>
      </c>
      <c r="E5" s="601" t="s">
        <v>486</v>
      </c>
      <c r="F5" s="601" t="s">
        <v>487</v>
      </c>
      <c r="H5" s="991"/>
      <c r="I5" s="991"/>
      <c r="J5" s="991"/>
    </row>
    <row r="6" spans="1:10">
      <c r="A6" s="601" t="s">
        <v>488</v>
      </c>
      <c r="B6" s="602">
        <v>504</v>
      </c>
      <c r="E6" s="601" t="s">
        <v>489</v>
      </c>
      <c r="F6" s="601" t="s">
        <v>490</v>
      </c>
    </row>
    <row r="7" spans="1:10">
      <c r="A7" s="601" t="s">
        <v>491</v>
      </c>
      <c r="B7" s="601" t="s">
        <v>492</v>
      </c>
      <c r="C7" s="354" t="s">
        <v>493</v>
      </c>
      <c r="E7" s="601" t="s">
        <v>494</v>
      </c>
      <c r="F7" s="601" t="s">
        <v>495</v>
      </c>
    </row>
    <row r="8" spans="1:10">
      <c r="A8" s="601" t="s">
        <v>496</v>
      </c>
      <c r="B8" s="601" t="s">
        <v>497</v>
      </c>
      <c r="E8" s="601" t="s">
        <v>498</v>
      </c>
      <c r="F8" s="601" t="s">
        <v>499</v>
      </c>
    </row>
    <row r="9" spans="1:10">
      <c r="A9" s="601" t="s">
        <v>500</v>
      </c>
      <c r="B9" s="601" t="s">
        <v>501</v>
      </c>
      <c r="C9" s="601" t="s">
        <v>502</v>
      </c>
      <c r="E9" s="601" t="s">
        <v>503</v>
      </c>
      <c r="F9" s="601" t="s">
        <v>504</v>
      </c>
    </row>
    <row r="10" spans="1:10">
      <c r="A10" s="601" t="s">
        <v>505</v>
      </c>
      <c r="C10" s="601" t="s">
        <v>506</v>
      </c>
      <c r="D10" s="354" t="s">
        <v>507</v>
      </c>
      <c r="E10" s="601" t="s">
        <v>508</v>
      </c>
      <c r="F10" s="601" t="s">
        <v>509</v>
      </c>
    </row>
    <row r="11" spans="1:10">
      <c r="A11" s="601" t="s">
        <v>510</v>
      </c>
      <c r="E11" s="601" t="s">
        <v>511</v>
      </c>
      <c r="F11" s="601" t="s">
        <v>512</v>
      </c>
    </row>
    <row r="12" spans="1:10">
      <c r="A12" s="601" t="s">
        <v>513</v>
      </c>
      <c r="D12" s="603" t="s">
        <v>514</v>
      </c>
      <c r="F12" s="601" t="s">
        <v>515</v>
      </c>
    </row>
    <row r="13" spans="1:10">
      <c r="A13" s="601" t="s">
        <v>516</v>
      </c>
      <c r="D13" s="603" t="s">
        <v>517</v>
      </c>
      <c r="F13" s="601" t="s">
        <v>518</v>
      </c>
    </row>
    <row r="14" spans="1:10">
      <c r="F14" s="601" t="s">
        <v>519</v>
      </c>
    </row>
    <row r="15" spans="1:10">
      <c r="A15" s="354" t="s">
        <v>520</v>
      </c>
      <c r="B15" s="354" t="s">
        <v>521</v>
      </c>
      <c r="C15" s="354" t="s">
        <v>522</v>
      </c>
      <c r="D15" s="354" t="s">
        <v>201</v>
      </c>
      <c r="E15" s="354" t="s">
        <v>205</v>
      </c>
      <c r="F15" s="601" t="s">
        <v>523</v>
      </c>
    </row>
    <row r="16" spans="1:10">
      <c r="A16" s="604"/>
      <c r="F16" s="601" t="s">
        <v>524</v>
      </c>
    </row>
    <row r="17" spans="1:10">
      <c r="A17" s="601" t="s">
        <v>525</v>
      </c>
      <c r="B17" s="601" t="s">
        <v>397</v>
      </c>
      <c r="C17" s="601">
        <v>1</v>
      </c>
      <c r="D17" s="601" t="s">
        <v>202</v>
      </c>
      <c r="E17" s="601" t="s">
        <v>526</v>
      </c>
      <c r="F17" s="601" t="s">
        <v>527</v>
      </c>
    </row>
    <row r="18" spans="1:10">
      <c r="A18" s="601" t="s">
        <v>528</v>
      </c>
      <c r="B18" s="601" t="s">
        <v>529</v>
      </c>
      <c r="C18" s="601">
        <v>2</v>
      </c>
      <c r="D18" s="601" t="s">
        <v>530</v>
      </c>
      <c r="E18" s="601" t="s">
        <v>531</v>
      </c>
      <c r="H18" s="605"/>
      <c r="I18" s="605"/>
      <c r="J18" s="605"/>
    </row>
    <row r="19" spans="1:10">
      <c r="A19" s="601" t="s">
        <v>532</v>
      </c>
      <c r="B19" s="601" t="s">
        <v>533</v>
      </c>
      <c r="C19" s="601">
        <v>3</v>
      </c>
      <c r="D19" s="601" t="s">
        <v>534</v>
      </c>
      <c r="E19" s="601" t="s">
        <v>535</v>
      </c>
    </row>
    <row r="20" spans="1:10">
      <c r="A20" s="601" t="s">
        <v>536</v>
      </c>
      <c r="B20" s="602">
        <v>504</v>
      </c>
      <c r="C20" s="601">
        <v>4</v>
      </c>
      <c r="D20" s="601" t="s">
        <v>537</v>
      </c>
      <c r="E20" s="601" t="s">
        <v>249</v>
      </c>
    </row>
    <row r="21" spans="1:10">
      <c r="A21" s="601" t="s">
        <v>538</v>
      </c>
      <c r="B21" s="601" t="s">
        <v>492</v>
      </c>
      <c r="C21" s="601">
        <v>5</v>
      </c>
      <c r="D21" s="601" t="s">
        <v>539</v>
      </c>
      <c r="F21" s="354" t="s">
        <v>540</v>
      </c>
    </row>
    <row r="22" spans="1:10">
      <c r="A22" s="601" t="s">
        <v>541</v>
      </c>
      <c r="C22" s="601">
        <v>5.5</v>
      </c>
      <c r="D22" s="601" t="s">
        <v>203</v>
      </c>
    </row>
    <row r="23" spans="1:10">
      <c r="A23" s="601" t="s">
        <v>542</v>
      </c>
      <c r="C23" s="601">
        <v>6</v>
      </c>
      <c r="D23" s="601" t="s">
        <v>543</v>
      </c>
      <c r="F23" s="601" t="s">
        <v>544</v>
      </c>
    </row>
    <row r="24" spans="1:10">
      <c r="A24" s="601" t="s">
        <v>545</v>
      </c>
      <c r="C24" s="601">
        <v>7</v>
      </c>
      <c r="D24" s="601" t="s">
        <v>546</v>
      </c>
      <c r="F24" s="601" t="s">
        <v>547</v>
      </c>
    </row>
    <row r="25" spans="1:10">
      <c r="A25" s="601" t="s">
        <v>548</v>
      </c>
      <c r="C25" s="601">
        <v>8</v>
      </c>
      <c r="D25" s="601" t="s">
        <v>249</v>
      </c>
      <c r="F25" s="601" t="s">
        <v>549</v>
      </c>
    </row>
    <row r="26" spans="1:10">
      <c r="A26" s="601" t="s">
        <v>550</v>
      </c>
      <c r="C26" s="601">
        <v>9</v>
      </c>
    </row>
    <row r="28" spans="1:10">
      <c r="F28" s="354" t="s">
        <v>551</v>
      </c>
    </row>
    <row r="29" spans="1:10">
      <c r="A29" s="354" t="s">
        <v>552</v>
      </c>
      <c r="B29" s="354" t="s">
        <v>553</v>
      </c>
      <c r="D29" s="354" t="s">
        <v>554</v>
      </c>
      <c r="E29" s="354" t="s">
        <v>363</v>
      </c>
    </row>
    <row r="30" spans="1:10">
      <c r="C30" s="354" t="s">
        <v>555</v>
      </c>
      <c r="F30" s="601" t="s">
        <v>529</v>
      </c>
    </row>
    <row r="31" spans="1:10">
      <c r="A31" s="601" t="s">
        <v>556</v>
      </c>
      <c r="B31" s="601" t="s">
        <v>557</v>
      </c>
      <c r="D31" s="601" t="s">
        <v>558</v>
      </c>
      <c r="E31" s="601" t="s">
        <v>27</v>
      </c>
      <c r="F31" s="601" t="s">
        <v>559</v>
      </c>
    </row>
    <row r="32" spans="1:10">
      <c r="A32" s="601" t="s">
        <v>560</v>
      </c>
      <c r="B32" s="601" t="s">
        <v>561</v>
      </c>
      <c r="C32" s="601" t="s">
        <v>562</v>
      </c>
      <c r="D32" s="601" t="s">
        <v>563</v>
      </c>
      <c r="E32" s="601" t="s">
        <v>564</v>
      </c>
    </row>
    <row r="33" spans="1:6">
      <c r="A33" s="601" t="s">
        <v>565</v>
      </c>
      <c r="B33" s="601" t="s">
        <v>566</v>
      </c>
      <c r="C33" s="601" t="s">
        <v>567</v>
      </c>
      <c r="D33" s="601" t="s">
        <v>568</v>
      </c>
      <c r="E33" s="601" t="s">
        <v>569</v>
      </c>
    </row>
    <row r="34" spans="1:6">
      <c r="A34" s="601" t="s">
        <v>249</v>
      </c>
      <c r="B34" s="601" t="s">
        <v>570</v>
      </c>
      <c r="C34" s="601" t="s">
        <v>571</v>
      </c>
      <c r="D34" s="601" t="s">
        <v>572</v>
      </c>
      <c r="E34" s="601" t="s">
        <v>573</v>
      </c>
    </row>
    <row r="35" spans="1:6">
      <c r="B35" s="601" t="s">
        <v>574</v>
      </c>
      <c r="D35" s="601" t="s">
        <v>575</v>
      </c>
      <c r="E35" s="601" t="s">
        <v>576</v>
      </c>
    </row>
    <row r="36" spans="1:6">
      <c r="D36" s="601" t="s">
        <v>577</v>
      </c>
      <c r="E36" s="601" t="s">
        <v>578</v>
      </c>
      <c r="F36" s="354" t="s">
        <v>579</v>
      </c>
    </row>
    <row r="37" spans="1:6">
      <c r="D37" s="601" t="s">
        <v>580</v>
      </c>
      <c r="E37" s="601" t="s">
        <v>581</v>
      </c>
    </row>
    <row r="38" spans="1:6">
      <c r="A38" s="354" t="s">
        <v>582</v>
      </c>
      <c r="B38" s="354" t="s">
        <v>583</v>
      </c>
      <c r="D38" s="601" t="s">
        <v>584</v>
      </c>
      <c r="E38" s="601" t="s">
        <v>249</v>
      </c>
      <c r="F38" s="601" t="s">
        <v>585</v>
      </c>
    </row>
    <row r="39" spans="1:6">
      <c r="D39" s="601" t="s">
        <v>586</v>
      </c>
      <c r="E39" s="354" t="s">
        <v>587</v>
      </c>
      <c r="F39" s="601" t="s">
        <v>588</v>
      </c>
    </row>
    <row r="40" spans="1:6">
      <c r="A40" s="601" t="s">
        <v>589</v>
      </c>
      <c r="B40" s="601" t="s">
        <v>590</v>
      </c>
      <c r="D40" s="601" t="s">
        <v>591</v>
      </c>
      <c r="F40" s="601" t="s">
        <v>592</v>
      </c>
    </row>
    <row r="41" spans="1:6">
      <c r="A41" s="601" t="s">
        <v>593</v>
      </c>
      <c r="B41" s="601" t="s">
        <v>594</v>
      </c>
      <c r="D41" s="601" t="s">
        <v>595</v>
      </c>
      <c r="E41" s="601" t="s">
        <v>596</v>
      </c>
      <c r="F41" s="601" t="s">
        <v>597</v>
      </c>
    </row>
    <row r="42" spans="1:6">
      <c r="A42" s="601" t="s">
        <v>598</v>
      </c>
      <c r="B42" s="601" t="s">
        <v>599</v>
      </c>
      <c r="D42" s="601" t="s">
        <v>600</v>
      </c>
      <c r="E42" s="601" t="s">
        <v>601</v>
      </c>
      <c r="F42" s="601" t="s">
        <v>602</v>
      </c>
    </row>
    <row r="43" spans="1:6">
      <c r="D43" s="601" t="s">
        <v>603</v>
      </c>
      <c r="E43" s="601" t="s">
        <v>604</v>
      </c>
      <c r="F43" s="601" t="s">
        <v>605</v>
      </c>
    </row>
    <row r="44" spans="1:6">
      <c r="A44" s="354"/>
      <c r="D44" s="601" t="s">
        <v>606</v>
      </c>
      <c r="E44" s="601" t="s">
        <v>607</v>
      </c>
      <c r="F44" s="601" t="s">
        <v>608</v>
      </c>
    </row>
    <row r="45" spans="1:6">
      <c r="C45" s="354" t="s">
        <v>609</v>
      </c>
      <c r="D45" s="601" t="s">
        <v>249</v>
      </c>
      <c r="E45" s="601" t="s">
        <v>610</v>
      </c>
      <c r="F45" s="601" t="s">
        <v>611</v>
      </c>
    </row>
    <row r="46" spans="1:6">
      <c r="A46" s="354"/>
      <c r="E46" s="601" t="s">
        <v>612</v>
      </c>
      <c r="F46" s="601" t="s">
        <v>613</v>
      </c>
    </row>
    <row r="47" spans="1:6">
      <c r="A47" s="354" t="s">
        <v>614</v>
      </c>
      <c r="B47" s="354" t="s">
        <v>615</v>
      </c>
      <c r="C47" s="601" t="s">
        <v>397</v>
      </c>
      <c r="E47" s="601" t="s">
        <v>249</v>
      </c>
      <c r="F47" s="601" t="s">
        <v>249</v>
      </c>
    </row>
    <row r="48" spans="1:6">
      <c r="C48" s="601" t="s">
        <v>616</v>
      </c>
      <c r="E48" s="601" t="s">
        <v>617</v>
      </c>
      <c r="F48" s="601" t="s">
        <v>617</v>
      </c>
    </row>
    <row r="49" spans="1:6">
      <c r="A49" s="606">
        <v>10</v>
      </c>
      <c r="B49" s="601" t="s">
        <v>618</v>
      </c>
      <c r="C49" s="601" t="s">
        <v>34</v>
      </c>
    </row>
    <row r="50" spans="1:6">
      <c r="A50" s="606">
        <v>20</v>
      </c>
      <c r="B50" s="601" t="s">
        <v>619</v>
      </c>
      <c r="C50" s="601" t="s">
        <v>620</v>
      </c>
    </row>
    <row r="51" spans="1:6">
      <c r="A51" s="606">
        <v>25</v>
      </c>
      <c r="B51" s="601" t="s">
        <v>621</v>
      </c>
      <c r="D51" s="354" t="s">
        <v>622</v>
      </c>
    </row>
    <row r="52" spans="1:6">
      <c r="B52" s="601" t="s">
        <v>623</v>
      </c>
      <c r="C52" s="354" t="s">
        <v>624</v>
      </c>
      <c r="E52" s="354" t="s">
        <v>625</v>
      </c>
      <c r="F52" s="354" t="s">
        <v>626</v>
      </c>
    </row>
    <row r="53" spans="1:6">
      <c r="A53" s="354" t="s">
        <v>627</v>
      </c>
      <c r="B53" s="601" t="s">
        <v>628</v>
      </c>
      <c r="D53" s="601" t="s">
        <v>397</v>
      </c>
    </row>
    <row r="54" spans="1:6">
      <c r="B54" s="601" t="s">
        <v>629</v>
      </c>
      <c r="C54" s="601" t="s">
        <v>397</v>
      </c>
      <c r="D54" s="601" t="s">
        <v>630</v>
      </c>
      <c r="E54" s="601" t="s">
        <v>442</v>
      </c>
      <c r="F54" s="601" t="s">
        <v>631</v>
      </c>
    </row>
    <row r="55" spans="1:6">
      <c r="A55" s="601" t="s">
        <v>179</v>
      </c>
      <c r="C55" s="601" t="s">
        <v>632</v>
      </c>
      <c r="D55" s="601" t="s">
        <v>633</v>
      </c>
      <c r="E55" s="601" t="s">
        <v>634</v>
      </c>
      <c r="F55" s="601" t="s">
        <v>635</v>
      </c>
    </row>
    <row r="56" spans="1:6">
      <c r="A56" s="601" t="s">
        <v>636</v>
      </c>
      <c r="C56" s="601" t="s">
        <v>637</v>
      </c>
      <c r="D56" s="601" t="s">
        <v>638</v>
      </c>
      <c r="F56" s="601" t="s">
        <v>639</v>
      </c>
    </row>
    <row r="57" spans="1:6">
      <c r="C57" s="601" t="s">
        <v>640</v>
      </c>
      <c r="D57" s="601" t="s">
        <v>641</v>
      </c>
    </row>
    <row r="58" spans="1:6">
      <c r="D58" s="601" t="s">
        <v>642</v>
      </c>
    </row>
    <row r="59" spans="1:6">
      <c r="F59" s="354" t="s">
        <v>643</v>
      </c>
    </row>
    <row r="60" spans="1:6">
      <c r="A60" s="354" t="s">
        <v>644</v>
      </c>
      <c r="B60" s="354" t="s">
        <v>645</v>
      </c>
      <c r="D60" s="354" t="s">
        <v>646</v>
      </c>
      <c r="E60" s="354" t="s">
        <v>647</v>
      </c>
    </row>
    <row r="61" spans="1:6">
      <c r="C61" s="354" t="s">
        <v>59</v>
      </c>
      <c r="F61" s="601" t="s">
        <v>52</v>
      </c>
    </row>
    <row r="62" spans="1:6">
      <c r="A62" s="601" t="s">
        <v>397</v>
      </c>
      <c r="B62" s="601" t="s">
        <v>648</v>
      </c>
      <c r="C62" s="607"/>
      <c r="D62" s="601" t="s">
        <v>397</v>
      </c>
      <c r="E62" s="601" t="s">
        <v>649</v>
      </c>
      <c r="F62" s="601" t="s">
        <v>650</v>
      </c>
    </row>
    <row r="63" spans="1:6">
      <c r="A63" s="601" t="s">
        <v>651</v>
      </c>
      <c r="B63" s="601" t="s">
        <v>652</v>
      </c>
      <c r="C63" s="607" t="s">
        <v>191</v>
      </c>
      <c r="D63" s="601" t="s">
        <v>653</v>
      </c>
    </row>
    <row r="64" spans="1:6">
      <c r="A64" s="601" t="s">
        <v>654</v>
      </c>
      <c r="B64" s="601" t="s">
        <v>249</v>
      </c>
      <c r="C64" s="607" t="s">
        <v>60</v>
      </c>
      <c r="D64" s="601" t="s">
        <v>655</v>
      </c>
    </row>
    <row r="65" spans="1:6">
      <c r="A65" s="601" t="s">
        <v>656</v>
      </c>
      <c r="C65" s="607" t="s">
        <v>195</v>
      </c>
    </row>
    <row r="66" spans="1:6">
      <c r="A66" s="601" t="s">
        <v>657</v>
      </c>
    </row>
    <row r="67" spans="1:6">
      <c r="A67" s="601" t="s">
        <v>658</v>
      </c>
      <c r="F67" s="354" t="s">
        <v>659</v>
      </c>
    </row>
    <row r="68" spans="1:6">
      <c r="A68" s="601" t="s">
        <v>660</v>
      </c>
      <c r="F68" s="606"/>
    </row>
    <row r="69" spans="1:6">
      <c r="F69" s="608" t="e">
        <f t="shared" ref="F69:F72" si="0">#REF!</f>
        <v>#REF!</v>
      </c>
    </row>
    <row r="70" spans="1:6">
      <c r="A70" s="354" t="s">
        <v>661</v>
      </c>
      <c r="B70" s="354" t="s">
        <v>662</v>
      </c>
      <c r="C70" s="354" t="s">
        <v>663</v>
      </c>
      <c r="D70" s="354" t="s">
        <v>664</v>
      </c>
      <c r="E70" s="354" t="s">
        <v>665</v>
      </c>
      <c r="F70" s="606" t="e">
        <f t="shared" si="0"/>
        <v>#REF!</v>
      </c>
    </row>
    <row r="71" spans="1:6">
      <c r="F71" s="606" t="e">
        <f t="shared" si="0"/>
        <v>#REF!</v>
      </c>
    </row>
    <row r="72" spans="1:6">
      <c r="A72" s="601" t="s">
        <v>666</v>
      </c>
      <c r="B72" s="601" t="s">
        <v>667</v>
      </c>
      <c r="C72" s="609">
        <v>0.65</v>
      </c>
      <c r="D72" s="610" t="s">
        <v>668</v>
      </c>
      <c r="E72" s="610" t="s">
        <v>669</v>
      </c>
      <c r="F72" s="606" t="e">
        <f t="shared" si="0"/>
        <v>#REF!</v>
      </c>
    </row>
    <row r="73" spans="1:6">
      <c r="A73" s="601" t="s">
        <v>670</v>
      </c>
      <c r="B73" s="601" t="s">
        <v>671</v>
      </c>
      <c r="C73" s="609">
        <v>0.75</v>
      </c>
      <c r="D73" s="610" t="s">
        <v>672</v>
      </c>
      <c r="E73" s="610" t="s">
        <v>673</v>
      </c>
    </row>
    <row r="74" spans="1:6">
      <c r="A74" s="601" t="s">
        <v>674</v>
      </c>
      <c r="B74" s="601" t="s">
        <v>675</v>
      </c>
      <c r="C74" s="609">
        <v>0.8</v>
      </c>
      <c r="D74" s="610" t="s">
        <v>676</v>
      </c>
      <c r="E74" s="610" t="s">
        <v>677</v>
      </c>
      <c r="F74" s="354" t="s">
        <v>678</v>
      </c>
    </row>
    <row r="75" spans="1:6">
      <c r="A75" s="601" t="s">
        <v>679</v>
      </c>
      <c r="C75" s="609">
        <v>0.85</v>
      </c>
      <c r="D75" s="610" t="s">
        <v>680</v>
      </c>
      <c r="E75" s="610" t="s">
        <v>681</v>
      </c>
    </row>
    <row r="76" spans="1:6">
      <c r="D76" s="610" t="s">
        <v>682</v>
      </c>
      <c r="E76" s="610" t="s">
        <v>683</v>
      </c>
      <c r="F76" s="601" t="s">
        <v>684</v>
      </c>
    </row>
    <row r="77" spans="1:6">
      <c r="D77" s="610" t="s">
        <v>685</v>
      </c>
      <c r="F77" s="601" t="s">
        <v>476</v>
      </c>
    </row>
    <row r="78" spans="1:6">
      <c r="F78" s="601" t="s">
        <v>477</v>
      </c>
    </row>
    <row r="79" spans="1:6">
      <c r="A79" s="354" t="s">
        <v>686</v>
      </c>
      <c r="B79" s="354"/>
      <c r="F79" s="601" t="s">
        <v>687</v>
      </c>
    </row>
    <row r="80" spans="1:6">
      <c r="F80" s="601" t="s">
        <v>688</v>
      </c>
    </row>
    <row r="81" spans="1:6">
      <c r="A81" s="601" t="s">
        <v>689</v>
      </c>
      <c r="F81" s="601" t="s">
        <v>690</v>
      </c>
    </row>
    <row r="82" spans="1:6">
      <c r="A82" s="601" t="s">
        <v>691</v>
      </c>
      <c r="F82" s="601" t="s">
        <v>692</v>
      </c>
    </row>
    <row r="83" spans="1:6">
      <c r="A83" s="601" t="s">
        <v>693</v>
      </c>
      <c r="F83" s="601" t="s">
        <v>694</v>
      </c>
    </row>
    <row r="84" spans="1:6">
      <c r="F84" s="601" t="s">
        <v>695</v>
      </c>
    </row>
  </sheetData>
  <mergeCells count="4">
    <mergeCell ref="H4:J4"/>
    <mergeCell ref="H2:J2"/>
    <mergeCell ref="H3:J3"/>
    <mergeCell ref="H5:J5"/>
  </mergeCells>
  <hyperlinks>
    <hyperlink ref="H1" location="Index.A1" display="Index.A1"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Financial Spreads</vt:lpstr>
      <vt:lpstr>Summary</vt:lpstr>
      <vt:lpstr>BDO Prequal</vt:lpstr>
      <vt:lpstr>Scores</vt:lpstr>
      <vt:lpstr>Charts</vt:lpstr>
      <vt:lpstr>504-Hybrid</vt:lpstr>
      <vt:lpstr>Lists</vt:lpstr>
      <vt:lpstr>Scores!Print_Area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Michelle Torres</cp:lastModifiedBy>
  <dcterms:created xsi:type="dcterms:W3CDTF">2026-04-10T14:46:47Z</dcterms:created>
  <dcterms:modified xsi:type="dcterms:W3CDTF">2026-04-13T21:58:38Z</dcterms:modified>
</cp:coreProperties>
</file>